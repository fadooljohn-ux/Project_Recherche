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a7a3f1156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b97a0f25f7f443d"/>
    <x:sheet xmlns:r="http://schemas.openxmlformats.org/officeDocument/2006/relationships" name="Targets" sheetId="2" r:id="Rad1d67622da14a84"/>
    <x:sheet xmlns:r="http://schemas.openxmlformats.org/officeDocument/2006/relationships" name="Searches" sheetId="3" r:id="R2c8034ffca9a4020"/>
    <x:sheet xmlns:r="http://schemas.openxmlformats.org/officeDocument/2006/relationships" name="Work log" sheetId="4" r:id="R2f19814edb634531"/>
    <x:sheet xmlns:r="http://schemas.openxmlformats.org/officeDocument/2006/relationships" name="Candidate grades" sheetId="5" r:id="R855bbd322b56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"/>
    <x:numFmt numFmtId="202" formatCode="0.000000"/>
    <x:numFmt numFmtId="203" formatCode="0.000"/>
    <x:numFmt numFmtId="204" formatCode="yyyy-mm-dd"/>
    <x:numFmt numFmtId="205" formatCode="0.00E+00"/>
    <x:numFmt numFmtId="206" formatCode="0.00"/>
    <x:numFmt numFmtId="207" formatCode="0.0%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243447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465B"/>
      </x:patternFill>
    </x:fill>
    <x:fill>
      <x:patternFill patternType="solid">
        <x:fgColor rgb="FFFFF4D6"/>
      </x:patternFill>
    </x:fill>
    <x:fill>
      <x:patternFill patternType="solid">
        <x:fgColor rgb="FF29465B"/>
      </x:patternFill>
    </x:fill>
  </x:fills>
  <x:borders count="2">
    <x:border/>
    <x:border>
      <x:bottom style="thin">
        <x:color rgb="FFAAB9C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5" fontId="5" fillId="0" borderId="0" xfId="0" applyNumberFormat="1" applyFont="1" applyFill="1" applyBorder="1" applyAlignment="1">
      <x:alignment vertical="top" wrapText="1"/>
    </x:xf>
    <x:xf numFmtId="206" fontId="5" fillId="0" borderId="0" xfId="0" applyNumberFormat="1" applyFont="1" applyFill="1" applyBorder="1" applyAlignment="1">
      <x:alignment vertical="top" wrapText="1"/>
    </x:xf>
    <x:xf numFmtId="207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ont>
        <x:color rgb="FF804B12"/>
      </x:font>
      <x:fill>
        <x:patternFill>
          <x:bgColor rgb="FFFFF0D5"/>
        </x:patternFill>
      </x:fill>
    </x:dxf>
    <x:dxf>
      <x:fill>
        <x:patternFill>
          <x:bgColor rgb="FFFFDCDC"/>
        </x:patternFill>
      </x:fill>
    </x:dxf>
    <x:dxf>
      <x:fill>
        <x:patternFill>
          <x:bgColor rgb="FFFFDC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9853530be4396" /><Relationship Type="http://schemas.openxmlformats.org/officeDocument/2006/relationships/theme" Target="/xl/theme/theme1.xml" Id="R96cb3ed4ccae4909" /><Relationship Type="http://schemas.openxmlformats.org/officeDocument/2006/relationships/sharedStrings" Target="/xl/sharedStrings.xml" Id="R8bed47afde2c4f83" /><Relationship Type="http://schemas.openxmlformats.org/officeDocument/2006/relationships/worksheet" Target="/xl/worksheets/sheet1.xml" Id="Rcb97a0f25f7f443d" /><Relationship Type="http://schemas.openxmlformats.org/officeDocument/2006/relationships/worksheet" Target="/xl/worksheets/sheet2.xml" Id="Rad1d67622da14a84" /><Relationship Type="http://schemas.openxmlformats.org/officeDocument/2006/relationships/worksheet" Target="/xl/worksheets/sheet3.xml" Id="R2c8034ffca9a4020" /><Relationship Type="http://schemas.openxmlformats.org/officeDocument/2006/relationships/worksheet" Target="/xl/worksheets/sheet4.xml" Id="R2f19814edb634531" /><Relationship Type="http://schemas.openxmlformats.org/officeDocument/2006/relationships/worksheet" Target="/xl/worksheets/sheet5.xml" Id="R855bbd322b564226" /></Relationships>
</file>

<file path=xl/tables/table1.xml><?xml version="1.0" encoding="utf-8"?>
<x:table xmlns:x="http://schemas.openxmlformats.org/spreadsheetml/2006/main" id="1" name="TargetRegister" displayName="TargetRegister" ref="A1:T755" headerRowCount="1" totalsRowCount="0" totalsRowShown="0">
  <x:autoFilter ref="A1:T755"/>
  <x:tableColumns count="20">
    <x:tableColumn id="1" name="Target ID"/>
    <x:tableColumn id="2" name="Aliases"/>
    <x:tableColumn id="3" name="Current research status"/>
    <x:tableColumn id="4" name="Latest record ID"/>
    <x:tableColumn id="5" name="Recorded finding"/>
    <x:tableColumn id="6" name="Next work / repeat rule"/>
    <x:tableColumn id="7" name="Timing dataset status"/>
    <x:tableColumn id="8" name="Inventory TOAs"/>
    <x:tableColumn id="9" name="Inventory epochs"/>
    <x:tableColumn id="10" name="Inventory span (days)"/>
    <x:tableColumn id="11" name="Inventory selection"/>
    <x:tableColumn id="12" name="Exclusion reason"/>
    <x:tableColumn id="13" name="JBO inventory"/>
    <x:tableColumn id="14" name="NANOGrav 11 inventory"/>
    <x:tableColumn id="15" name="EPTA DR2 inventory"/>
    <x:tableColumn id="16" name="Operator notes"/>
    <x:tableColumn id="17" name="Inventory evidence"/>
    <x:tableColumn id="18" name="Evidence SHA-256"/>
    <x:tableColumn id="19" name="PAR SHA"/>
    <x:tableColumn id="20" name="TIM SH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archRegister" displayName="SearchRegister" ref="A1:V352" headerRowCount="1" totalsRowCount="0" totalsRowShown="0">
  <x:autoFilter ref="A1:V352"/>
  <x:tableColumns count="22">
    <x:tableColumn id="1" name="Record ID"/>
    <x:tableColumn id="2" name="Target ID"/>
    <x:tableColumn id="3" name="Data / method"/>
    <x:tableColumn id="4" name="Result"/>
    <x:tableColumn id="5" name="Period (days)"/>
    <x:tableColumn id="6" name="Period meaning"/>
    <x:tableColumn id="7" name="Amplitude (µs)"/>
    <x:tableColumn id="8" name="Peak statistic"/>
    <x:tableColumn id="9" name="Threshold"/>
    <x:tableColumn id="10" name="TOAs used"/>
    <x:tableColumn id="11" name="Epochs"/>
    <x:tableColumn id="12" name="Search min (days)"/>
    <x:tableColumn id="13" name="Search max (days)"/>
    <x:tableColumn id="14" name="Grid cells"/>
    <x:tableColumn id="15" name="Masked cells"/>
    <x:tableColumn id="16" name="Median 95% amplitude (µs)"/>
    <x:tableColumn id="17" name="Disposition detail"/>
    <x:tableColumn id="18" name="Previous record"/>
    <x:tableColumn id="19" name="Repeat rule"/>
    <x:tableColumn id="20" name="Evidence file"/>
    <x:tableColumn id="21" name="Evidence SHA-256"/>
    <x:tableColumn id="22" name="Input / calibration bind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Register" displayName="WorkRegister" ref="A1:I195" headerRowCount="1" totalsRowCount="0" totalsRowShown="0">
  <x:autoFilter ref="A1:I195"/>
  <x:tableColumns count="9">
    <x:tableColumn id="1" name="Work ID"/>
    <x:tableColumn id="2" name="Date"/>
    <x:tableColumn id="3" name="Work type"/>
    <x:tableColumn id="4" name="Target / scope"/>
    <x:tableColumn id="5" name="Status"/>
    <x:tableColumn id="6" name="Recorded outcome"/>
    <x:tableColumn id="7" name="Next action / closure"/>
    <x:tableColumn id="8" name="Evidence file"/>
    <x:tableColumn id="9" name="Evidence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didateGrades" displayName="CandidateGrades" ref="A1:P8" headerRowCount="1" totalsRowCount="0" totalsRowShown="0">
  <x:tableColumns count="16">
    <x:tableColumn id="1" name="Search record ID"/>
    <x:tableColumn id="2" name="Pulsar"/>
    <x:tableColumn id="3" name="Statistical significance"/>
    <x:tableColumn id="4" name="Signal robustness"/>
    <x:tableColumn id="5" name="Independent confirmation"/>
    <x:tableColumn id="6" name="Global FAP"/>
    <x:tableColumn id="7" name="Global sigma"/>
    <x:tableColumn id="8" name="Conditional review tail"/>
    <x:tableColumn id="9" name="Noise exceedances"/>
    <x:tableColumn id="10" name="Noise simulations"/>
    <x:tableColumn id="11" name="Significance scope"/>
    <x:tableColumn id="12" name="Robustness evidence"/>
    <x:tableColumn id="13" name="Confirmation evidence"/>
    <x:tableColumn id="14" name="Review disposition"/>
    <x:tableColumn id="15" name="Assessment ID"/>
    <x:tableColumn id="16" name="Evidence manife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ed3cc75e0149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6b0fd0bd7845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fee6bb5e134f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d49303807c4fbe" /></Relationships>
</file>

<file path=xl/worksheets/sheet1.xml><?xml version="1.0" encoding="utf-8"?>
<x:worksheet xmlns:x="http://schemas.openxmlformats.org/spreadsheetml/2006/main">
  <x:sheetPr>
    <x:tabColor rgb="FF29465B"/>
  </x:sheetPr>
  <x:sheetViews>
    <x:sheetView showGridLines="0" workbookViewId="0"/>
  </x:sheetViews>
  <x:sheetFormatPr defaultRowHeight="15"/>
  <x:cols>
    <x:col min="1" max="1" width="47" hidden="0" customWidth="1"/>
    <x:col min="2" max="2" width="30" hidden="0" customWidth="1"/>
    <x:col min="3" max="3" width="3" hidden="0" customWidth="1"/>
    <x:col min="4" max="4" width="24" hidden="0" customWidth="1"/>
    <x:col min="5" max="5" width="83" hidden="0" customWidth="1"/>
    <x:col min="6" max="6" width="3" hidden="0" customWidth="1"/>
    <x:col min="7" max="7" width="3" hidden="0" customWidth="1"/>
    <x:col min="8" max="8" width="3" hidden="0" customWidth="1"/>
  </x:cols>
  <x:sheetData>
    <x:row r="1" ht="24" customHeight="1">
      <x:c r="A1" s="13"/>
      <x:c r="B1" s="13"/>
      <x:c r="C1" s="13"/>
      <x:c r="D1" s="13"/>
      <x:c r="E1" s="13"/>
      <x:c r="F1" s="13"/>
      <x:c r="G1" s="13"/>
      <x:c r="H1" s="13"/>
    </x:row>
    <x:row r="2" ht="24" customHeight="1">
      <x:c r="A2" s="15" t="str">
        <x:v>Project Recherche master register</x:v>
      </x:c>
      <x:c r="B2" s="16"/>
      <x:c r="C2" s="16"/>
      <x:c r="D2" s="16"/>
      <x:c r="E2" s="16"/>
      <x:c r="F2" s="16"/>
      <x:c r="G2" s="16"/>
      <x:c r="H2" s="16"/>
    </x:row>
    <x:row r="3" ht="24" customHeight="1">
      <x:c r="A3" s="13"/>
      <x:c r="B3" s="13"/>
      <x:c r="C3" s="13"/>
      <x:c r="D3" s="13"/>
      <x:c r="E3" s="13"/>
      <x:c r="F3" s="13"/>
      <x:c r="G3" s="13"/>
      <x:c r="H3" s="13"/>
    </x:row>
    <x:row r="4" ht="24" customHeight="1">
      <x:c r="A4" s="13" t="str">
        <x:v>Records through</x:v>
      </x:c>
      <x:c r="B4" s="17" t="n">
        <x:v>46274.44917847222</x:v>
      </x:c>
      <x:c r="C4" s="13"/>
      <x:c r="D4" s="13" t="str">
        <x:v>Publication edition: v0.1.0</x:v>
      </x:c>
      <x:c r="E4" s="13"/>
      <x:c r="F4" s="13"/>
      <x:c r="G4" s="13"/>
      <x:c r="H4" s="13"/>
    </x:row>
    <x:row r="5" ht="24" customHeight="1">
      <x:c r="A5" s="13"/>
      <x:c r="B5" s="13"/>
      <x:c r="C5" s="13"/>
      <x:c r="D5" s="13"/>
      <x:c r="E5" s="13"/>
      <x:c r="F5" s="13"/>
      <x:c r="G5" s="13"/>
      <x:c r="H5" s="13"/>
    </x:row>
    <x:row r="6" ht="48" customHeight="1">
      <x:c r="A6" s="19" t="str">
        <x:v>Recorded work</x:v>
      </x:c>
      <x:c r="B6" s="19" t="str">
        <x:v>Count</x:v>
      </x:c>
      <x:c r="C6" s="13"/>
      <x:c r="D6" s="21" t="str">
        <x:v>Before starting work</x:v>
      </x:c>
      <x:c r="E6" s="3" t="str">
        <x:v>Search Targets by canonical ID and alias, then inspect the latest Searches record and its input binding.</x:v>
      </x:c>
      <x:c r="F6" s="13"/>
      <x:c r="G6" s="13"/>
      <x:c r="H6" s="13"/>
    </x:row>
    <x:row r="7" ht="48" customHeight="1">
      <x:c r="A7" s="13" t="str">
        <x:v>Unique targets in register</x:v>
      </x:c>
      <x:c r="B7" s="20" t="n">
        <x:f>COUNTA(Targets!$A$2:$A$1001)</x:f>
        <x:v>754</x:v>
      </x:c>
      <x:c r="C7" s="13"/>
      <x:c r="D7" s="21" t="str">
        <x:v>Add future work</x:v>
      </x:c>
      <x:c r="E7" s="3" t="str">
        <x:v>Append a unique record ID in the Excel tables. Summaries cover the first 1,000 records per table; extend ranges beyond that. Keep predecessor IDs.</x:v>
      </x:c>
      <x:c r="F7" s="13"/>
      <x:c r="G7" s="13"/>
      <x:c r="H7" s="13"/>
    </x:row>
    <x:row r="8" ht="48" customHeight="1">
      <x:c r="A8" s="13" t="str">
        <x:v>Targets with observed searches</x:v>
      </x:c>
      <x:c r="B8" s="20" t="n">
        <x:f>COUNTIF(Targets!$C$2:$C$1001,"NO_TRIGGER")+COUNTIF(Targets!$C$2:$C$1001,"KNOWN_COMPANION_RECOVERED")+COUNTIF(Targets!$C$2:$C$1001,"PARTIAL_KNOWN_SYSTEM_RECOVERY")+COUNTIF(Targets!$C$2:$C$1001,"PERIODIC_SIGNAL_CANDIDATE")</x:f>
        <x:v>277</x:v>
      </x:c>
      <x:c r="C8" s="13"/>
      <x:c r="D8" s="21" t="str">
        <x:v>Editable notes</x:v>
      </x:c>
      <x:c r="E8" s="3" t="str">
        <x:v>Targets: amber Operator notes cells are for follow-up notes. Preserve imported scientific results and evidence hashes.</x:v>
      </x:c>
      <x:c r="F8" s="13"/>
      <x:c r="G8" s="13"/>
      <x:c r="H8" s="13"/>
    </x:row>
    <x:row r="9" ht="48" customHeight="1">
      <x:c r="A9" s="13" t="str">
        <x:v>Original-search targets with no trigger</x:v>
      </x:c>
      <x:c r="B9" s="20" t="n">
        <x:f>COUNTIF(Targets!$C$2:$C$1001,"NO_TRIGGER")</x:f>
        <x:v>266</x:v>
      </x:c>
      <x:c r="C9" s="13"/>
      <x:c r="D9" s="21" t="str">
        <x:v>Reusing a target</x:v>
      </x:c>
      <x:c r="E9" s="3" t="str">
        <x:v>A target can have multiple datasets. A completed target is not a blanket claim that all of its public data were searched.</x:v>
      </x:c>
      <x:c r="F9" s="13"/>
      <x:c r="G9" s="13"/>
      <x:c r="H9" s="13"/>
    </x:row>
    <x:row r="10" ht="48" customHeight="1">
      <x:c r="A10" s="13" t="str">
        <x:v>Known-system targets with recovery</x:v>
      </x:c>
      <x:c r="B10" s="20" t="n">
        <x:f>COUNTIF(Targets!$C$2:$C$1001,"KNOWN_COMPANION_RECOVERED")+COUNTIF(Targets!$C$2:$C$1001,"PARTIAL_KNOWN_SYSTEM_RECOVERY")</x:f>
        <x:v>4</x:v>
      </x:c>
      <x:c r="C10" s="13"/>
      <x:c r="D10" s="21" t="str">
        <x:v>Data gaps</x:v>
      </x:c>
      <x:c r="E10" s="3" t="str">
        <x:v>M62H and B1620-26 have no observed search here. Missing data is neither a nondetection nor a successful test.</x:v>
      </x:c>
      <x:c r="F10" s="13"/>
      <x:c r="G10" s="13"/>
      <x:c r="H10" s="13"/>
    </x:row>
    <x:row r="11" ht="48" customHeight="1">
      <x:c r="A11" s="13" t="str">
        <x:v>Targets awaiting data</x:v>
      </x:c>
      <x:c r="B11" s="20" t="n">
        <x:f>COUNTIF(Targets!$C$2:$C$1001,"DATA_GAP")</x:f>
        <x:v>2</x:v>
      </x:c>
      <x:c r="C11" s="13"/>
      <x:c r="D11" s="21" t="str">
        <x:v>Interpretation</x:v>
      </x:c>
      <x:c r="E11" s="3" t="str">
        <x:v>NO_TRIGGER means no qualifying signal in the recorded scope. Known-companion recovery is separate from new discovery.</x:v>
      </x:c>
      <x:c r="F11" s="13"/>
      <x:c r="G11" s="13"/>
      <x:c r="H11" s="13"/>
    </x:row>
    <x:row r="12" ht="48" customHeight="1">
      <x:c r="A12" s="13" t="str">
        <x:v>Inventoried targets not searched</x:v>
      </x:c>
      <x:c r="B12" s="20" t="n">
        <x:f>COUNTIF(Targets!$C$2:$C$1001,"NOT_SEARCHED")</x:f>
        <x:v>475</x:v>
      </x:c>
      <x:c r="C12" s="13"/>
      <x:c r="D12" s="21" t="str">
        <x:v>Sensitivity</x:v>
      </x:c>
      <x:c r="E12" s="3" t="str">
        <x:v>Amplitude limits shown in Searches mean 95% detection probability for circular on-grid signals under fixed noise, not posterior upper limits.</x:v>
      </x:c>
      <x:c r="F12" s="13"/>
      <x:c r="G12" s="13"/>
      <x:c r="H12" s="13"/>
    </x:row>
    <x:row r="13" ht="48" customHeight="1">
      <x:c r="A13" s="13" t="str">
        <x:v>Search / refinement records</x:v>
      </x:c>
      <x:c r="B13" s="20" t="n">
        <x:f>COUNTA(Searches!$A$2:$A$1001)</x:f>
        <x:v>351</x:v>
      </x:c>
      <x:c r="C13" s="13"/>
      <x:c r="D13" s="21" t="str">
        <x:v>Prior coverage</x:v>
      </x:c>
      <x:c r="E13" s="3" t="str">
        <x:v>LISTED / NOT LISTED refers only to three saved study inventories. JBO supplement contains 794 named targets despite the paper’s 800-target description.</x:v>
      </x:c>
      <x:c r="F13" s="13"/>
      <x:c r="G13" s="13"/>
      <x:c r="H13" s="13"/>
    </x:row>
    <x:row r="14" ht="48" customHeight="1">
      <x:c r="A14" s="13" t="str">
        <x:v>Current candidate targets</x:v>
      </x:c>
      <x:c r="B14" s="20" t="n">
        <x:f>COUNTIF(Targets!$C$2:$C$1001,"PERIODIC_SIGNAL_CANDIDATE")</x:f>
        <x:v>7</x:v>
      </x:c>
      <x:c r="C14" s="13"/>
      <x:c r="D14" s="21" t="str">
        <x:v>Source records</x:v>
      </x:c>
      <x:c r="E14" s="3" t="str">
        <x:v>Evidence filenames and SHA-256 digests are at the right of each table. All existing run records were read without new scans.</x:v>
      </x:c>
      <x:c r="F14" s="13"/>
      <x:c r="G14" s="13"/>
      <x:c r="H14" s="13"/>
    </x:row>
    <x:row r="15" ht="48" customHeight="1">
      <x:c r="A15" s="13" t="str">
        <x:v>Confirmed new discoveries</x:v>
      </x:c>
      <x:c r="B15" s="20" t="n">
        <x:f>COUNTIF(Searches!$D$2:$D$1001,"CONFIRMED_NEW_DISCOVERY")</x:f>
        <x:v>0</x:v>
      </x:c>
      <x:c r="C15" s="13"/>
      <x:c r="D15" s="21" t="str">
        <x:v>History scope</x:v>
      </x:c>
      <x:c r="E15" s="3" t="str">
        <x:v>Detailed register starts with September rehabilitation and observed campaigns. Earlier Pilot 0/1 work remains indexed by the legacy archive entry.</x:v>
      </x:c>
      <x:c r="F15" s="13"/>
      <x:c r="G15" s="13"/>
      <x:c r="H15" s="13"/>
    </x:row>
    <x:row r="16" ht="24" hidden="0" customHeight="1">
      <x:c r="A16" s="13"/>
      <x:c r="B16" s="13"/>
      <x:c r="C16" s="13"/>
      <x:c r="D16" s="3" t="str">
        <x:v>Candidate grades</x:v>
      </x:c>
      <x:c r="E16" s="3" t="str">
        <x:v>See Candidate grades for significance, robustness and independent confirmation. Blank global FAP/sigma means not established. Conditional review tails are separate.</x:v>
      </x:c>
      <x:c r="F16" s="13"/>
      <x:c r="G16" s="13"/>
      <x:c r="H16" s="13"/>
    </x:row>
    <x:row r="17" ht="24" customHeight="1">
      <x:c r="A17" s="13"/>
      <x:c r="B17" s="13"/>
      <x:c r="C17" s="13"/>
      <x:c r="D17" s="13"/>
      <x:c r="E17" s="13"/>
      <x:c r="F17" s="13"/>
      <x:c r="G17" s="13"/>
      <x:c r="H17" s="13"/>
    </x:row>
    <x:row r="18" ht="24" customHeight="1">
      <x:c r="A18" s="21" t="str">
        <x:v>Current focus</x:v>
      </x:c>
      <x:c r="B18" s="13"/>
      <x:c r="C18" s="13"/>
      <x:c r="D18" s="13"/>
      <x:c r="E18" s="13"/>
      <x:c r="F18" s="13"/>
      <x:c r="G18" s="13"/>
      <x:c r="H18" s="13"/>
    </x:row>
    <x:row r="19" ht="24" customHeight="1">
      <x:c r="A19" s="13"/>
      <x:c r="B19" s="13"/>
      <x:c r="C19" s="13"/>
      <x:c r="D19" s="13"/>
      <x:c r="E19" s="13"/>
      <x:c r="F19" s="13"/>
      <x:c r="G19" s="13"/>
      <x:c r="H19" s="13"/>
    </x:row>
    <x:row r="20" ht="38" customHeight="1">
      <x:c r="A20" s="13" t="str">
        <x:v>Latest original IPTA batch</x:v>
      </x:c>
      <x:c r="B20" s="3" t="str">
        <x:v>1 terminal results recorded</x:v>
      </x:c>
      <x:c r="C20" s="3"/>
      <x:c r="D20" s="13"/>
      <x:c r="E20" s="13"/>
      <x:c r="F20" s="13"/>
      <x:c r="G20" s="13"/>
      <x:c r="H20" s="13"/>
    </x:row>
    <x:row r="21" ht="38" customHeight="1">
      <x:c r="A21" s="13"/>
      <x:c r="B21" s="3"/>
      <x:c r="C21" s="3"/>
      <x:c r="D21" s="13"/>
      <x:c r="E21" s="13"/>
      <x:c r="F21" s="13"/>
      <x:c r="G21" s="13"/>
      <x:c r="H21" s="13"/>
    </x:row>
    <x:row r="22" ht="38" customHeight="1">
      <x:c r="A22" s="13" t="str">
        <x:v>B1257+12 benchmark</x:v>
      </x:c>
      <x:c r="B22" s="3" t="str">
        <x:v>Two larger planets recovered; inner planet below sensitivity</x:v>
      </x:c>
      <x:c r="C22" s="3"/>
      <x:c r="D22" s="13"/>
      <x:c r="E22" s="13"/>
      <x:c r="F22" s="13"/>
      <x:c r="G22" s="13"/>
      <x:c r="H22" s="13"/>
    </x:row>
    <x:row r="23" ht="38" customHeight="1">
      <x:c r="A23" s="13"/>
      <x:c r="B23" s="3"/>
      <x:c r="C23" s="3"/>
      <x:c r="D23" s="13"/>
      <x:c r="E23" s="13"/>
      <x:c r="F23" s="13"/>
      <x:c r="G23" s="13"/>
      <x:c r="H23" s="13"/>
    </x:row>
    <x:row r="24" ht="38" customHeight="1">
      <x:c r="A24" s="13" t="str">
        <x:v>Five additional companions</x:v>
      </x:c>
      <x:c r="B24" s="3" t="str">
        <x:v>Three model-assisted recoveries; two data gaps</x:v>
      </x:c>
      <x:c r="C24" s="3"/>
      <x:c r="D24" s="13"/>
      <x:c r="E24" s="13"/>
      <x:c r="F24" s="13"/>
      <x:c r="G24" s="13"/>
      <x:c r="H24" s="13"/>
    </x:row>
    <x:row r="25" ht="38" customHeight="1">
      <x:c r="A25" s="13"/>
      <x:c r="B25" s="3"/>
      <x:c r="C25" s="3"/>
      <x:c r="D25" s="13"/>
      <x:c r="E25" s="13"/>
      <x:c r="F25" s="13"/>
      <x:c r="G25" s="13"/>
      <x:c r="H25" s="13"/>
    </x:row>
    <x:row r="26" ht="38" customHeight="1">
      <x:c r="A26" s="13" t="str">
        <x:v>Scientific qualification</x:v>
      </x:c>
      <x:c r="B26" s="3" t="str">
        <x:v>Attempt 01 FAIL retained; attempt 02 PASS, 21/21 gates</x:v>
      </x:c>
      <x:c r="C26" s="3"/>
      <x:c r="D26" s="13"/>
      <x:c r="E26" s="13"/>
      <x:c r="F26" s="13"/>
      <x:c r="G26" s="13"/>
      <x:c r="H26" s="13"/>
    </x:row>
    <x:row r="27" ht="38" customHeight="1">
      <x:c r="A27" s="13"/>
      <x:c r="B27" s="3"/>
      <x:c r="C27" s="3"/>
      <x:c r="D27" s="13"/>
      <x:c r="E27" s="13"/>
      <x:c r="F27" s="13"/>
      <x:c r="G27" s="13"/>
      <x:c r="H27" s="13"/>
    </x:row>
    <x:row r="28" ht="38" customHeight="1">
      <x:c r="A28" s="13" t="str">
        <x:v>Maintenance</x:v>
      </x:c>
      <x:c r="B28" s="3" t="str">
        <x:v>Update this master in place after completed work; do not create competing masters.</x:v>
      </x:c>
      <x:c r="C28" s="3"/>
      <x:c r="D28" s="13"/>
      <x:c r="E28" s="13"/>
      <x:c r="F28" s="13"/>
      <x:c r="G28" s="13"/>
      <x:c r="H28" s="13"/>
    </x:row>
    <x:row r="29" ht="24" customHeight="1">
      <x:c r="A29" s="13"/>
      <x:c r="B29" s="13"/>
      <x:c r="C29" s="13"/>
      <x:c r="D29" s="13"/>
      <x:c r="E29" s="13"/>
      <x:c r="F29" s="13"/>
      <x:c r="G29" s="13"/>
      <x:c r="H29" s="13"/>
    </x:row>
    <x:row r="30" ht="24" customHeight="1">
      <x:c r="A30" s="13"/>
      <x:c r="B30" s="13"/>
      <x:c r="C30" s="13"/>
      <x:c r="D30" s="13"/>
      <x:c r="E30" s="13"/>
      <x:c r="F30" s="13"/>
      <x:c r="G30" s="13"/>
      <x:c r="H30" s="13"/>
    </x:row>
    <x:row r="31" ht="24" customHeight="1">
      <x:c r="A31" s="13"/>
      <x:c r="B31" s="13"/>
      <x:c r="C31" s="13"/>
      <x:c r="D31" s="13"/>
      <x:c r="E31" s="13"/>
      <x:c r="F31" s="13"/>
      <x:c r="G31" s="13"/>
      <x:c r="H31" s="13"/>
    </x:row>
    <x:row r="32" ht="24" customHeight="1">
      <x:c r="A32" s="13"/>
      <x:c r="B32" s="13"/>
      <x:c r="C32" s="13"/>
      <x:c r="D32" s="13"/>
      <x:c r="E32" s="13"/>
      <x:c r="F32" s="13"/>
      <x:c r="G32" s="13"/>
      <x:c r="H32" s="13"/>
    </x:row>
    <x:row r="33" ht="24" customHeight="1">
      <x:c r="A33" s="13"/>
      <x:c r="B33" s="13"/>
      <x:c r="C33" s="13"/>
      <x:c r="D33" s="13"/>
      <x:c r="E33" s="13"/>
      <x:c r="F33" s="13"/>
      <x:c r="G33" s="13"/>
      <x:c r="H33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22" hidden="0" customWidth="1"/>
    <x:col min="3" max="3" width="30" hidden="0" customWidth="1"/>
    <x:col min="4" max="4" width="36" hidden="0" customWidth="1"/>
    <x:col min="5" max="5" width="51" hidden="0" customWidth="1"/>
    <x:col min="6" max="6" width="54" hidden="0" customWidth="1"/>
    <x:col min="7" max="7" width="28" hidden="0" customWidth="1"/>
    <x:col min="8" max="8" width="14" hidden="0" customWidth="1"/>
    <x:col min="9" max="9" width="14" hidden="0" customWidth="1"/>
    <x:col min="10" max="10" width="16" hidden="0" customWidth="1"/>
    <x:col min="11" max="11" width="30" hidden="0" customWidth="1"/>
    <x:col min="12" max="12" width="48" hidden="0" customWidth="1"/>
    <x:col min="13" max="13" width="18" hidden="0" customWidth="1"/>
    <x:col min="14" max="14" width="22" hidden="0" customWidth="1"/>
    <x:col min="15" max="15" width="20" hidden="0" customWidth="1"/>
    <x:col min="16" max="16" width="35" hidden="0" customWidth="1"/>
    <x:col min="17" max="17" width="75" hidden="0" customWidth="1"/>
    <x:col min="18" max="18" width="68" hidden="0" customWidth="1"/>
    <x:col min="19" max="19" width="68" hidden="0" customWidth="1"/>
    <x:col min="20" max="20" width="68" hidden="0" customWidth="1"/>
  </x:cols>
  <x:sheetData>
    <x:row r="1" ht="42" customHeight="1">
      <x:c r="A1" s="6" t="str">
        <x:v>Target ID</x:v>
      </x:c>
      <x:c r="B1" s="6" t="str">
        <x:v>Aliases</x:v>
      </x:c>
      <x:c r="C1" s="6" t="str">
        <x:v>Current research status</x:v>
      </x:c>
      <x:c r="D1" s="6" t="str">
        <x:v>Latest record ID</x:v>
      </x:c>
      <x:c r="E1" s="6" t="str">
        <x:v>Recorded finding</x:v>
      </x:c>
      <x:c r="F1" s="6" t="str">
        <x:v>Next work / repeat rule</x:v>
      </x:c>
      <x:c r="G1" s="6" t="str">
        <x:v>Timing dataset status</x:v>
      </x:c>
      <x:c r="H1" s="6" t="str">
        <x:v>Inventory TOAs</x:v>
      </x:c>
      <x:c r="I1" s="6" t="str">
        <x:v>Inventory epochs</x:v>
      </x:c>
      <x:c r="J1" s="6" t="str">
        <x:v>Inventory span (days)</x:v>
      </x:c>
      <x:c r="K1" s="6" t="str">
        <x:v>Inventory selection</x:v>
      </x:c>
      <x:c r="L1" s="6" t="str">
        <x:v>Exclusion reason</x:v>
      </x:c>
      <x:c r="M1" s="6" t="str">
        <x:v>JBO inventory</x:v>
      </x:c>
      <x:c r="N1" s="6" t="str">
        <x:v>NANOGrav 11 inventory</x:v>
      </x:c>
      <x:c r="O1" s="6" t="str">
        <x:v>EPTA DR2 inventory</x:v>
      </x:c>
      <x:c r="P1" s="6" t="str">
        <x:v>Operator notes</x:v>
      </x:c>
      <x:c r="Q1" s="6" t="str">
        <x:v>Inventory evidence</x:v>
      </x:c>
      <x:c r="R1" s="6" t="str">
        <x:v>Evidence SHA-256</x:v>
      </x:c>
      <x:c r="S1" s="6" t="str">
        <x:v>PAR SHA</x:v>
      </x:c>
      <x:c r="T1" s="6" t="str">
        <x:v>TIM SHA</x:v>
      </x:c>
    </x:row>
    <x:row r="2" ht="15" hidden="0" customHeight="1">
      <x:c r="A2" s="3" t="str">
        <x:v>J0636-3044</x:v>
      </x:c>
      <x:c r="B2" s="3" t="str"/>
      <x:c r="C2" s="3" t="str">
        <x:v>NO_TRIGGER</x:v>
      </x:c>
      <x:c r="D2" s="3" t="str">
        <x:v>MPTA01-J0636-3044-run01</x:v>
      </x:c>
      <x:c r="E2" s="3" t="str">
        <x:v>No qualifying signal in eligible 30–400-day cells</x:v>
      </x:c>
      <x:c r="F2" s="3" t="str">
        <x:v>Retain result; consider independent data or a separately defined new scope</x:v>
      </x:c>
      <x:c r="G2" s="3" t="str">
        <x:v>SEARCHED</x:v>
      </x:c>
      <x:c r="H2" s="7" t="n">
        <x:v>2217</x:v>
      </x:c>
      <x:c r="I2" s="7" t="n">
        <x:v>80</x:v>
      </x:c>
      <x:c r="J2" s="8" t="n">
        <x:v>1539.0359355463443</x:v>
      </x:c>
      <x:c r="K2" s="3" t="str">
        <x:v>SELECTED</x:v>
      </x:c>
      <x:c r="L2" s="3" t="str"/>
      <x:c r="M2" s="3" t="str">
        <x:v>NOT LISTED</x:v>
      </x:c>
      <x:c r="N2" s="3" t="str">
        <x:v>NOT LISTED</x:v>
      </x:c>
      <x:c r="O2" s="3" t="str">
        <x:v>NOT LISTED</x:v>
      </x:c>
      <x:c r="P2" s="9" t="str"/>
      <x:c r="Q2" s="3" t="str">
        <x:v>../Project Recherche Data/mpta-batch01-20260908/selection.json</x:v>
      </x:c>
      <x:c r="R2" s="3" t="str">
        <x:v>c7019cba9baaf2fa7bc792a2c66ba62417be412436fa4e73f9c6af6e3e866ed6</x:v>
      </x:c>
      <x:c r="S2" s="3" t="str">
        <x:v>b1c0c912a08ea20c849d5e70f34790a05d0fc520c194c422e3fa1494a428f548</x:v>
      </x:c>
      <x:c r="T2" s="3" t="str">
        <x:v>d8e1af5d4ce9ab11bf1e56f48143fca985f7c4ad46633c8563a61fda50337415</x:v>
      </x:c>
    </x:row>
    <x:row r="3" ht="24" hidden="0" customHeight="1">
      <x:c r="A3" s="3" t="str">
        <x:v>J0711-6830</x:v>
      </x:c>
      <x:c r="B3" s="3" t="str"/>
      <x:c r="C3" s="3" t="str">
        <x:v>NO_TRIGGER</x:v>
      </x:c>
      <x:c r="D3" s="3" t="str">
        <x:v>ipta-hold-release-20260909-J0711-6830-J0711-6830-run01</x:v>
      </x:c>
      <x:c r="E3" s="3" t="str">
        <x:v>No qualifying signal in eligible 30–2000-day cells</x:v>
      </x:c>
      <x:c r="F3" s="3" t="str">
        <x:v>Preserve completed IPTA NO_TRIGGER; new observations or scope required to search again</x:v>
      </x:c>
      <x:c r="G3" s="3" t="str">
        <x:v>IPTA SEARCH COMPLETE; historical summary difference retained</x:v>
      </x:c>
      <x:c r="H3" s="7" t="n">
        <x:v>5538</x:v>
      </x:c>
      <x:c r="I3" s="7" t="n">
        <x:v>800</x:v>
      </x:c>
      <x:c r="J3" s="8" t="n">
        <x:v>6604.003892885783</x:v>
      </x:c>
      <x:c r="K3" s="3" t="str">
        <x:v>pta-campaign01-20260908-ppta</x:v>
      </x:c>
      <x:c r="L3" s="3" t="str"/>
      <x:c r="M3" s="3" t="str">
        <x:v>NOT LISTED</x:v>
      </x:c>
      <x:c r="N3" s="3" t="str">
        <x:v>NOT LISTED</x:v>
      </x:c>
      <x:c r="O3" s="3" t="str">
        <x:v>NOT LISTED</x:v>
      </x:c>
      <x:c r="P3" s="9" t="str"/>
      <x:c r="Q3" s="3" t="str">
        <x:v>./results/research/ipta-hold-review-20260909/closeout.json</x:v>
      </x:c>
      <x:c r="R3" s="3" t="str">
        <x:v>70d582d49f22c85954e7f764e963bd979512d0bd5380e343799ecbea1c687acd</x:v>
      </x:c>
      <x:c r="S3" s="3" t="str">
        <x:v>f9db51f74a5e6f90155984905c41fd66a8cb0b8f29cba4febe53123c1f346561</x:v>
      </x:c>
      <x:c r="T3" s="3" t="str">
        <x:v>e011de1f8fee4802239ff10026f4557dfc75ff339c8554ee17f4ced83da6bcd2</x:v>
      </x:c>
    </x:row>
    <x:row r="4" ht="15" hidden="0" customHeight="1">
      <x:c r="A4" s="3" t="str">
        <x:v>J0931-1902</x:v>
      </x:c>
      <x:c r="B4" s="3" t="str"/>
      <x:c r="C4" s="3" t="str">
        <x:v>NO_TRIGGER</x:v>
      </x:c>
      <x:c r="D4" s="3" t="str">
        <x:v>ng15-batch01-20260908-J0931-1902-run01</x:v>
      </x:c>
      <x:c r="E4" s="3" t="str">
        <x:v>No qualifying signal in eligible 30–1296-day cells</x:v>
      </x:c>
      <x:c r="F4" s="3" t="str">
        <x:v>Retain result; consider independent data or a separately defined new scope</x:v>
      </x:c>
      <x:c r="G4" s="3" t="str">
        <x:v>SEARCHED</x:v>
      </x:c>
      <x:c r="H4" s="7" t="n">
        <x:v>190</x:v>
      </x:c>
      <x:c r="I4" s="7" t="n">
        <x:v>165</x:v>
      </x:c>
      <x:c r="J4" s="8" t="n">
        <x:v>2591.914803064181</x:v>
      </x:c>
      <x:c r="K4" s="3" t="str">
        <x:v>ng15-batch01-20260908</x:v>
      </x:c>
      <x:c r="L4" s="3" t="str"/>
      <x:c r="M4" s="3" t="str">
        <x:v>LISTED</x:v>
      </x:c>
      <x:c r="N4" s="3" t="str">
        <x:v>LISTED</x:v>
      </x:c>
      <x:c r="O4" s="3" t="str">
        <x:v>NOT LISTED</x:v>
      </x:c>
      <x:c r="P4" s="9" t="str"/>
      <x:c r="Q4" s="3" t="str">
        <x:v>../Project Recherche Data/ng15-batch01-20260908/selection.json</x:v>
      </x:c>
      <x:c r="R4" s="3" t="str">
        <x:v>2d3003c851ffec9c4ede2ca61d339b1ce5bc3eee41a1dc7b460e10677b60f5bd</x:v>
      </x:c>
      <x:c r="S4" s="3" t="str">
        <x:v>e57a5728415c904b57d5c8efc836a46ad7ad4a3b40636e9dcddb35c024f631b5</x:v>
      </x:c>
      <x:c r="T4" s="3" t="str">
        <x:v>34ec732618ba2161f329c04b20c76273423fa65e2cbd7a85ec1ae0361f052302</x:v>
      </x:c>
    </x:row>
    <x:row r="5" ht="24" hidden="0" customHeight="1">
      <x:c r="A5" s="3" t="str">
        <x:v>J1300+1240</x:v>
      </x:c>
      <x:c r="B5" s="3" t="str">
        <x:v>B1257+12</x:v>
      </x:c>
      <x:c r="C5" s="3" t="str">
        <x:v>PARTIAL_KNOWN_SYSTEM_RECOVERY</x:v>
      </x:c>
      <x:c r="D5" s="3" t="str">
        <x:v>B1257-refinement01</x:v>
      </x:c>
      <x:c r="E5" s="3" t="str">
        <x:v>Two larger known planets recovered; inner planet below sensitivity</x:v>
      </x:c>
      <x:c r="F5" s="3" t="str">
        <x:v>Higher-precision TOAs needed for inner planet; no threshold retuning</x:v>
      </x:c>
      <x:c r="G5" s="3" t="str">
        <x:v>NOT IN RELEASE</x:v>
      </x:c>
      <x:c r="H5" s="7"/>
      <x:c r="I5" s="7"/>
      <x:c r="J5" s="8"/>
      <x:c r="K5" s="3" t="str">
        <x:v>NOT IN MPTA INVENTORY</x:v>
      </x:c>
      <x:c r="L5" s="3" t="str"/>
      <x:c r="M5" s="3" t="str">
        <x:v>NOT CHECKED</x:v>
      </x:c>
      <x:c r="N5" s="3" t="str">
        <x:v>NOT CHECKED</x:v>
      </x:c>
      <x:c r="O5" s="3" t="str">
        <x:v>NOT CHECKED</x:v>
      </x:c>
      <x:c r="P5" s="9" t="str"/>
      <x:c r="Q5" s="3" t="str">
        <x:v>../Project Recherche Data/b1257-benchmark-20260908/refinement01/result.json</x:v>
      </x:c>
      <x:c r="R5" s="3" t="str">
        <x:v>f30a2938425df6edc9984920db38037c798821f31c7073e69ff3da55a66f3854</x:v>
      </x:c>
      <x:c r="S5" s="3"/>
      <x:c r="T5" s="3"/>
    </x:row>
    <x:row r="6" ht="24" hidden="0" customHeight="1">
      <x:c r="A6" s="3" t="str">
        <x:v>J1544+4937</x:v>
      </x:c>
      <x:c r="B6" s="3" t="str"/>
      <x:c r="C6" s="3" t="str">
        <x:v>KNOWN_COMPANION_RECOVERED</x:v>
      </x:c>
      <x:c r="D6" s="3" t="str">
        <x:v>COMPANION-J1544+4937-run01</x:v>
      </x:c>
      <x:c r="E6" s="3" t="str">
        <x:v>Known black-widow companion recovered</x:v>
      </x:c>
      <x:c r="F6" s="3" t="str">
        <x:v>Retain benchmark; no automatic blind-discovery claim</x:v>
      </x:c>
      <x:c r="G6" s="3" t="str">
        <x:v>NOT IN RELEASE</x:v>
      </x:c>
      <x:c r="H6" s="7"/>
      <x:c r="I6" s="7"/>
      <x:c r="J6" s="8"/>
      <x:c r="K6" s="3" t="str">
        <x:v>NOT IN MPTA INVENTORY</x:v>
      </x:c>
      <x:c r="L6" s="3" t="str"/>
      <x:c r="M6" s="3" t="str">
        <x:v>NOT CHECKED</x:v>
      </x:c>
      <x:c r="N6" s="3" t="str">
        <x:v>NOT CHECKED</x:v>
      </x:c>
      <x:c r="O6" s="3" t="str">
        <x:v>NOT CHECKED</x:v>
      </x:c>
      <x:c r="P6" s="9" t="str"/>
      <x:c r="Q6" s="3" t="str">
        <x:v>../Project Recherche Data/five-companion-benchmark-20260908/J1544+4937/run01/result.json</x:v>
      </x:c>
      <x:c r="R6" s="3" t="str">
        <x:v>c7850158c54d2942a1dfdd734256e859511daeb3a8f7bd595290646fcbbe2b12</x:v>
      </x:c>
      <x:c r="S6" s="3"/>
      <x:c r="T6" s="3"/>
    </x:row>
    <x:row r="7" ht="15" hidden="0" customHeight="1">
      <x:c r="A7" s="3" t="str">
        <x:v>J1629-6902</x:v>
      </x:c>
      <x:c r="B7" s="3" t="str"/>
      <x:c r="C7" s="3" t="str">
        <x:v>NO_TRIGGER</x:v>
      </x:c>
      <x:c r="D7" s="3" t="str">
        <x:v>MPTA01-J1629-6902-run01</x:v>
      </x:c>
      <x:c r="E7" s="3" t="str">
        <x:v>No qualifying signal in eligible 30–400-day cells</x:v>
      </x:c>
      <x:c r="F7" s="3" t="str">
        <x:v>Retain result; consider independent data or a separately defined new scope</x:v>
      </x:c>
      <x:c r="G7" s="3" t="str">
        <x:v>SEARCHED</x:v>
      </x:c>
      <x:c r="H7" s="7" t="n">
        <x:v>3106</x:v>
      </x:c>
      <x:c r="I7" s="7" t="n">
        <x:v>102</x:v>
      </x:c>
      <x:c r="J7" s="8" t="n">
        <x:v>1604.523502389784</x:v>
      </x:c>
      <x:c r="K7" s="3" t="str">
        <x:v>SELECTED</x:v>
      </x:c>
      <x:c r="L7" s="3" t="str"/>
      <x:c r="M7" s="3" t="str">
        <x:v>NOT LISTED</x:v>
      </x:c>
      <x:c r="N7" s="3" t="str">
        <x:v>NOT LISTED</x:v>
      </x:c>
      <x:c r="O7" s="3" t="str">
        <x:v>NOT LISTED</x:v>
      </x:c>
      <x:c r="P7" s="9" t="str"/>
      <x:c r="Q7" s="3" t="str">
        <x:v>../Project Recherche Data/mpta-batch01-20260908/selection.json</x:v>
      </x:c>
      <x:c r="R7" s="3" t="str">
        <x:v>c7019cba9baaf2fa7bc792a2c66ba62417be412436fa4e73f9c6af6e3e866ed6</x:v>
      </x:c>
      <x:c r="S7" s="3" t="str">
        <x:v>e1d55ba67caa284020ec02e12cc9e372e0c1ffa5153a9bdf23ab3562986e924f</x:v>
      </x:c>
      <x:c r="T7" s="3" t="str">
        <x:v>cdf1605621026a96e6e32ce3a8a0751281074974a8ed86416f1426256f9cb9a5</x:v>
      </x:c>
    </x:row>
    <x:row r="8" ht="15" hidden="0" customHeight="1">
      <x:c r="A8" s="3" t="str">
        <x:v>J1658-5324</x:v>
      </x:c>
      <x:c r="B8" s="3" t="str"/>
      <x:c r="C8" s="3" t="str">
        <x:v>NO_TRIGGER</x:v>
      </x:c>
      <x:c r="D8" s="3" t="str">
        <x:v>MPTA01-J1658-5324-run01</x:v>
      </x:c>
      <x:c r="E8" s="3" t="str">
        <x:v>No qualifying signal in eligible 30–400-day cells</x:v>
      </x:c>
      <x:c r="F8" s="3" t="str">
        <x:v>Retain result; consider independent data or a separately defined new scope</x:v>
      </x:c>
      <x:c r="G8" s="3" t="str">
        <x:v>SEARCHED</x:v>
      </x:c>
      <x:c r="H8" s="7" t="n">
        <x:v>1161</x:v>
      </x:c>
      <x:c r="I8" s="7" t="n">
        <x:v>71</x:v>
      </x:c>
      <x:c r="J8" s="8" t="n">
        <x:v>1481.9829883232742</x:v>
      </x:c>
      <x:c r="K8" s="3" t="str">
        <x:v>SELECTED</x:v>
      </x:c>
      <x:c r="L8" s="3" t="str"/>
      <x:c r="M8" s="3" t="str">
        <x:v>NOT LISTED</x:v>
      </x:c>
      <x:c r="N8" s="3" t="str">
        <x:v>NOT LISTED</x:v>
      </x:c>
      <x:c r="O8" s="3" t="str">
        <x:v>NOT LISTED</x:v>
      </x:c>
      <x:c r="P8" s="9" t="str"/>
      <x:c r="Q8" s="3" t="str">
        <x:v>../Project Recherche Data/mpta-batch01-20260908/selection.json</x:v>
      </x:c>
      <x:c r="R8" s="3" t="str">
        <x:v>c7019cba9baaf2fa7bc792a2c66ba62417be412436fa4e73f9c6af6e3e866ed6</x:v>
      </x:c>
      <x:c r="S8" s="3" t="str">
        <x:v>19dd21de2efa3a1913e1112fc8c747f01ccf9cae9064ec6e06748b4f3e379055</x:v>
      </x:c>
      <x:c r="T8" s="3" t="str">
        <x:v>b67ed051c6faa27b99f96f37493543e559cbf7b22e317e137317929d398727b3</x:v>
      </x:c>
    </x:row>
    <x:row r="9" ht="15" hidden="0" customHeight="1">
      <x:c r="A9" s="3" t="str">
        <x:v>J1719-1438</x:v>
      </x:c>
      <x:c r="B9" s="3" t="str"/>
      <x:c r="C9" s="3" t="str">
        <x:v>KNOWN_COMPANION_RECOVERED</x:v>
      </x:c>
      <x:c r="D9" s="3" t="str">
        <x:v>COMPANION-J1719-1438-run01</x:v>
      </x:c>
      <x:c r="E9" s="3" t="str">
        <x:v>Known companion recovered; model-assisted</x:v>
      </x:c>
      <x:c r="F9" s="3" t="str">
        <x:v>Retain benchmark; no automatic blind-discovery claim</x:v>
      </x:c>
      <x:c r="G9" s="3" t="str">
        <x:v>COMPANION BENCHMARK ONLY</x:v>
      </x:c>
      <x:c r="H9" s="7" t="n">
        <x:v>2659</x:v>
      </x:c>
      <x:c r="I9" s="7" t="n">
        <x:v>100</x:v>
      </x:c>
      <x:c r="J9" s="8" t="n">
        <x:v>1558.619144293938</x:v>
      </x:c>
      <x:c r="K9" s="3" t="str">
        <x:v>EXCLUDED FROM BATCH 01</x:v>
      </x:c>
      <x:c r="L9" s="3" t="str">
        <x:v>supplied_binary_model</x:v>
      </x:c>
      <x:c r="M9" s="3" t="str">
        <x:v>LISTED</x:v>
      </x:c>
      <x:c r="N9" s="3" t="str">
        <x:v>NOT LISTED</x:v>
      </x:c>
      <x:c r="O9" s="3" t="str">
        <x:v>NOT LISTED</x:v>
      </x:c>
      <x:c r="P9" s="9" t="str"/>
      <x:c r="Q9" s="3" t="str">
        <x:v>../Project Recherche Data/mpta-batch01-20260908/selection.json</x:v>
      </x:c>
      <x:c r="R9" s="3" t="str">
        <x:v>c7019cba9baaf2fa7bc792a2c66ba62417be412436fa4e73f9c6af6e3e866ed6</x:v>
      </x:c>
      <x:c r="S9" s="3" t="str">
        <x:v>6ef48e36ac11f769c4db83495303358a660463ea9a3144a66493d53154fdac87</x:v>
      </x:c>
      <x:c r="T9" s="3" t="str">
        <x:v>11fac8b77b5d53275f183519539b1e66b8dc08a6689273992fd8f23337722227</x:v>
      </x:c>
    </x:row>
    <x:row r="10" ht="24" hidden="0" customHeight="1">
      <x:c r="A10" s="3" t="str">
        <x:v>J1730-2304</x:v>
      </x:c>
      <x:c r="B10" s="3" t="str"/>
      <x:c r="C10" s="3" t="str">
        <x:v>NO_TRIGGER</x:v>
      </x:c>
      <x:c r="D10" s="3" t="str">
        <x:v>ipta-hold-release-20260909-J1730-2304-J1730-2304-run01</x:v>
      </x:c>
      <x:c r="E10" s="3" t="str">
        <x:v>No qualifying signal in eligible 30–2000-day cells</x:v>
      </x:c>
      <x:c r="F10" s="3" t="str">
        <x:v>Preserve completed IPTA NO_TRIGGER; new observations or scope required to search again</x:v>
      </x:c>
      <x:c r="G10" s="3" t="str">
        <x:v>IPTA SEARCH COMPLETE; historical summary difference retained</x:v>
      </x:c>
      <x:c r="H10" s="7" t="n">
        <x:v>1315</x:v>
      </x:c>
      <x:c r="I10" s="7" t="n">
        <x:v>515</x:v>
      </x:c>
      <x:c r="J10" s="8" t="n">
        <x:v>5882.032003880369</x:v>
      </x:c>
      <x:c r="K10" s="3" t="str">
        <x:v>pta-campaign01-repair01-20260909-epta</x:v>
      </x:c>
      <x:c r="L10" s="3" t="str"/>
      <x:c r="M10" s="3" t="str">
        <x:v>LISTED</x:v>
      </x:c>
      <x:c r="N10" s="3" t="str">
        <x:v>NOT LISTED</x:v>
      </x:c>
      <x:c r="O10" s="3" t="str">
        <x:v>LISTED</x:v>
      </x:c>
      <x:c r="P10" s="9" t="str"/>
      <x:c r="Q10" s="3" t="str">
        <x:v>./results/research/ipta-hold-review-20260909/closeout.json</x:v>
      </x:c>
      <x:c r="R10" s="3" t="str">
        <x:v>70d582d49f22c85954e7f764e963bd979512d0bd5380e343799ecbea1c687acd</x:v>
      </x:c>
      <x:c r="S10" s="3" t="str">
        <x:v>74ac161d48557d8203e524db24926977d7a9ac8534c58ff368d8ef48d4ce43e0</x:v>
      </x:c>
      <x:c r="T10" s="3" t="str">
        <x:v>bd21a65a4d5aec48b78bd2ce154c228899175dfdc2375ca612877ca7efcbaeed</x:v>
      </x:c>
    </x:row>
    <x:row r="11" ht="24" hidden="0" customHeight="1">
      <x:c r="A11" s="3" t="str">
        <x:v>J1843-1113</x:v>
      </x:c>
      <x:c r="B11" s="3" t="str"/>
      <x:c r="C11" s="3" t="str">
        <x:v>NO_TRIGGER</x:v>
      </x:c>
      <x:c r="D11" s="3" t="str">
        <x:v>ipta-hold-release-20260909-J1843-1113-J1843-1113-run01</x:v>
      </x:c>
      <x:c r="E11" s="3" t="str">
        <x:v>No qualifying signal in eligible 30–1836-day cells</x:v>
      </x:c>
      <x:c r="F11" s="3" t="str">
        <x:v>Preserve completed IPTA NO_TRIGGER; new observations or scope required to search again</x:v>
      </x:c>
      <x:c r="G11" s="3" t="str">
        <x:v>IPTA SEARCH COMPLETE; historical summary difference retained</x:v>
      </x:c>
      <x:c r="H11" s="7" t="n">
        <x:v>893</x:v>
      </x:c>
      <x:c r="I11" s="7" t="n">
        <x:v>444</x:v>
      </x:c>
      <x:c r="J11" s="8" t="n">
        <x:v>6137.180293829406</x:v>
      </x:c>
      <x:c r="K11" s="3" t="str">
        <x:v>pta-campaign01-20260908-epta</x:v>
      </x:c>
      <x:c r="L11" s="3" t="str"/>
      <x:c r="M11" s="3" t="str">
        <x:v>LISTED</x:v>
      </x:c>
      <x:c r="N11" s="3" t="str">
        <x:v>NOT LISTED</x:v>
      </x:c>
      <x:c r="O11" s="3" t="str">
        <x:v>LISTED</x:v>
      </x:c>
      <x:c r="P11" s="9" t="str"/>
      <x:c r="Q11" s="3" t="str">
        <x:v>./results/research/ipta-hold-review-20260909/closeout.json</x:v>
      </x:c>
      <x:c r="R11" s="3" t="str">
        <x:v>70d582d49f22c85954e7f764e963bd979512d0bd5380e343799ecbea1c687acd</x:v>
      </x:c>
      <x:c r="S11" s="3" t="str">
        <x:v>4b79fe37e32359f0cea45b2f1ef8a10ccb415cacf017126937ae4c7307cc7563</x:v>
      </x:c>
      <x:c r="T11" s="3" t="str">
        <x:v>8ae6ba5f6c510e0dbd0fad3a38164db31d6180e95a83aa05e7baa508faa47255</x:v>
      </x:c>
    </x:row>
    <x:row r="12" ht="15" hidden="0" customHeight="1">
      <x:c r="A12" s="3" t="str">
        <x:v>J1843-1448</x:v>
      </x:c>
      <x:c r="B12" s="3" t="str"/>
      <x:c r="C12" s="3" t="str">
        <x:v>NO_TRIGGER</x:v>
      </x:c>
      <x:c r="D12" s="3" t="str">
        <x:v>MPTA01-J1843-1448-run01</x:v>
      </x:c>
      <x:c r="E12" s="3" t="str">
        <x:v>No qualifying signal in eligible 30–400-day cells</x:v>
      </x:c>
      <x:c r="F12" s="3" t="str">
        <x:v>Retain result; consider independent data or a separately defined new scope</x:v>
      </x:c>
      <x:c r="G12" s="3" t="str">
        <x:v>SEARCHED</x:v>
      </x:c>
      <x:c r="H12" s="7" t="n">
        <x:v>1969</x:v>
      </x:c>
      <x:c r="I12" s="7" t="n">
        <x:v>62</x:v>
      </x:c>
      <x:c r="J12" s="8" t="n">
        <x:v>1552.9170014443152</x:v>
      </x:c>
      <x:c r="K12" s="3" t="str">
        <x:v>SELECTED</x:v>
      </x:c>
      <x:c r="L12" s="3" t="str"/>
      <x:c r="M12" s="3" t="str">
        <x:v>NOT LISTED</x:v>
      </x:c>
      <x:c r="N12" s="3" t="str">
        <x:v>NOT LISTED</x:v>
      </x:c>
      <x:c r="O12" s="3" t="str">
        <x:v>NOT LISTED</x:v>
      </x:c>
      <x:c r="P12" s="9" t="str"/>
      <x:c r="Q12" s="3" t="str">
        <x:v>../Project Recherche Data/mpta-batch01-20260908/selection.json</x:v>
      </x:c>
      <x:c r="R12" s="3" t="str">
        <x:v>c7019cba9baaf2fa7bc792a2c66ba62417be412436fa4e73f9c6af6e3e866ed6</x:v>
      </x:c>
      <x:c r="S12" s="3" t="str">
        <x:v>693dd291d5c481cd0970ab8ed885efc354b044300beec606d61c649baf79830e</x:v>
      </x:c>
      <x:c r="T12" s="3" t="str">
        <x:v>1d7b4a936abcd6706db0aa9f2744d129c1f846cda7ebc649633009002bc188fd</x:v>
      </x:c>
    </x:row>
    <x:row r="13" ht="24" hidden="0" customHeight="1">
      <x:c r="A13" s="3" t="str">
        <x:v>J1939+2134</x:v>
      </x:c>
      <x:c r="B13" s="3" t="str">
        <x:v>B1937+21</x:v>
      </x:c>
      <x:c r="C13" s="3" t="str">
        <x:v>PERIODIC_SIGNAL_CANDIDATE</x:v>
      </x:c>
      <x:c r="D13" s="3" t="str">
        <x:v>pta-campaign01-20260908-inpta-J1939+2134-run01</x:v>
      </x:c>
      <x:c r="E13" s="3" t="str">
        <x:v>Threshold-crossing periodic candidate; not a confirmed planet</x:v>
      </x:c>
      <x:c r="F13" s="3" t="str">
        <x:v>Preserve IPTA NO_TRIGGER and prior candidate review; additional independent timing data required</x:v>
      </x:c>
      <x:c r="G13" s="3" t="str">
        <x:v>IPTA SEARCH COMPLETE; historical summary difference retained</x:v>
      </x:c>
      <x:c r="H13" s="7" t="n">
        <x:v>18191</x:v>
      </x:c>
      <x:c r="I13" s="7" t="n">
        <x:v>157</x:v>
      </x:c>
      <x:c r="J13" s="8" t="n">
        <x:v>2156.140555708771</x:v>
      </x:c>
      <x:c r="K13" s="3" t="str">
        <x:v>pta-campaign01-20260908-inpta</x:v>
      </x:c>
      <x:c r="L13" s="3" t="str"/>
      <x:c r="M13" s="3" t="str">
        <x:v>NOT CHECKED</x:v>
      </x:c>
      <x:c r="N13" s="3" t="str">
        <x:v>NOT CHECKED</x:v>
      </x:c>
      <x:c r="O13" s="3" t="str">
        <x:v>NOT CHECKED</x:v>
      </x:c>
      <x:c r="P13" s="9" t="str"/>
      <x:c r="Q13" s="3" t="str">
        <x:v>./results/research/ipta-hold-review-20260909/closeout.json</x:v>
      </x:c>
      <x:c r="R13" s="3" t="str">
        <x:v>70d582d49f22c85954e7f764e963bd979512d0bd5380e343799ecbea1c687acd</x:v>
      </x:c>
      <x:c r="S13" s="3" t="str">
        <x:v>894eb85a82e2b708b841a41a98a18dbd6eb9021607d03fc7d3cc1b1fc10f75be</x:v>
      </x:c>
      <x:c r="T13" s="3" t="str">
        <x:v>c243ddfa50cdf848cd7a25c18cb6b3ece267f6be3d29ee3fa602206ddb45fcec</x:v>
      </x:c>
    </x:row>
    <x:row r="14" ht="15" hidden="0" customHeight="1">
      <x:c r="A14" s="3" t="str">
        <x:v>J2010-1323</x:v>
      </x:c>
      <x:c r="B14" s="3" t="str"/>
      <x:c r="C14" s="3" t="str">
        <x:v>NO_TRIGGER</x:v>
      </x:c>
      <x:c r="D14" s="3" t="str">
        <x:v>ipta-batch02-20260909-J2010-1323-J2010-1323-run01</x:v>
      </x:c>
      <x:c r="E14" s="3" t="str">
        <x:v>No qualifying signal in eligible 30–1348-day cells</x:v>
      </x:c>
      <x:c r="F14" s="3" t="str">
        <x:v>Retain result; consider independent data or a separately defined new scope</x:v>
      </x:c>
      <x:c r="G14" s="3" t="str">
        <x:v>SEARCHED</x:v>
      </x:c>
      <x:c r="H14" s="7" t="n">
        <x:v>350</x:v>
      </x:c>
      <x:c r="I14" s="7" t="n">
        <x:v>241</x:v>
      </x:c>
      <x:c r="J14" s="8" t="n">
        <x:v>3847.644091246366</x:v>
      </x:c>
      <x:c r="K14" s="3" t="str">
        <x:v>ng15-batch01-20260908</x:v>
      </x:c>
      <x:c r="L14" s="3" t="str"/>
      <x:c r="M14" s="3" t="str">
        <x:v>LISTED</x:v>
      </x:c>
      <x:c r="N14" s="3" t="str">
        <x:v>LISTED</x:v>
      </x:c>
      <x:c r="O14" s="3" t="str">
        <x:v>NOT LISTED</x:v>
      </x:c>
      <x:c r="P14" s="9" t="str"/>
      <x:c r="Q14" s="3" t="str">
        <x:v>../Project Recherche Data/ng15-batch01-20260908/selection.json</x:v>
      </x:c>
      <x:c r="R14" s="3" t="str">
        <x:v>2d3003c851ffec9c4ede2ca61d339b1ce5bc3eee41a1dc7b460e10677b60f5bd</x:v>
      </x:c>
      <x:c r="S14" s="3" t="str">
        <x:v>d3fc4bc30540fdcdbe8b3ac96803f1ea479647da7a36c5b80e3836e194515c8d</x:v>
      </x:c>
      <x:c r="T14" s="3" t="str">
        <x:v>f00e6e7fbbd8787836a10d78e1535fa956736922129150f895171f871fa0f6a9</x:v>
      </x:c>
    </x:row>
    <x:row r="15" ht="24" hidden="0" customHeight="1">
      <x:c r="A15" s="3" t="str">
        <x:v>J2124-3358</x:v>
      </x:c>
      <x:c r="B15" s="3" t="str"/>
      <x:c r="C15" s="3" t="str">
        <x:v>NO_TRIGGER</x:v>
      </x:c>
      <x:c r="D15" s="3" t="str">
        <x:v>ipta-hold-release-20260909-J2124-3358-J2124-3358-run01</x:v>
      </x:c>
      <x:c r="E15" s="3" t="str">
        <x:v>No qualifying signal in eligible 30–2000-day cells</x:v>
      </x:c>
      <x:c r="F15" s="3" t="str">
        <x:v>Preserve completed IPTA NO_TRIGGER; new observations or scope required to search again</x:v>
      </x:c>
      <x:c r="G15" s="3" t="str">
        <x:v>IPTA SEARCH COMPLETE; historical summary difference retained</x:v>
      </x:c>
      <x:c r="H15" s="7" t="n">
        <x:v>5153</x:v>
      </x:c>
      <x:c r="I15" s="7" t="n">
        <x:v>129</x:v>
      </x:c>
      <x:c r="J15" s="8" t="n">
        <x:v>2156.1414815468597</x:v>
      </x:c>
      <x:c r="K15" s="3" t="str">
        <x:v>pta-campaign01-20260908-inpta</x:v>
      </x:c>
      <x:c r="L15" s="3" t="str"/>
      <x:c r="M15" s="3" t="str">
        <x:v>LISTED</x:v>
      </x:c>
      <x:c r="N15" s="3" t="str">
        <x:v>NOT LISTED</x:v>
      </x:c>
      <x:c r="O15" s="3" t="str">
        <x:v>LISTED</x:v>
      </x:c>
      <x:c r="P15" s="9" t="str"/>
      <x:c r="Q15" s="3" t="str">
        <x:v>./results/research/ipta-hold-review-20260909/closeout.json</x:v>
      </x:c>
      <x:c r="R15" s="3" t="str">
        <x:v>70d582d49f22c85954e7f764e963bd979512d0bd5380e343799ecbea1c687acd</x:v>
      </x:c>
      <x:c r="S15" s="3" t="str">
        <x:v>42d717e647292f42513b2eddf14f1cf539214d6c8caa4eaecc5a53246785a587</x:v>
      </x:c>
      <x:c r="T15" s="3" t="str">
        <x:v>c243ddfa50cdf848cd7a25c18cb6b3ece267f6be3d29ee3fa602206ddb45fcec</x:v>
      </x:c>
    </x:row>
    <x:row r="16" ht="15" hidden="0" customHeight="1">
      <x:c r="A16" s="3" t="str">
        <x:v>J2322-2650</x:v>
      </x:c>
      <x:c r="B16" s="3" t="str"/>
      <x:c r="C16" s="3" t="str">
        <x:v>KNOWN_COMPANION_RECOVERED</x:v>
      </x:c>
      <x:c r="D16" s="3" t="str">
        <x:v>COMPANION-J2322-2650-run01</x:v>
      </x:c>
      <x:c r="E16" s="3" t="str">
        <x:v>Known companion recovered; model-assisted</x:v>
      </x:c>
      <x:c r="F16" s="3" t="str">
        <x:v>Retain benchmark; no automatic blind-discovery claim</x:v>
      </x:c>
      <x:c r="G16" s="3" t="str">
        <x:v>COMPANION BENCHMARK ONLY</x:v>
      </x:c>
      <x:c r="H16" s="7" t="n">
        <x:v>1967</x:v>
      </x:c>
      <x:c r="I16" s="7" t="n">
        <x:v>76</x:v>
      </x:c>
      <x:c r="J16" s="8" t="n">
        <x:v>1398.2354508316057</x:v>
      </x:c>
      <x:c r="K16" s="3" t="str">
        <x:v>EXCLUDED FROM BATCH 01</x:v>
      </x:c>
      <x:c r="L16" s="3" t="str">
        <x:v>supplied_binary_model</x:v>
      </x:c>
      <x:c r="M16" s="3" t="str">
        <x:v>LISTED</x:v>
      </x:c>
      <x:c r="N16" s="3" t="str">
        <x:v>NOT LISTED</x:v>
      </x:c>
      <x:c r="O16" s="3" t="str">
        <x:v>NOT LISTED</x:v>
      </x:c>
      <x:c r="P16" s="9" t="str"/>
      <x:c r="Q16" s="3" t="str">
        <x:v>../Project Recherche Data/mpta-batch01-20260908/selection.json</x:v>
      </x:c>
      <x:c r="R16" s="3" t="str">
        <x:v>c7019cba9baaf2fa7bc792a2c66ba62417be412436fa4e73f9c6af6e3e866ed6</x:v>
      </x:c>
      <x:c r="S16" s="3" t="str">
        <x:v>148afe907b700aa37afea95a6be09c291a4b7ad81cad2ab5d146fc56d8bc9004</x:v>
      </x:c>
      <x:c r="T16" s="3" t="str">
        <x:v>244f2d3680377f05c2380af92b482ea7412551fb09edad003f9fdd3e337013d1</x:v>
      </x:c>
    </x:row>
    <x:row r="17" ht="24" hidden="0" customHeight="1">
      <x:c r="A17" s="3" t="str">
        <x:v>J1623-2631</x:v>
      </x:c>
      <x:c r="B17" s="3" t="str">
        <x:v>B1620-26</x:v>
      </x:c>
      <x:c r="C17" s="3" t="str">
        <x:v>DATA_GAP</x:v>
      </x:c>
      <x:c r="D17" s="3" t="str"/>
      <x:c r="E17" s="3" t="str">
        <x:v>No suitable public phase-connected long-span TOAs located</x:v>
      </x:c>
      <x:c r="F17" s="3" t="str">
        <x:v>Obtain long-span TOAs and inner-stellar / outer-planet model</x:v>
      </x:c>
      <x:c r="G17" s="3" t="str">
        <x:v>NOT IN RELEASE</x:v>
      </x:c>
      <x:c r="H17" s="7"/>
      <x:c r="I17" s="7"/>
      <x:c r="J17" s="8"/>
      <x:c r="K17" s="3" t="str">
        <x:v>NOT IN MPTA INVENTORY</x:v>
      </x:c>
      <x:c r="L17" s="3" t="str"/>
      <x:c r="M17" s="3" t="str">
        <x:v>NOT CHECKED</x:v>
      </x:c>
      <x:c r="N17" s="3" t="str">
        <x:v>NOT CHECKED</x:v>
      </x:c>
      <x:c r="O17" s="3" t="str">
        <x:v>NOT CHECKED</x:v>
      </x:c>
      <x:c r="P17" s="9" t="str"/>
      <x:c r="Q17" s="3" t="str">
        <x:v>./results/observed/five-companion-20260908-closeout.json</x:v>
      </x:c>
      <x:c r="R17" s="3" t="str">
        <x:v>e99ebf0b12300b62e3e1152906bd182bbcce82ac9de01c2efb4fc9af4d2fcb05</x:v>
      </x:c>
      <x:c r="S17" s="3"/>
      <x:c r="T17" s="3"/>
    </x:row>
    <x:row r="18" ht="24" hidden="0" customHeight="1">
      <x:c r="A18" s="3" t="str">
        <x:v>J1701-3006H</x:v>
      </x:c>
      <x:c r="B18" s="3" t="str">
        <x:v>M62H; NGC6266H</x:v>
      </x:c>
      <x:c r="C18" s="3" t="str">
        <x:v>DATA_GAP</x:v>
      </x:c>
      <x:c r="D18" s="3" t="str"/>
      <x:c r="E18" s="3" t="str">
        <x:v>No suitable public TOA release located; paper offers data on request</x:v>
      </x:c>
      <x:c r="F18" s="3" t="str">
        <x:v>Obtain phase-connected TOAs, timing model and corrections</x:v>
      </x:c>
      <x:c r="G18" s="3" t="str">
        <x:v>NOT IN RELEASE</x:v>
      </x:c>
      <x:c r="H18" s="7"/>
      <x:c r="I18" s="7"/>
      <x:c r="J18" s="8"/>
      <x:c r="K18" s="3" t="str">
        <x:v>NOT IN MPTA INVENTORY</x:v>
      </x:c>
      <x:c r="L18" s="3" t="str"/>
      <x:c r="M18" s="3" t="str">
        <x:v>NOT CHECKED</x:v>
      </x:c>
      <x:c r="N18" s="3" t="str">
        <x:v>NOT CHECKED</x:v>
      </x:c>
      <x:c r="O18" s="3" t="str">
        <x:v>NOT CHECKED</x:v>
      </x:c>
      <x:c r="P18" s="9" t="str"/>
      <x:c r="Q18" s="3" t="str">
        <x:v>./results/observed/five-companion-20260908-closeout.json</x:v>
      </x:c>
      <x:c r="R18" s="3" t="str">
        <x:v>e99ebf0b12300b62e3e1152906bd182bbcce82ac9de01c2efb4fc9af4d2fcb05</x:v>
      </x:c>
      <x:c r="S18" s="3"/>
      <x:c r="T18" s="3"/>
    </x:row>
    <x:row r="19" ht="24" hidden="0" customHeight="1">
      <x:c r="A19" s="3" t="str">
        <x:v>J0030+0451</x:v>
      </x:c>
      <x:c r="B19" s="3" t="str"/>
      <x:c r="C19" s="3" t="str">
        <x:v>NO_TRIGGER</x:v>
      </x:c>
      <x:c r="D19" s="3" t="str">
        <x:v>ipta-batch02-20260909-J0030+0451-J0030+0451-run01</x:v>
      </x:c>
      <x:c r="E19" s="3" t="str">
        <x:v>No qualifying signal in eligible 30–2000-day cells</x:v>
      </x:c>
      <x:c r="F19" s="3" t="str">
        <x:v>Retain result; consider independent data or a separately defined new scope</x:v>
      </x:c>
      <x:c r="G19" s="3" t="str">
        <x:v>SEARCHED</x:v>
      </x:c>
      <x:c r="H19" s="7" t="n">
        <x:v>4069</x:v>
      </x:c>
      <x:c r="I19" s="7" t="n">
        <x:v>1654</x:v>
      </x:c>
      <x:c r="J19" s="8" t="n">
        <x:v>8019.146900452128</x:v>
      </x:c>
      <x:c r="K19" s="3" t="str">
        <x:v>pta-campaign01-20260908-epta</x:v>
      </x:c>
      <x:c r="L19" s="3" t="str"/>
      <x:c r="M19" s="3" t="str">
        <x:v>LISTED</x:v>
      </x:c>
      <x:c r="N19" s="3" t="str">
        <x:v>LISTED</x:v>
      </x:c>
      <x:c r="O19" s="3" t="str">
        <x:v>LISTED</x:v>
      </x:c>
      <x:c r="P19" s="9" t="str"/>
      <x:c r="Q19" s="3" t="str">
        <x:v>../Project Recherche Data/pta-campaign01-20260908/epta/selection.json</x:v>
      </x:c>
      <x:c r="R19" s="3" t="str">
        <x:v>e98b491e2df714c34d8453c722c33a640e14b9934eab974095c9f3b5c3b6389f</x:v>
      </x:c>
      <x:c r="S19" s="3" t="str">
        <x:v>dbd7e96c589637ebb7d26e26844df3b3bed91474c00e444552dd3987d696e84b</x:v>
      </x:c>
      <x:c r="T19" s="3" t="str">
        <x:v>fb1a1dac970dabff3086880ca7a608748312d84d3cc2dd7d9a6aa914190662da</x:v>
      </x:c>
    </x:row>
    <x:row r="20" ht="15" hidden="0" customHeight="1">
      <x:c r="A20" s="3" t="str">
        <x:v>J0101-6422</x:v>
      </x:c>
      <x:c r="B20" s="3" t="str"/>
      <x:c r="C20" s="3" t="str">
        <x:v>NOT_SEARCHED</x:v>
      </x:c>
      <x:c r="D20" s="3" t="str"/>
      <x:c r="E20" s="3" t="str">
        <x:v>Inventory only; no Recherche observed search recorded</x:v>
      </x:c>
      <x:c r="F20" s="3" t="str">
        <x:v>Different model or data scope needed before selection</x:v>
      </x:c>
      <x:c r="G20" s="3" t="str">
        <x:v>AVAILABLE; NOT SEARCHED</x:v>
      </x:c>
      <x:c r="H20" s="7" t="n">
        <x:v>1430</x:v>
      </x:c>
      <x:c r="I20" s="7" t="n">
        <x:v>55</x:v>
      </x:c>
      <x:c r="J20" s="8" t="n">
        <x:v>1394.1472691040326</x:v>
      </x:c>
      <x:c r="K20" s="3" t="str">
        <x:v>EXCLUDED FROM BATCH 01</x:v>
      </x:c>
      <x:c r="L20" s="3" t="str">
        <x:v>supplied_binary_model</x:v>
      </x:c>
      <x:c r="M20" s="3" t="str">
        <x:v>NOT LISTED</x:v>
      </x:c>
      <x:c r="N20" s="3" t="str">
        <x:v>NOT LISTED</x:v>
      </x:c>
      <x:c r="O20" s="3" t="str">
        <x:v>NOT LISTED</x:v>
      </x:c>
      <x:c r="P20" s="9" t="str"/>
      <x:c r="Q20" s="3" t="str">
        <x:v>../Project Recherche Data/mpta-batch01-20260908/selection.json</x:v>
      </x:c>
      <x:c r="R20" s="3" t="str">
        <x:v>c7019cba9baaf2fa7bc792a2c66ba62417be412436fa4e73f9c6af6e3e866ed6</x:v>
      </x:c>
      <x:c r="S20" s="3" t="str">
        <x:v>cea1dc021af72f77e682d469de48b499c475007a5438b16f6cd8a91689bded58</x:v>
      </x:c>
      <x:c r="T20" s="3" t="str">
        <x:v>4cee36d60077dd53a505a96eb65cdc0fe374d887ea38c87abd1099c2462df266</x:v>
      </x:c>
    </x:row>
    <x:row r="21" ht="15" hidden="0" customHeight="1">
      <x:c r="A21" s="3" t="str">
        <x:v>J0125-2327</x:v>
      </x:c>
      <x:c r="B21" s="3" t="str"/>
      <x:c r="C21" s="3" t="str">
        <x:v>NOT_SEARCHED</x:v>
      </x:c>
      <x:c r="D21" s="3" t="str"/>
      <x:c r="E21" s="3" t="str">
        <x:v>Inventory only; no Recherche observed search recorded</x:v>
      </x:c>
      <x:c r="F21" s="3" t="str">
        <x:v>Different model or data scope needed before selection</x:v>
      </x:c>
      <x:c r="G21" s="3" t="str">
        <x:v>AVAILABLE; NOT SEARCHED</x:v>
      </x:c>
      <x:c r="H21" s="7" t="n">
        <x:v>3170</x:v>
      </x:c>
      <x:c r="I21" s="7" t="n">
        <x:v>101</x:v>
      </x:c>
      <x:c r="J21" s="8" t="n">
        <x:v>1552.9527974894227</x:v>
      </x:c>
      <x:c r="K21" s="3" t="str">
        <x:v>EXCLUDED FROM BATCH 01</x:v>
      </x:c>
      <x:c r="L21" s="3" t="str">
        <x:v>supplied_binary_model</x:v>
      </x:c>
      <x:c r="M21" s="3" t="str">
        <x:v>NOT LISTED</x:v>
      </x:c>
      <x:c r="N21" s="3" t="str">
        <x:v>NOT LISTED</x:v>
      </x:c>
      <x:c r="O21" s="3" t="str">
        <x:v>NOT LISTED</x:v>
      </x:c>
      <x:c r="P21" s="9" t="str"/>
      <x:c r="Q21" s="3" t="str">
        <x:v>../Project Recherche Data/mpta-batch01-20260908/selection.json</x:v>
      </x:c>
      <x:c r="R21" s="3" t="str">
        <x:v>c7019cba9baaf2fa7bc792a2c66ba62417be412436fa4e73f9c6af6e3e866ed6</x:v>
      </x:c>
      <x:c r="S21" s="3" t="str">
        <x:v>ba9ad0329e1539b851f4ea704764c77006f357feaede33d492256276ef027602</x:v>
      </x:c>
      <x:c r="T21" s="3" t="str">
        <x:v>d8e1658c90e5da975abe756c9f20010903b9ed05bc416d3dcf7baa5ce669391f</x:v>
      </x:c>
    </x:row>
    <x:row r="22" ht="15" hidden="0" customHeight="1">
      <x:c r="A22" s="3" t="str">
        <x:v>J0437-4715</x:v>
      </x:c>
      <x:c r="B22" s="3" t="str"/>
      <x:c r="C22" s="3" t="str">
        <x:v>NOT_SEARCHED</x:v>
      </x:c>
      <x:c r="D22" s="3" t="str"/>
      <x:c r="E22" s="3" t="str">
        <x:v>Inventory only; no Recherche observed search recorded</x:v>
      </x:c>
      <x:c r="F22" s="3" t="str">
        <x:v>Different model or data scope needed before selection</x:v>
      </x:c>
      <x:c r="G22" s="3" t="str">
        <x:v>AVAILABLE; NOT SEARCHED</x:v>
      </x:c>
      <x:c r="H22" s="7" t="n">
        <x:v>3517</x:v>
      </x:c>
      <x:c r="I22" s="7" t="n">
        <x:v>110</x:v>
      </x:c>
      <x:c r="J22" s="8" t="n">
        <x:v>1490.982884572164</x:v>
      </x:c>
      <x:c r="K22" s="3" t="str">
        <x:v>EXCLUDED FROM BATCH 01</x:v>
      </x:c>
      <x:c r="L22" s="3" t="str">
        <x:v>supplied_binary_model; published_scattering_process</x:v>
      </x:c>
      <x:c r="M22" s="3" t="str">
        <x:v>NOT LISTED</x:v>
      </x:c>
      <x:c r="N22" s="3" t="str">
        <x:v>NOT LISTED</x:v>
      </x:c>
      <x:c r="O22" s="3" t="str">
        <x:v>NOT LISTED</x:v>
      </x:c>
      <x:c r="P22" s="9" t="str"/>
      <x:c r="Q22" s="3" t="str">
        <x:v>../Project Recherche Data/mpta-batch01-20260908/selection.json</x:v>
      </x:c>
      <x:c r="R22" s="3" t="str">
        <x:v>c7019cba9baaf2fa7bc792a2c66ba62417be412436fa4e73f9c6af6e3e866ed6</x:v>
      </x:c>
      <x:c r="S22" s="3" t="str">
        <x:v>a6bef588b42a79b7e870180cdd81e94c8ce39a897545dab0f08365cf351d51ca</x:v>
      </x:c>
      <x:c r="T22" s="3" t="str">
        <x:v>998f5a1e8c59246dba540d734ffd1d3608f74e5f6b52cb721aaaee8e56cb2b2d</x:v>
      </x:c>
    </x:row>
    <x:row r="23" ht="15" hidden="0" customHeight="1">
      <x:c r="A23" s="3" t="str">
        <x:v>J0610-2100</x:v>
      </x:c>
      <x:c r="B23" s="3" t="str"/>
      <x:c r="C23" s="3" t="str">
        <x:v>NOT_SEARCHED</x:v>
      </x:c>
      <x:c r="D23" s="3" t="str"/>
      <x:c r="E23" s="3" t="str">
        <x:v>Inventory only; no Recherche observed search recorded</x:v>
      </x:c>
      <x:c r="F23" s="3" t="str">
        <x:v>Different model or data scope needed before selection</x:v>
      </x:c>
      <x:c r="G23" s="3" t="str">
        <x:v>AVAILABLE; NOT SEARCHED</x:v>
      </x:c>
      <x:c r="H23" s="7" t="n">
        <x:v>2758</x:v>
      </x:c>
      <x:c r="I23" s="7" t="n">
        <x:v>96</x:v>
      </x:c>
      <x:c r="J23" s="8" t="n">
        <x:v>1403.298260483447</x:v>
      </x:c>
      <x:c r="K23" s="3" t="str">
        <x:v>EXCLUDED FROM BATCH 01</x:v>
      </x:c>
      <x:c r="L23" s="3" t="str">
        <x:v>supplied_binary_model; published_deterministic_chromatic_structure</x:v>
      </x:c>
      <x:c r="M23" s="3" t="str">
        <x:v>NOT LISTED</x:v>
      </x:c>
      <x:c r="N23" s="3" t="str">
        <x:v>NOT LISTED</x:v>
      </x:c>
      <x:c r="O23" s="3" t="str">
        <x:v>NOT LISTED</x:v>
      </x:c>
      <x:c r="P23" s="9" t="str"/>
      <x:c r="Q23" s="3" t="str">
        <x:v>../Project Recherche Data/mpta-batch01-20260908/selection.json</x:v>
      </x:c>
      <x:c r="R23" s="3" t="str">
        <x:v>c7019cba9baaf2fa7bc792a2c66ba62417be412436fa4e73f9c6af6e3e866ed6</x:v>
      </x:c>
      <x:c r="S23" s="3" t="str">
        <x:v>bea8a395632a595e52d61b39d139ae877f43ea0e90d420bba8beb2f40a559350</x:v>
      </x:c>
      <x:c r="T23" s="3" t="str">
        <x:v>1001ab46e1de32a8bd7e4b09af634b22e0850e33a523b3ac9db34641ec2e7fbf</x:v>
      </x:c>
    </x:row>
    <x:row r="24" ht="24" hidden="0" customHeight="1">
      <x:c r="A24" s="3" t="str">
        <x:v>J0613-0200</x:v>
      </x:c>
      <x:c r="B24" s="3" t="str"/>
      <x:c r="C24" s="3" t="str">
        <x:v>NOT_SEARCHED</x:v>
      </x:c>
      <x:c r="D24" s="3" t="str"/>
      <x:c r="E24" s="3" t="str">
        <x:v>Inventory only; no Recherche observed search recorded</x:v>
      </x:c>
      <x:c r="F24" s="3" t="str">
        <x:v>Different model or data scope needed before selection</x:v>
      </x:c>
      <x:c r="G24" s="3" t="str">
        <x:v>AVAILABLE; NOT SEARCHED</x:v>
      </x:c>
      <x:c r="H24" s="7" t="n">
        <x:v>3067</x:v>
      </x:c>
      <x:c r="I24" s="7" t="n">
        <x:v>96</x:v>
      </x:c>
      <x:c r="J24" s="8" t="n">
        <x:v>1561.001763278713</x:v>
      </x:c>
      <x:c r="K24" s="3" t="str">
        <x:v>EXCLUDED FROM BATCH 01</x:v>
      </x:c>
      <x:c r="L24" s="3" t="str">
        <x:v>supplied_binary_model; published_deterministic_chromatic_structure; published_scattering_process</x:v>
      </x:c>
      <x:c r="M24" s="3" t="str">
        <x:v>LISTED</x:v>
      </x:c>
      <x:c r="N24" s="3" t="str">
        <x:v>LISTED</x:v>
      </x:c>
      <x:c r="O24" s="3" t="str">
        <x:v>LISTED</x:v>
      </x:c>
      <x:c r="P24" s="9" t="str"/>
      <x:c r="Q24" s="3" t="str">
        <x:v>../Project Recherche Data/mpta-batch01-20260908/selection.json</x:v>
      </x:c>
      <x:c r="R24" s="3" t="str">
        <x:v>c7019cba9baaf2fa7bc792a2c66ba62417be412436fa4e73f9c6af6e3e866ed6</x:v>
      </x:c>
      <x:c r="S24" s="3" t="str">
        <x:v>5c0c720470a6da1fc60ed056a9590e3e905e00b63357e2704f29180379622b05</x:v>
      </x:c>
      <x:c r="T24" s="3" t="str">
        <x:v>2963ae6a461c0709f526157bb631d418afa02fea3b6a05175a99e07525785c0d</x:v>
      </x:c>
    </x:row>
    <x:row r="25" ht="15" hidden="0" customHeight="1">
      <x:c r="A25" s="3" t="str">
        <x:v>J0614-3329</x:v>
      </x:c>
      <x:c r="B25" s="3" t="str"/>
      <x:c r="C25" s="3" t="str">
        <x:v>NOT_SEARCHED</x:v>
      </x:c>
      <x:c r="D25" s="3" t="str"/>
      <x:c r="E25" s="3" t="str">
        <x:v>Inventory only; no Recherche observed search recorded</x:v>
      </x:c>
      <x:c r="F25" s="3" t="str">
        <x:v>Different model or data scope needed before selection</x:v>
      </x:c>
      <x:c r="G25" s="3" t="str">
        <x:v>AVAILABLE; NOT SEARCHED</x:v>
      </x:c>
      <x:c r="H25" s="7" t="n">
        <x:v>3499</x:v>
      </x:c>
      <x:c r="I25" s="7" t="n">
        <x:v>131</x:v>
      </x:c>
      <x:c r="J25" s="8" t="n">
        <x:v>1560.9969217253383</x:v>
      </x:c>
      <x:c r="K25" s="3" t="str">
        <x:v>EXCLUDED FROM BATCH 01</x:v>
      </x:c>
      <x:c r="L25" s="3" t="str">
        <x:v>supplied_binary_model; published_deterministic_chromatic_structure</x:v>
      </x:c>
      <x:c r="M25" s="3" t="str">
        <x:v>LISTED</x:v>
      </x:c>
      <x:c r="N25" s="3" t="str">
        <x:v>NOT LISTED</x:v>
      </x:c>
      <x:c r="O25" s="3" t="str">
        <x:v>NOT LISTED</x:v>
      </x:c>
      <x:c r="P25" s="9" t="str"/>
      <x:c r="Q25" s="3" t="str">
        <x:v>../Project Recherche Data/mpta-batch01-20260908/selection.json</x:v>
      </x:c>
      <x:c r="R25" s="3" t="str">
        <x:v>c7019cba9baaf2fa7bc792a2c66ba62417be412436fa4e73f9c6af6e3e866ed6</x:v>
      </x:c>
      <x:c r="S25" s="3" t="str">
        <x:v>bc65badd3cfef37042e237cfd9d78d422ff79e7cdf7466e8399c2e95931026d5</x:v>
      </x:c>
      <x:c r="T25" s="3" t="str">
        <x:v>eb4b6a30a281b9c1b67a8e7492d9a2ff41d738387c14ff82f69eb82c4a5f28fe</x:v>
      </x:c>
    </x:row>
    <x:row r="26" ht="15" hidden="0" customHeight="1">
      <x:c r="A26" s="3" t="str">
        <x:v>J0900-3144</x:v>
      </x:c>
      <x:c r="B26" s="3" t="str"/>
      <x:c r="C26" s="3" t="str">
        <x:v>NOT_SEARCHED</x:v>
      </x:c>
      <x:c r="D26" s="3" t="str"/>
      <x:c r="E26" s="3" t="str">
        <x:v>Inventory only; no Recherche observed search recorded</x:v>
      </x:c>
      <x:c r="F26" s="3" t="str">
        <x:v>Different model or data scope needed before selection</x:v>
      </x:c>
      <x:c r="G26" s="3" t="str">
        <x:v>AVAILABLE; NOT SEARCHED</x:v>
      </x:c>
      <x:c r="H26" s="7" t="n">
        <x:v>3262</x:v>
      </x:c>
      <x:c r="I26" s="7" t="n">
        <x:v>102</x:v>
      </x:c>
      <x:c r="J26" s="8" t="n">
        <x:v>1566.5578647582588</x:v>
      </x:c>
      <x:c r="K26" s="3" t="str">
        <x:v>EXCLUDED FROM BATCH 01</x:v>
      </x:c>
      <x:c r="L26" s="3" t="str">
        <x:v>supplied_binary_model; published_scattering_process</x:v>
      </x:c>
      <x:c r="M26" s="3" t="str">
        <x:v>LISTED</x:v>
      </x:c>
      <x:c r="N26" s="3" t="str">
        <x:v>NOT LISTED</x:v>
      </x:c>
      <x:c r="O26" s="3" t="str">
        <x:v>LISTED</x:v>
      </x:c>
      <x:c r="P26" s="9" t="str"/>
      <x:c r="Q26" s="3" t="str">
        <x:v>../Project Recherche Data/mpta-batch01-20260908/selection.json</x:v>
      </x:c>
      <x:c r="R26" s="3" t="str">
        <x:v>c7019cba9baaf2fa7bc792a2c66ba62417be412436fa4e73f9c6af6e3e866ed6</x:v>
      </x:c>
      <x:c r="S26" s="3" t="str">
        <x:v>75e39d7e6f9f91748fdfcb1ed0e03e16eb95b96fe55800c4710ca196172637c2</x:v>
      </x:c>
      <x:c r="T26" s="3" t="str">
        <x:v>1362e6f704e027e553e3385992fbda6adbf47fcfaf2028b88cb8b2400b603da3</x:v>
      </x:c>
    </x:row>
    <x:row r="27" ht="15" hidden="0" customHeight="1">
      <x:c r="A27" s="3" t="str">
        <x:v>J0955-6150</x:v>
      </x:c>
      <x:c r="B27" s="3" t="str"/>
      <x:c r="C27" s="3" t="str">
        <x:v>NOT_SEARCHED</x:v>
      </x:c>
      <x:c r="D27" s="3" t="str"/>
      <x:c r="E27" s="3" t="str">
        <x:v>Inventory only; no Recherche observed search recorded</x:v>
      </x:c>
      <x:c r="F27" s="3" t="str">
        <x:v>Different model or data scope needed before selection</x:v>
      </x:c>
      <x:c r="G27" s="3" t="str">
        <x:v>AVAILABLE; NOT SEARCHED</x:v>
      </x:c>
      <x:c r="H27" s="7" t="n">
        <x:v>6167</x:v>
      </x:c>
      <x:c r="I27" s="7" t="n">
        <x:v>244</x:v>
      </x:c>
      <x:c r="J27" s="8" t="n">
        <x:v>1587.6985808291865</x:v>
      </x:c>
      <x:c r="K27" s="3" t="str">
        <x:v>EXCLUDED FROM BATCH 01</x:v>
      </x:c>
      <x:c r="L27" s="3" t="str">
        <x:v>supplied_binary_model; published_deterministic_chromatic_structure</x:v>
      </x:c>
      <x:c r="M27" s="3" t="str">
        <x:v>NOT LISTED</x:v>
      </x:c>
      <x:c r="N27" s="3" t="str">
        <x:v>NOT LISTED</x:v>
      </x:c>
      <x:c r="O27" s="3" t="str">
        <x:v>NOT LISTED</x:v>
      </x:c>
      <x:c r="P27" s="9" t="str"/>
      <x:c r="Q27" s="3" t="str">
        <x:v>../Project Recherche Data/mpta-batch01-20260908/selection.json</x:v>
      </x:c>
      <x:c r="R27" s="3" t="str">
        <x:v>c7019cba9baaf2fa7bc792a2c66ba62417be412436fa4e73f9c6af6e3e866ed6</x:v>
      </x:c>
      <x:c r="S27" s="3" t="str">
        <x:v>2b682d5364474f8c4e280d2699e3e22c35198590554d8d0377427d3106a037e4</x:v>
      </x:c>
      <x:c r="T27" s="3" t="str">
        <x:v>5084e6256ae273bf1afc14f4f58ae57b4e30fe7cda926688b06f45d1618a0550</x:v>
      </x:c>
    </x:row>
    <x:row r="28" ht="15" hidden="0" customHeight="1">
      <x:c r="A28" s="3" t="str">
        <x:v>J1012-4235</x:v>
      </x:c>
      <x:c r="B28" s="3" t="str"/>
      <x:c r="C28" s="3" t="str">
        <x:v>NOT_SEARCHED</x:v>
      </x:c>
      <x:c r="D28" s="3" t="str"/>
      <x:c r="E28" s="3" t="str">
        <x:v>Inventory only; no Recherche observed search recorded</x:v>
      </x:c>
      <x:c r="F28" s="3" t="str">
        <x:v>Different model or data scope needed before selection</x:v>
      </x:c>
      <x:c r="G28" s="3" t="str">
        <x:v>AVAILABLE; NOT SEARCHED</x:v>
      </x:c>
      <x:c r="H28" s="7" t="n">
        <x:v>2898</x:v>
      </x:c>
      <x:c r="I28" s="7" t="n">
        <x:v>104</x:v>
      </x:c>
      <x:c r="J28" s="8" t="n">
        <x:v>1560.7913085792825</x:v>
      </x:c>
      <x:c r="K28" s="3" t="str">
        <x:v>EXCLUDED FROM BATCH 01</x:v>
      </x:c>
      <x:c r="L28" s="3" t="str">
        <x:v>supplied_binary_model</x:v>
      </x:c>
      <x:c r="M28" s="3" t="str">
        <x:v>NOT LISTED</x:v>
      </x:c>
      <x:c r="N28" s="3" t="str">
        <x:v>NOT LISTED</x:v>
      </x:c>
      <x:c r="O28" s="3" t="str">
        <x:v>NOT LISTED</x:v>
      </x:c>
      <x:c r="P28" s="9" t="str"/>
      <x:c r="Q28" s="3" t="str">
        <x:v>../Project Recherche Data/mpta-batch01-20260908/selection.json</x:v>
      </x:c>
      <x:c r="R28" s="3" t="str">
        <x:v>c7019cba9baaf2fa7bc792a2c66ba62417be412436fa4e73f9c6af6e3e866ed6</x:v>
      </x:c>
      <x:c r="S28" s="3" t="str">
        <x:v>75f31c9ba9f1286e382072eb29f2219eabcff226d918e82c2e15f969ecc5cba0</x:v>
      </x:c>
      <x:c r="T28" s="3" t="str">
        <x:v>ae1f3ed5c0ccc97754c68722b48f93b69fedec59a569604f22d7a3d74c7070c5</x:v>
      </x:c>
    </x:row>
    <x:row r="29" ht="24" hidden="0" customHeight="1">
      <x:c r="A29" s="3" t="str">
        <x:v>J1017-7156</x:v>
      </x:c>
      <x:c r="B29" s="3" t="str"/>
      <x:c r="C29" s="3" t="str">
        <x:v>NOT_SEARCHED</x:v>
      </x:c>
      <x:c r="D29" s="3" t="str"/>
      <x:c r="E29" s="3" t="str">
        <x:v>Inventory only; no Recherche observed search recorded</x:v>
      </x:c>
      <x:c r="F29" s="3" t="str">
        <x:v>Different model or data scope needed before selection</x:v>
      </x:c>
      <x:c r="G29" s="3" t="str">
        <x:v>AVAILABLE; NOT SEARCHED</x:v>
      </x:c>
      <x:c r="H29" s="7" t="n">
        <x:v>3321</x:v>
      </x:c>
      <x:c r="I29" s="7" t="n">
        <x:v>104</x:v>
      </x:c>
      <x:c r="J29" s="8" t="n">
        <x:v>1599.308726922507</x:v>
      </x:c>
      <x:c r="K29" s="3" t="str">
        <x:v>EXCLUDED FROM BATCH 01</x:v>
      </x:c>
      <x:c r="L29" s="3" t="str">
        <x:v>supplied_binary_model; published_deterministic_chromatic_structure; published_scattering_process</x:v>
      </x:c>
      <x:c r="M29" s="3" t="str">
        <x:v>NOT LISTED</x:v>
      </x:c>
      <x:c r="N29" s="3" t="str">
        <x:v>NOT LISTED</x:v>
      </x:c>
      <x:c r="O29" s="3" t="str">
        <x:v>NOT LISTED</x:v>
      </x:c>
      <x:c r="P29" s="9" t="str"/>
      <x:c r="Q29" s="3" t="str">
        <x:v>../Project Recherche Data/mpta-batch01-20260908/selection.json</x:v>
      </x:c>
      <x:c r="R29" s="3" t="str">
        <x:v>c7019cba9baaf2fa7bc792a2c66ba62417be412436fa4e73f9c6af6e3e866ed6</x:v>
      </x:c>
      <x:c r="S29" s="3" t="str">
        <x:v>149fea63020ebe3a52f768f856247b1f6bb9e11526fca751f701331233b46a98</x:v>
      </x:c>
      <x:c r="T29" s="3" t="str">
        <x:v>1fc7fff896d913acb67d057d7837a320528882c9e4910285df5061f8e46c54f3</x:v>
      </x:c>
    </x:row>
    <x:row r="30" ht="15" hidden="0" customHeight="1">
      <x:c r="A30" s="3" t="str">
        <x:v>J1022+1001</x:v>
      </x:c>
      <x:c r="B30" s="3" t="str"/>
      <x:c r="C30" s="3" t="str">
        <x:v>NOT_SEARCHED</x:v>
      </x:c>
      <x:c r="D30" s="3" t="str"/>
      <x:c r="E30" s="3" t="str">
        <x:v>Inventory only; no Recherche observed search recorded</x:v>
      </x:c>
      <x:c r="F30" s="3" t="str">
        <x:v>Different model or data scope needed before selection</x:v>
      </x:c>
      <x:c r="G30" s="3" t="str">
        <x:v>AVAILABLE; NOT SEARCHED</x:v>
      </x:c>
      <x:c r="H30" s="7" t="n">
        <x:v>2945</x:v>
      </x:c>
      <x:c r="I30" s="7" t="n">
        <x:v>95</x:v>
      </x:c>
      <x:c r="J30" s="8" t="n">
        <x:v>1532.707811593842</x:v>
      </x:c>
      <x:c r="K30" s="3" t="str">
        <x:v>EXCLUDED FROM BATCH 01</x:v>
      </x:c>
      <x:c r="L30" s="3" t="str">
        <x:v>supplied_binary_model; published_deterministic_chromatic_structure</x:v>
      </x:c>
      <x:c r="M30" s="3" t="str">
        <x:v>LISTED</x:v>
      </x:c>
      <x:c r="N30" s="3" t="str">
        <x:v>NOT LISTED</x:v>
      </x:c>
      <x:c r="O30" s="3" t="str">
        <x:v>LISTED</x:v>
      </x:c>
      <x:c r="P30" s="9" t="str"/>
      <x:c r="Q30" s="3" t="str">
        <x:v>../Project Recherche Data/mpta-batch01-20260908/selection.json</x:v>
      </x:c>
      <x:c r="R30" s="3" t="str">
        <x:v>c7019cba9baaf2fa7bc792a2c66ba62417be412436fa4e73f9c6af6e3e866ed6</x:v>
      </x:c>
      <x:c r="S30" s="3" t="str">
        <x:v>52bec48392bd26c8551bc076fdc846606814523e2d4b5d47d1cb8b37119210b0</x:v>
      </x:c>
      <x:c r="T30" s="3" t="str">
        <x:v>d9e31af58a52a471a19e7918dc1186e2669c388db3eeba9cc2b18b5e9dd53eae</x:v>
      </x:c>
    </x:row>
    <x:row r="31" ht="24" hidden="0" customHeight="1">
      <x:c r="A31" s="3" t="str">
        <x:v>J1024-0719</x:v>
      </x:c>
      <x:c r="B31" s="3" t="str"/>
      <x:c r="C31" s="3" t="str">
        <x:v>NOT_SEARCHED</x:v>
      </x:c>
      <x:c r="D31" s="3" t="str"/>
      <x:c r="E31" s="3" t="str">
        <x:v>Inventory only; no Recherche observed search recorded</x:v>
      </x:c>
      <x:c r="F31" s="3" t="str">
        <x:v>Different model or data scope needed before selection</x:v>
      </x:c>
      <x:c r="G31" s="3" t="str">
        <x:v>AVAILABLE; NOT SEARCHED</x:v>
      </x:c>
      <x:c r="H31" s="7" t="n">
        <x:v>2783</x:v>
      </x:c>
      <x:c r="I31" s="7" t="n">
        <x:v>98</x:v>
      </x:c>
      <x:c r="J31" s="8" t="n">
        <x:v>1560.7863665937039</x:v>
      </x:c>
      <x:c r="K31" s="3" t="str">
        <x:v>EXCLUDED FROM BATCH 01</x:v>
      </x:c>
      <x:c r="L31" s="3" t="str">
        <x:v>known_wide_stellar_companion; published_deterministic_chromatic_structure</x:v>
      </x:c>
      <x:c r="M31" s="3" t="str">
        <x:v>LISTED</x:v>
      </x:c>
      <x:c r="N31" s="3" t="str">
        <x:v>LISTED</x:v>
      </x:c>
      <x:c r="O31" s="3" t="str">
        <x:v>LISTED</x:v>
      </x:c>
      <x:c r="P31" s="9" t="str"/>
      <x:c r="Q31" s="3" t="str">
        <x:v>../Project Recherche Data/mpta-batch01-20260908/selection.json</x:v>
      </x:c>
      <x:c r="R31" s="3" t="str">
        <x:v>c7019cba9baaf2fa7bc792a2c66ba62417be412436fa4e73f9c6af6e3e866ed6</x:v>
      </x:c>
      <x:c r="S31" s="3" t="str">
        <x:v>2fadb0144c3c8d3caeb6d33ff42977448ab67f92e81dd4e267e190c81d5a1fe6</x:v>
      </x:c>
      <x:c r="T31" s="3" t="str">
        <x:v>cd0a12a855447816d8ee2c4c5a94a1886175d98fba41113e319887a4acf69dc8</x:v>
      </x:c>
    </x:row>
    <x:row r="32" ht="15" hidden="0" customHeight="1">
      <x:c r="A32" s="3" t="str">
        <x:v>J1036-8317</x:v>
      </x:c>
      <x:c r="B32" s="3" t="str"/>
      <x:c r="C32" s="3" t="str">
        <x:v>NOT_SEARCHED</x:v>
      </x:c>
      <x:c r="D32" s="3" t="str"/>
      <x:c r="E32" s="3" t="str">
        <x:v>Inventory only; no Recherche observed search recorded</x:v>
      </x:c>
      <x:c r="F32" s="3" t="str">
        <x:v>Different model or data scope needed before selection</x:v>
      </x:c>
      <x:c r="G32" s="3" t="str">
        <x:v>AVAILABLE; NOT SEARCHED</x:v>
      </x:c>
      <x:c r="H32" s="7" t="n">
        <x:v>2046</x:v>
      </x:c>
      <x:c r="I32" s="7" t="n">
        <x:v>94</x:v>
      </x:c>
      <x:c r="J32" s="8" t="n">
        <x:v>1491.0053885436573</x:v>
      </x:c>
      <x:c r="K32" s="3" t="str">
        <x:v>EXCLUDED FROM BATCH 01</x:v>
      </x:c>
      <x:c r="L32" s="3" t="str">
        <x:v>supplied_binary_model</x:v>
      </x:c>
      <x:c r="M32" s="3" t="str">
        <x:v>NOT LISTED</x:v>
      </x:c>
      <x:c r="N32" s="3" t="str">
        <x:v>NOT LISTED</x:v>
      </x:c>
      <x:c r="O32" s="3" t="str">
        <x:v>NOT LISTED</x:v>
      </x:c>
      <x:c r="P32" s="9" t="str"/>
      <x:c r="Q32" s="3" t="str">
        <x:v>../Project Recherche Data/mpta-batch01-20260908/selection.json</x:v>
      </x:c>
      <x:c r="R32" s="3" t="str">
        <x:v>c7019cba9baaf2fa7bc792a2c66ba62417be412436fa4e73f9c6af6e3e866ed6</x:v>
      </x:c>
      <x:c r="S32" s="3" t="str">
        <x:v>3991fce929cd9cf06ae8d427cdd30757778218dac221cf4dca6dcfefa04d395c</x:v>
      </x:c>
      <x:c r="T32" s="3" t="str">
        <x:v>3d2c1c6c73bab8d8d5f601cd64f2ac32e98c84c677921b0da30f5c300a17b4f8</x:v>
      </x:c>
    </x:row>
    <x:row r="33" ht="15" hidden="0" customHeight="1">
      <x:c r="A33" s="3" t="str">
        <x:v>J1045-4509</x:v>
      </x:c>
      <x:c r="B33" s="3" t="str"/>
      <x:c r="C33" s="3" t="str">
        <x:v>NOT_SEARCHED</x:v>
      </x:c>
      <x:c r="D33" s="3" t="str"/>
      <x:c r="E33" s="3" t="str">
        <x:v>Inventory only; no Recherche observed search recorded</x:v>
      </x:c>
      <x:c r="F33" s="3" t="str">
        <x:v>Different model or data scope needed before selection</x:v>
      </x:c>
      <x:c r="G33" s="3" t="str">
        <x:v>AVAILABLE; NOT SEARCHED</x:v>
      </x:c>
      <x:c r="H33" s="7" t="n">
        <x:v>3231</x:v>
      </x:c>
      <x:c r="I33" s="7" t="n">
        <x:v>101</x:v>
      </x:c>
      <x:c r="J33" s="8" t="n">
        <x:v>1580.5547358053664</x:v>
      </x:c>
      <x:c r="K33" s="3" t="str">
        <x:v>EXCLUDED FROM BATCH 01</x:v>
      </x:c>
      <x:c r="L33" s="3" t="str">
        <x:v>supplied_binary_model; published_deterministic_chromatic_structure</x:v>
      </x:c>
      <x:c r="M33" s="3" t="str">
        <x:v>NOT LISTED</x:v>
      </x:c>
      <x:c r="N33" s="3" t="str">
        <x:v>NOT LISTED</x:v>
      </x:c>
      <x:c r="O33" s="3" t="str">
        <x:v>NOT LISTED</x:v>
      </x:c>
      <x:c r="P33" s="9" t="str"/>
      <x:c r="Q33" s="3" t="str">
        <x:v>../Project Recherche Data/mpta-batch01-20260908/selection.json</x:v>
      </x:c>
      <x:c r="R33" s="3" t="str">
        <x:v>c7019cba9baaf2fa7bc792a2c66ba62417be412436fa4e73f9c6af6e3e866ed6</x:v>
      </x:c>
      <x:c r="S33" s="3" t="str">
        <x:v>3e6e8e6e22fa7ed77e4866e9ec449cc64ba0c860ee5222f441e09e359498ce08</x:v>
      </x:c>
      <x:c r="T33" s="3" t="str">
        <x:v>af76466151d8c1f789d565d33bc53464da47447bbeb0f79eb74a266f378358d6</x:v>
      </x:c>
    </x:row>
    <x:row r="34" ht="15" hidden="0" customHeight="1">
      <x:c r="A34" s="3" t="str">
        <x:v>J1101-6424</x:v>
      </x:c>
      <x:c r="B34" s="3" t="str"/>
      <x:c r="C34" s="3" t="str">
        <x:v>NOT_SEARCHED</x:v>
      </x:c>
      <x:c r="D34" s="3" t="str"/>
      <x:c r="E34" s="3" t="str">
        <x:v>Inventory only; no Recherche observed search recorded</x:v>
      </x:c>
      <x:c r="F34" s="3" t="str">
        <x:v>Different model or data scope needed before selection</x:v>
      </x:c>
      <x:c r="G34" s="3" t="str">
        <x:v>AVAILABLE; NOT SEARCHED</x:v>
      </x:c>
      <x:c r="H34" s="7" t="n">
        <x:v>3693</x:v>
      </x:c>
      <x:c r="I34" s="7" t="n">
        <x:v>116</x:v>
      </x:c>
      <x:c r="J34" s="8" t="n">
        <x:v>1580.5410612640117</x:v>
      </x:c>
      <x:c r="K34" s="3" t="str">
        <x:v>EXCLUDED FROM BATCH 01</x:v>
      </x:c>
      <x:c r="L34" s="3" t="str">
        <x:v>supplied_binary_model</x:v>
      </x:c>
      <x:c r="M34" s="3" t="str">
        <x:v>NOT LISTED</x:v>
      </x:c>
      <x:c r="N34" s="3" t="str">
        <x:v>NOT LISTED</x:v>
      </x:c>
      <x:c r="O34" s="3" t="str">
        <x:v>NOT LISTED</x:v>
      </x:c>
      <x:c r="P34" s="9" t="str"/>
      <x:c r="Q34" s="3" t="str">
        <x:v>../Project Recherche Data/mpta-batch01-20260908/selection.json</x:v>
      </x:c>
      <x:c r="R34" s="3" t="str">
        <x:v>c7019cba9baaf2fa7bc792a2c66ba62417be412436fa4e73f9c6af6e3e866ed6</x:v>
      </x:c>
      <x:c r="S34" s="3" t="str">
        <x:v>c79aa149a3ac45966d4462dc87beae7a3b85ed24c3a3184cad8463d0cfbc3e84</x:v>
      </x:c>
      <x:c r="T34" s="3" t="str">
        <x:v>bab55c60d0fc832bd762e821db7115cf4175ce523e3f8ee630a28a9e6743a2c5</x:v>
      </x:c>
    </x:row>
    <x:row r="35" ht="15" hidden="0" customHeight="1">
      <x:c r="A35" s="3" t="str">
        <x:v>J1125-5825</x:v>
      </x:c>
      <x:c r="B35" s="3" t="str"/>
      <x:c r="C35" s="3" t="str">
        <x:v>NOT_SEARCHED</x:v>
      </x:c>
      <x:c r="D35" s="3" t="str"/>
      <x:c r="E35" s="3" t="str">
        <x:v>Inventory only; no Recherche observed search recorded</x:v>
      </x:c>
      <x:c r="F35" s="3" t="str">
        <x:v>Different model or data scope needed before selection</x:v>
      </x:c>
      <x:c r="G35" s="3" t="str">
        <x:v>AVAILABLE; NOT SEARCHED</x:v>
      </x:c>
      <x:c r="H35" s="7" t="n">
        <x:v>3233</x:v>
      </x:c>
      <x:c r="I35" s="7" t="n">
        <x:v>102</x:v>
      </x:c>
      <x:c r="J35" s="8" t="n">
        <x:v>1599.354496872882</x:v>
      </x:c>
      <x:c r="K35" s="3" t="str">
        <x:v>EXCLUDED FROM BATCH 01</x:v>
      </x:c>
      <x:c r="L35" s="3" t="str">
        <x:v>supplied_binary_model</x:v>
      </x:c>
      <x:c r="M35" s="3" t="str">
        <x:v>NOT LISTED</x:v>
      </x:c>
      <x:c r="N35" s="3" t="str">
        <x:v>NOT LISTED</x:v>
      </x:c>
      <x:c r="O35" s="3" t="str">
        <x:v>NOT LISTED</x:v>
      </x:c>
      <x:c r="P35" s="9" t="str"/>
      <x:c r="Q35" s="3" t="str">
        <x:v>../Project Recherche Data/mpta-batch01-20260908/selection.json</x:v>
      </x:c>
      <x:c r="R35" s="3" t="str">
        <x:v>c7019cba9baaf2fa7bc792a2c66ba62417be412436fa4e73f9c6af6e3e866ed6</x:v>
      </x:c>
      <x:c r="S35" s="3" t="str">
        <x:v>808e1c9d64fd1f1d34bea626b429067b2d0ea1f27aa4a7db06a81c32e58e8077</x:v>
      </x:c>
      <x:c r="T35" s="3" t="str">
        <x:v>0c3dba0556b6a616b49356d254a9e9dd2354f7dd518e675db694f2cc3e66e169</x:v>
      </x:c>
    </x:row>
    <x:row r="36" ht="15" hidden="0" customHeight="1">
      <x:c r="A36" s="3" t="str">
        <x:v>J1125-6014</x:v>
      </x:c>
      <x:c r="B36" s="3" t="str"/>
      <x:c r="C36" s="3" t="str">
        <x:v>NOT_SEARCHED</x:v>
      </x:c>
      <x:c r="D36" s="3" t="str"/>
      <x:c r="E36" s="3" t="str">
        <x:v>Inventory only; no Recherche observed search recorded</x:v>
      </x:c>
      <x:c r="F36" s="3" t="str">
        <x:v>Different model or data scope needed before selection</x:v>
      </x:c>
      <x:c r="G36" s="3" t="str">
        <x:v>AVAILABLE; NOT SEARCHED</x:v>
      </x:c>
      <x:c r="H36" s="7" t="n">
        <x:v>2636</x:v>
      </x:c>
      <x:c r="I36" s="7" t="n">
        <x:v>83</x:v>
      </x:c>
      <x:c r="J36" s="8" t="n">
        <x:v>1566.6463487862711</x:v>
      </x:c>
      <x:c r="K36" s="3" t="str">
        <x:v>EXCLUDED FROM BATCH 01</x:v>
      </x:c>
      <x:c r="L36" s="3" t="str">
        <x:v>supplied_binary_model; published_deterministic_chromatic_structure</x:v>
      </x:c>
      <x:c r="M36" s="3" t="str">
        <x:v>NOT LISTED</x:v>
      </x:c>
      <x:c r="N36" s="3" t="str">
        <x:v>NOT LISTED</x:v>
      </x:c>
      <x:c r="O36" s="3" t="str">
        <x:v>NOT LISTED</x:v>
      </x:c>
      <x:c r="P36" s="9" t="str"/>
      <x:c r="Q36" s="3" t="str">
        <x:v>../Project Recherche Data/mpta-batch01-20260908/selection.json</x:v>
      </x:c>
      <x:c r="R36" s="3" t="str">
        <x:v>c7019cba9baaf2fa7bc792a2c66ba62417be412436fa4e73f9c6af6e3e866ed6</x:v>
      </x:c>
      <x:c r="S36" s="3" t="str">
        <x:v>7749b674042d97c0e638c4cfd98a6ea1735cba7d56f0ed652b59a1c3de13bb44</x:v>
      </x:c>
      <x:c r="T36" s="3" t="str">
        <x:v>52607a156d4656046fc2719a0af3ca251809fb569e74215d04442cd6ef92f431</x:v>
      </x:c>
    </x:row>
    <x:row r="37" ht="15" hidden="0" customHeight="1">
      <x:c r="A37" s="3" t="str">
        <x:v>J1216-6410</x:v>
      </x:c>
      <x:c r="B37" s="3" t="str"/>
      <x:c r="C37" s="3" t="str">
        <x:v>NOT_SEARCHED</x:v>
      </x:c>
      <x:c r="D37" s="3" t="str"/>
      <x:c r="E37" s="3" t="str">
        <x:v>Inventory only; no Recherche observed search recorded</x:v>
      </x:c>
      <x:c r="F37" s="3" t="str">
        <x:v>Different model or data scope needed before selection</x:v>
      </x:c>
      <x:c r="G37" s="3" t="str">
        <x:v>AVAILABLE; NOT SEARCHED</x:v>
      </x:c>
      <x:c r="H37" s="7" t="n">
        <x:v>3256</x:v>
      </x:c>
      <x:c r="I37" s="7" t="n">
        <x:v>102</x:v>
      </x:c>
      <x:c r="J37" s="8" t="n">
        <x:v>1599.3454668531704</x:v>
      </x:c>
      <x:c r="K37" s="3" t="str">
        <x:v>EXCLUDED FROM BATCH 01</x:v>
      </x:c>
      <x:c r="L37" s="3" t="str">
        <x:v>supplied_binary_model</x:v>
      </x:c>
      <x:c r="M37" s="3" t="str">
        <x:v>NOT LISTED</x:v>
      </x:c>
      <x:c r="N37" s="3" t="str">
        <x:v>NOT LISTED</x:v>
      </x:c>
      <x:c r="O37" s="3" t="str">
        <x:v>NOT LISTED</x:v>
      </x:c>
      <x:c r="P37" s="9" t="str"/>
      <x:c r="Q37" s="3" t="str">
        <x:v>../Project Recherche Data/mpta-batch01-20260908/selection.json</x:v>
      </x:c>
      <x:c r="R37" s="3" t="str">
        <x:v>c7019cba9baaf2fa7bc792a2c66ba62417be412436fa4e73f9c6af6e3e866ed6</x:v>
      </x:c>
      <x:c r="S37" s="3" t="str">
        <x:v>0a3e88fe3279d7292d5fe985e52e7a21869caa2a63eca7fece75dd7f3d4357c2</x:v>
      </x:c>
      <x:c r="T37" s="3" t="str">
        <x:v>38d86dfcb216ada55899794382d4caf576092a913e81a73886683e6f1ce9d115</x:v>
      </x:c>
    </x:row>
    <x:row r="38" ht="15" hidden="0" customHeight="1">
      <x:c r="A38" s="3" t="str">
        <x:v>J1231-1411</x:v>
      </x:c>
      <x:c r="B38" s="3" t="str"/>
      <x:c r="C38" s="3" t="str">
        <x:v>NOT_SEARCHED</x:v>
      </x:c>
      <x:c r="D38" s="3" t="str"/>
      <x:c r="E38" s="3" t="str">
        <x:v>Inventory only; no Recherche observed search recorded</x:v>
      </x:c>
      <x:c r="F38" s="3" t="str">
        <x:v>Different model or data scope needed before selection</x:v>
      </x:c>
      <x:c r="G38" s="3" t="str">
        <x:v>AVAILABLE; NOT SEARCHED</x:v>
      </x:c>
      <x:c r="H38" s="7" t="n">
        <x:v>2129</x:v>
      </x:c>
      <x:c r="I38" s="7" t="n">
        <x:v>71</x:v>
      </x:c>
      <x:c r="J38" s="8" t="n">
        <x:v>1566.6227796755484</x:v>
      </x:c>
      <x:c r="K38" s="3" t="str">
        <x:v>EXCLUDED FROM BATCH 01</x:v>
      </x:c>
      <x:c r="L38" s="3" t="str">
        <x:v>supplied_binary_model; published_deterministic_chromatic_structure</x:v>
      </x:c>
      <x:c r="M38" s="3" t="str">
        <x:v>LISTED</x:v>
      </x:c>
      <x:c r="N38" s="3" t="str">
        <x:v>NOT LISTED</x:v>
      </x:c>
      <x:c r="O38" s="3" t="str">
        <x:v>NOT LISTED</x:v>
      </x:c>
      <x:c r="P38" s="9" t="str"/>
      <x:c r="Q38" s="3" t="str">
        <x:v>../Project Recherche Data/mpta-batch01-20260908/selection.json</x:v>
      </x:c>
      <x:c r="R38" s="3" t="str">
        <x:v>c7019cba9baaf2fa7bc792a2c66ba62417be412436fa4e73f9c6af6e3e866ed6</x:v>
      </x:c>
      <x:c r="S38" s="3" t="str">
        <x:v>75b84b6fbd9d655a2439643305176a542f750727c37c09116c5a8fa958762963</x:v>
      </x:c>
      <x:c r="T38" s="3" t="str">
        <x:v>78c073c2de37eb8849d886c4edf33e97910fa11371fa29ab33f2248c55a16c82</x:v>
      </x:c>
    </x:row>
    <x:row r="39" ht="15" hidden="0" customHeight="1">
      <x:c r="A39" s="3" t="str">
        <x:v>J1327-0755</x:v>
      </x:c>
      <x:c r="B39" s="3" t="str"/>
      <x:c r="C39" s="3" t="str">
        <x:v>NOT_SEARCHED</x:v>
      </x:c>
      <x:c r="D39" s="3" t="str"/>
      <x:c r="E39" s="3" t="str">
        <x:v>Inventory only; no Recherche observed search recorded</x:v>
      </x:c>
      <x:c r="F39" s="3" t="str">
        <x:v>Different model or data scope needed before selection</x:v>
      </x:c>
      <x:c r="G39" s="3" t="str">
        <x:v>AVAILABLE; NOT SEARCHED</x:v>
      </x:c>
      <x:c r="H39" s="7" t="n">
        <x:v>788</x:v>
      </x:c>
      <x:c r="I39" s="7" t="n">
        <x:v>74</x:v>
      </x:c>
      <x:c r="J39" s="8" t="n">
        <x:v>1284.3806117068234</x:v>
      </x:c>
      <x:c r="K39" s="3" t="str">
        <x:v>EXCLUDED FROM BATCH 01</x:v>
      </x:c>
      <x:c r="L39" s="3" t="str">
        <x:v>supplied_binary_model</x:v>
      </x:c>
      <x:c r="M39" s="3" t="str">
        <x:v>NOT LISTED</x:v>
      </x:c>
      <x:c r="N39" s="3" t="str">
        <x:v>NOT LISTED</x:v>
      </x:c>
      <x:c r="O39" s="3" t="str">
        <x:v>NOT LISTED</x:v>
      </x:c>
      <x:c r="P39" s="9" t="str"/>
      <x:c r="Q39" s="3" t="str">
        <x:v>../Project Recherche Data/mpta-batch01-20260908/selection.json</x:v>
      </x:c>
      <x:c r="R39" s="3" t="str">
        <x:v>c7019cba9baaf2fa7bc792a2c66ba62417be412436fa4e73f9c6af6e3e866ed6</x:v>
      </x:c>
      <x:c r="S39" s="3" t="str">
        <x:v>1b79d7c1c8f5e271217defb72a501a303ec5d9304d380dfda57002694bca83f7</x:v>
      </x:c>
      <x:c r="T39" s="3" t="str">
        <x:v>b45c31ef5f1636d738f08f2954c9d2778c6fe9fe64064d8ca1b8623d7d31f77d</x:v>
      </x:c>
    </x:row>
    <x:row r="40" ht="15" hidden="0" customHeight="1">
      <x:c r="A40" s="3" t="str">
        <x:v>J1421-4409</x:v>
      </x:c>
      <x:c r="B40" s="3" t="str"/>
      <x:c r="C40" s="3" t="str">
        <x:v>NOT_SEARCHED</x:v>
      </x:c>
      <x:c r="D40" s="3" t="str"/>
      <x:c r="E40" s="3" t="str">
        <x:v>Inventory only; no Recherche observed search recorded</x:v>
      </x:c>
      <x:c r="F40" s="3" t="str">
        <x:v>Different model or data scope needed before selection</x:v>
      </x:c>
      <x:c r="G40" s="3" t="str">
        <x:v>AVAILABLE; NOT SEARCHED</x:v>
      </x:c>
      <x:c r="H40" s="7" t="n">
        <x:v>2994</x:v>
      </x:c>
      <x:c r="I40" s="7" t="n">
        <x:v>97</x:v>
      </x:c>
      <x:c r="J40" s="8" t="n">
        <x:v>1559.0440666172144</x:v>
      </x:c>
      <x:c r="K40" s="3" t="str">
        <x:v>EXCLUDED FROM BATCH 01</x:v>
      </x:c>
      <x:c r="L40" s="3" t="str">
        <x:v>supplied_binary_model; published_deterministic_chromatic_structure</x:v>
      </x:c>
      <x:c r="M40" s="3" t="str">
        <x:v>NOT LISTED</x:v>
      </x:c>
      <x:c r="N40" s="3" t="str">
        <x:v>NOT LISTED</x:v>
      </x:c>
      <x:c r="O40" s="3" t="str">
        <x:v>NOT LISTED</x:v>
      </x:c>
      <x:c r="P40" s="9" t="str"/>
      <x:c r="Q40" s="3" t="str">
        <x:v>../Project Recherche Data/mpta-batch01-20260908/selection.json</x:v>
      </x:c>
      <x:c r="R40" s="3" t="str">
        <x:v>c7019cba9baaf2fa7bc792a2c66ba62417be412436fa4e73f9c6af6e3e866ed6</x:v>
      </x:c>
      <x:c r="S40" s="3" t="str">
        <x:v>bcebf061ba30ace379cc1c3fa2a8770f14fffaaea24d56f1c22dd33b937793ad</x:v>
      </x:c>
      <x:c r="T40" s="3" t="str">
        <x:v>3eaacad7b4cc1ae55e42ba84e9e9a82e00cc011f461ccdbd9e3388fa30101dad</x:v>
      </x:c>
    </x:row>
    <x:row r="41" ht="15" hidden="0" customHeight="1">
      <x:c r="A41" s="3" t="str">
        <x:v>J1431-5740</x:v>
      </x:c>
      <x:c r="B41" s="3" t="str"/>
      <x:c r="C41" s="3" t="str">
        <x:v>NOT_SEARCHED</x:v>
      </x:c>
      <x:c r="D41" s="3" t="str"/>
      <x:c r="E41" s="3" t="str">
        <x:v>Inventory only; no Recherche observed search recorded</x:v>
      </x:c>
      <x:c r="F41" s="3" t="str">
        <x:v>Different model or data scope needed before selection</x:v>
      </x:c>
      <x:c r="G41" s="3" t="str">
        <x:v>AVAILABLE; NOT SEARCHED</x:v>
      </x:c>
      <x:c r="H41" s="7" t="n">
        <x:v>3138</x:v>
      </x:c>
      <x:c r="I41" s="7" t="n">
        <x:v>99</x:v>
      </x:c>
      <x:c r="J41" s="8" t="n">
        <x:v>1606.3285849616295</x:v>
      </x:c>
      <x:c r="K41" s="3" t="str">
        <x:v>EXCLUDED FROM BATCH 01</x:v>
      </x:c>
      <x:c r="L41" s="3" t="str">
        <x:v>supplied_binary_model; published_scattering_process</x:v>
      </x:c>
      <x:c r="M41" s="3" t="str">
        <x:v>NOT LISTED</x:v>
      </x:c>
      <x:c r="N41" s="3" t="str">
        <x:v>NOT LISTED</x:v>
      </x:c>
      <x:c r="O41" s="3" t="str">
        <x:v>NOT LISTED</x:v>
      </x:c>
      <x:c r="P41" s="9" t="str"/>
      <x:c r="Q41" s="3" t="str">
        <x:v>../Project Recherche Data/mpta-batch01-20260908/selection.json</x:v>
      </x:c>
      <x:c r="R41" s="3" t="str">
        <x:v>c7019cba9baaf2fa7bc792a2c66ba62417be412436fa4e73f9c6af6e3e866ed6</x:v>
      </x:c>
      <x:c r="S41" s="3" t="str">
        <x:v>90abd87efede51cf2d5162401e62aebe143db77395508d1933d185cd734b9799</x:v>
      </x:c>
      <x:c r="T41" s="3" t="str">
        <x:v>0acb035ca67dadf45e243f7a3aac1678387206e51c9893494a19925fb8a62048</x:v>
      </x:c>
    </x:row>
    <x:row r="42" ht="15" hidden="0" customHeight="1">
      <x:c r="A42" s="3" t="str">
        <x:v>J1435-6100</x:v>
      </x:c>
      <x:c r="B42" s="3" t="str"/>
      <x:c r="C42" s="3" t="str">
        <x:v>NOT_SEARCHED</x:v>
      </x:c>
      <x:c r="D42" s="3" t="str"/>
      <x:c r="E42" s="3" t="str">
        <x:v>Inventory only; no Recherche observed search recorded</x:v>
      </x:c>
      <x:c r="F42" s="3" t="str">
        <x:v>Different model or data scope needed before selection</x:v>
      </x:c>
      <x:c r="G42" s="3" t="str">
        <x:v>AVAILABLE; NOT SEARCHED</x:v>
      </x:c>
      <x:c r="H42" s="7" t="n">
        <x:v>3976</x:v>
      </x:c>
      <x:c r="I42" s="7" t="n">
        <x:v>127</x:v>
      </x:c>
      <x:c r="J42" s="8" t="n">
        <x:v>1599.4139851338186</x:v>
      </x:c>
      <x:c r="K42" s="3" t="str">
        <x:v>EXCLUDED FROM BATCH 01</x:v>
      </x:c>
      <x:c r="L42" s="3" t="str">
        <x:v>supplied_binary_model</x:v>
      </x:c>
      <x:c r="M42" s="3" t="str">
        <x:v>NOT LISTED</x:v>
      </x:c>
      <x:c r="N42" s="3" t="str">
        <x:v>NOT LISTED</x:v>
      </x:c>
      <x:c r="O42" s="3" t="str">
        <x:v>NOT LISTED</x:v>
      </x:c>
      <x:c r="P42" s="9" t="str"/>
      <x:c r="Q42" s="3" t="str">
        <x:v>../Project Recherche Data/mpta-batch01-20260908/selection.json</x:v>
      </x:c>
      <x:c r="R42" s="3" t="str">
        <x:v>c7019cba9baaf2fa7bc792a2c66ba62417be412436fa4e73f9c6af6e3e866ed6</x:v>
      </x:c>
      <x:c r="S42" s="3" t="str">
        <x:v>6c55582f521651ed809240f1876f7ae7600c3a0b15f1031ab46002a25788640a</x:v>
      </x:c>
      <x:c r="T42" s="3" t="str">
        <x:v>48c934e1c731d91916e18ff803b37737be8d3391e0e3078e324066d5ea5d927e</x:v>
      </x:c>
    </x:row>
    <x:row r="43" ht="15" hidden="0" customHeight="1">
      <x:c r="A43" s="3" t="str">
        <x:v>J1446-4701</x:v>
      </x:c>
      <x:c r="B43" s="3" t="str"/>
      <x:c r="C43" s="3" t="str">
        <x:v>NOT_SEARCHED</x:v>
      </x:c>
      <x:c r="D43" s="3" t="str"/>
      <x:c r="E43" s="3" t="str">
        <x:v>Inventory only; no Recherche observed search recorded</x:v>
      </x:c>
      <x:c r="F43" s="3" t="str">
        <x:v>Different model or data scope needed before selection</x:v>
      </x:c>
      <x:c r="G43" s="3" t="str">
        <x:v>AVAILABLE; NOT SEARCHED</x:v>
      </x:c>
      <x:c r="H43" s="7" t="n">
        <x:v>2207</x:v>
      </x:c>
      <x:c r="I43" s="7" t="n">
        <x:v>97</x:v>
      </x:c>
      <x:c r="J43" s="8" t="n">
        <x:v>1606.3302431467164</x:v>
      </x:c>
      <x:c r="K43" s="3" t="str">
        <x:v>EXCLUDED FROM BATCH 01</x:v>
      </x:c>
      <x:c r="L43" s="3" t="str">
        <x:v>supplied_binary_model</x:v>
      </x:c>
      <x:c r="M43" s="3" t="str">
        <x:v>NOT LISTED</x:v>
      </x:c>
      <x:c r="N43" s="3" t="str">
        <x:v>NOT LISTED</x:v>
      </x:c>
      <x:c r="O43" s="3" t="str">
        <x:v>NOT LISTED</x:v>
      </x:c>
      <x:c r="P43" s="9" t="str"/>
      <x:c r="Q43" s="3" t="str">
        <x:v>../Project Recherche Data/mpta-batch01-20260908/selection.json</x:v>
      </x:c>
      <x:c r="R43" s="3" t="str">
        <x:v>c7019cba9baaf2fa7bc792a2c66ba62417be412436fa4e73f9c6af6e3e866ed6</x:v>
      </x:c>
      <x:c r="S43" s="3" t="str">
        <x:v>5ab88cd048ff6dbebcfe3591861c68201157dafc4f2b2ffbc603628521bb7fe6</x:v>
      </x:c>
      <x:c r="T43" s="3" t="str">
        <x:v>4b949c093ece253c066331c5e30f0851c54f855e4dd94ca23107810187f0fa07</x:v>
      </x:c>
    </x:row>
    <x:row r="44" ht="15" hidden="0" customHeight="1">
      <x:c r="A44" s="3" t="str">
        <x:v>J1455-3330</x:v>
      </x:c>
      <x:c r="B44" s="3" t="str"/>
      <x:c r="C44" s="3" t="str">
        <x:v>NOT_SEARCHED</x:v>
      </x:c>
      <x:c r="D44" s="3" t="str"/>
      <x:c r="E44" s="3" t="str">
        <x:v>Inventory only; no Recherche observed search recorded</x:v>
      </x:c>
      <x:c r="F44" s="3" t="str">
        <x:v>Different model or data scope needed before selection</x:v>
      </x:c>
      <x:c r="G44" s="3" t="str">
        <x:v>AVAILABLE; NOT SEARCHED</x:v>
      </x:c>
      <x:c r="H44" s="7" t="n">
        <x:v>2448</x:v>
      </x:c>
      <x:c r="I44" s="7" t="n">
        <x:v>97</x:v>
      </x:c>
      <x:c r="J44" s="8" t="n">
        <x:v>1566.616194249451</x:v>
      </x:c>
      <x:c r="K44" s="3" t="str">
        <x:v>EXCLUDED FROM BATCH 01</x:v>
      </x:c>
      <x:c r="L44" s="3" t="str">
        <x:v>supplied_binary_model</x:v>
      </x:c>
      <x:c r="M44" s="3" t="str">
        <x:v>LISTED</x:v>
      </x:c>
      <x:c r="N44" s="3" t="str">
        <x:v>LISTED</x:v>
      </x:c>
      <x:c r="O44" s="3" t="str">
        <x:v>LISTED</x:v>
      </x:c>
      <x:c r="P44" s="9" t="str"/>
      <x:c r="Q44" s="3" t="str">
        <x:v>../Project Recherche Data/mpta-batch01-20260908/selection.json</x:v>
      </x:c>
      <x:c r="R44" s="3" t="str">
        <x:v>c7019cba9baaf2fa7bc792a2c66ba62417be412436fa4e73f9c6af6e3e866ed6</x:v>
      </x:c>
      <x:c r="S44" s="3" t="str">
        <x:v>4cd11b903cd681604cb3ede557b111496bde694d9e574d277cfce35778b2f799</x:v>
      </x:c>
      <x:c r="T44" s="3" t="str">
        <x:v>a4b20f7ade1f834759879bda9674e7545bf2cbeb511175a03a6d7209618df363</x:v>
      </x:c>
    </x:row>
    <x:row r="45" ht="15" hidden="0" customHeight="1">
      <x:c r="A45" s="3" t="str">
        <x:v>J1514-4946</x:v>
      </x:c>
      <x:c r="B45" s="3" t="str"/>
      <x:c r="C45" s="3" t="str">
        <x:v>NOT_SEARCHED</x:v>
      </x:c>
      <x:c r="D45" s="3" t="str"/>
      <x:c r="E45" s="3" t="str">
        <x:v>Inventory only; no Recherche observed search recorded</x:v>
      </x:c>
      <x:c r="F45" s="3" t="str">
        <x:v>Different model or data scope needed before selection</x:v>
      </x:c>
      <x:c r="G45" s="3" t="str">
        <x:v>AVAILABLE; NOT SEARCHED</x:v>
      </x:c>
      <x:c r="H45" s="7" t="n">
        <x:v>713</x:v>
      </x:c>
      <x:c r="I45" s="7" t="n">
        <x:v>59</x:v>
      </x:c>
      <x:c r="J45" s="8" t="n">
        <x:v>1322.529299358248</x:v>
      </x:c>
      <x:c r="K45" s="3" t="str">
        <x:v>EXCLUDED FROM BATCH 01</x:v>
      </x:c>
      <x:c r="L45" s="3" t="str">
        <x:v>supplied_binary_model</x:v>
      </x:c>
      <x:c r="M45" s="3" t="str">
        <x:v>NOT LISTED</x:v>
      </x:c>
      <x:c r="N45" s="3" t="str">
        <x:v>NOT LISTED</x:v>
      </x:c>
      <x:c r="O45" s="3" t="str">
        <x:v>NOT LISTED</x:v>
      </x:c>
      <x:c r="P45" s="9" t="str"/>
      <x:c r="Q45" s="3" t="str">
        <x:v>../Project Recherche Data/mpta-batch01-20260908/selection.json</x:v>
      </x:c>
      <x:c r="R45" s="3" t="str">
        <x:v>c7019cba9baaf2fa7bc792a2c66ba62417be412436fa4e73f9c6af6e3e866ed6</x:v>
      </x:c>
      <x:c r="S45" s="3" t="str">
        <x:v>6f1fe8d9dfd1fbf27fc619e26b508249ceca0e4d19c152e0c5291abc89fbbcfb</x:v>
      </x:c>
      <x:c r="T45" s="3" t="str">
        <x:v>03dc45740e65786ffd3c4b9ada933db6f541b538d1493214befff4ab9a62b30c</x:v>
      </x:c>
    </x:row>
    <x:row r="46" ht="15" hidden="0" customHeight="1">
      <x:c r="A46" s="3" t="str">
        <x:v>J1525-5545</x:v>
      </x:c>
      <x:c r="B46" s="3" t="str"/>
      <x:c r="C46" s="3" t="str">
        <x:v>NOT_SEARCHED</x:v>
      </x:c>
      <x:c r="D46" s="3" t="str"/>
      <x:c r="E46" s="3" t="str">
        <x:v>Inventory only; no Recherche observed search recorded</x:v>
      </x:c>
      <x:c r="F46" s="3" t="str">
        <x:v>Different model or data scope needed before selection</x:v>
      </x:c>
      <x:c r="G46" s="3" t="str">
        <x:v>AVAILABLE; NOT SEARCHED</x:v>
      </x:c>
      <x:c r="H46" s="7" t="n">
        <x:v>9504</x:v>
      </x:c>
      <x:c r="I46" s="7" t="n">
        <x:v>99</x:v>
      </x:c>
      <x:c r="J46" s="8" t="n">
        <x:v>1324.3104314569646</x:v>
      </x:c>
      <x:c r="K46" s="3" t="str">
        <x:v>EXCLUDED FROM BATCH 01</x:v>
      </x:c>
      <x:c r="L46" s="3" t="str">
        <x:v>supplied_binary_model; published_scattering_process</x:v>
      </x:c>
      <x:c r="M46" s="3" t="str">
        <x:v>NOT LISTED</x:v>
      </x:c>
      <x:c r="N46" s="3" t="str">
        <x:v>NOT LISTED</x:v>
      </x:c>
      <x:c r="O46" s="3" t="str">
        <x:v>NOT LISTED</x:v>
      </x:c>
      <x:c r="P46" s="9" t="str"/>
      <x:c r="Q46" s="3" t="str">
        <x:v>../Project Recherche Data/mpta-batch01-20260908/selection.json</x:v>
      </x:c>
      <x:c r="R46" s="3" t="str">
        <x:v>c7019cba9baaf2fa7bc792a2c66ba62417be412436fa4e73f9c6af6e3e866ed6</x:v>
      </x:c>
      <x:c r="S46" s="3" t="str">
        <x:v>0036901d3454cc34bf2db9e3e29c9d5164434a91d0b489780fe13fd68a1086dd</x:v>
      </x:c>
      <x:c r="T46" s="3" t="str">
        <x:v>b109f2d16d326217478dae523812bc51d3967e006357434656e272314bfbfa8f</x:v>
      </x:c>
    </x:row>
    <x:row r="47" ht="15" hidden="0" customHeight="1">
      <x:c r="A47" s="3" t="str">
        <x:v>J1543-5149</x:v>
      </x:c>
      <x:c r="B47" s="3" t="str"/>
      <x:c r="C47" s="3" t="str">
        <x:v>NOT_SEARCHED</x:v>
      </x:c>
      <x:c r="D47" s="3" t="str"/>
      <x:c r="E47" s="3" t="str">
        <x:v>Inventory only; no Recherche observed search recorded</x:v>
      </x:c>
      <x:c r="F47" s="3" t="str">
        <x:v>Different model or data scope needed before selection</x:v>
      </x:c>
      <x:c r="G47" s="3" t="str">
        <x:v>AVAILABLE; NOT SEARCHED</x:v>
      </x:c>
      <x:c r="H47" s="7" t="n">
        <x:v>2685</x:v>
      </x:c>
      <x:c r="I47" s="7" t="n">
        <x:v>99</x:v>
      </x:c>
      <x:c r="J47" s="8" t="n">
        <x:v>1599.3964065224573</x:v>
      </x:c>
      <x:c r="K47" s="3" t="str">
        <x:v>EXCLUDED FROM BATCH 01</x:v>
      </x:c>
      <x:c r="L47" s="3" t="str">
        <x:v>supplied_binary_model</x:v>
      </x:c>
      <x:c r="M47" s="3" t="str">
        <x:v>NOT LISTED</x:v>
      </x:c>
      <x:c r="N47" s="3" t="str">
        <x:v>NOT LISTED</x:v>
      </x:c>
      <x:c r="O47" s="3" t="str">
        <x:v>NOT LISTED</x:v>
      </x:c>
      <x:c r="P47" s="9" t="str"/>
      <x:c r="Q47" s="3" t="str">
        <x:v>../Project Recherche Data/mpta-batch01-20260908/selection.json</x:v>
      </x:c>
      <x:c r="R47" s="3" t="str">
        <x:v>c7019cba9baaf2fa7bc792a2c66ba62417be412436fa4e73f9c6af6e3e866ed6</x:v>
      </x:c>
      <x:c r="S47" s="3" t="str">
        <x:v>441770ee9188bcbf923a73032943cb191edc3ee3c2e94dcaadf47deece68edd7</x:v>
      </x:c>
      <x:c r="T47" s="3" t="str">
        <x:v>70e8ff0dfcadb17f686e419eec2d72f49547ad4cabaa9f18d342484ac86885c7</x:v>
      </x:c>
    </x:row>
    <x:row r="48" ht="15" hidden="0" customHeight="1">
      <x:c r="A48" s="3" t="str">
        <x:v>J1545-4550</x:v>
      </x:c>
      <x:c r="B48" s="3" t="str"/>
      <x:c r="C48" s="3" t="str">
        <x:v>NOT_SEARCHED</x:v>
      </x:c>
      <x:c r="D48" s="3" t="str"/>
      <x:c r="E48" s="3" t="str">
        <x:v>Inventory only; no Recherche observed search recorded</x:v>
      </x:c>
      <x:c r="F48" s="3" t="str">
        <x:v>Different model or data scope needed before selection</x:v>
      </x:c>
      <x:c r="G48" s="3" t="str">
        <x:v>AVAILABLE; NOT SEARCHED</x:v>
      </x:c>
      <x:c r="H48" s="7" t="n">
        <x:v>4905</x:v>
      </x:c>
      <x:c r="I48" s="7" t="n">
        <x:v>154</x:v>
      </x:c>
      <x:c r="J48" s="8" t="n">
        <x:v>1580.529582068244</x:v>
      </x:c>
      <x:c r="K48" s="3" t="str">
        <x:v>EXCLUDED FROM BATCH 01</x:v>
      </x:c>
      <x:c r="L48" s="3" t="str">
        <x:v>supplied_binary_model; published_scattering_process</x:v>
      </x:c>
      <x:c r="M48" s="3" t="str">
        <x:v>NOT LISTED</x:v>
      </x:c>
      <x:c r="N48" s="3" t="str">
        <x:v>NOT LISTED</x:v>
      </x:c>
      <x:c r="O48" s="3" t="str">
        <x:v>NOT LISTED</x:v>
      </x:c>
      <x:c r="P48" s="9" t="str"/>
      <x:c r="Q48" s="3" t="str">
        <x:v>../Project Recherche Data/mpta-batch01-20260908/selection.json</x:v>
      </x:c>
      <x:c r="R48" s="3" t="str">
        <x:v>c7019cba9baaf2fa7bc792a2c66ba62417be412436fa4e73f9c6af6e3e866ed6</x:v>
      </x:c>
      <x:c r="S48" s="3" t="str">
        <x:v>992912cc936bd00f2e9645082940a83bb2e734dcb46314cce7778eed3ee48810</x:v>
      </x:c>
      <x:c r="T48" s="3" t="str">
        <x:v>02701800e207b98c5577cda8aeb490ddff0290c0b57cd76b66ffa745d87d877b</x:v>
      </x:c>
    </x:row>
    <x:row r="49" ht="15" hidden="0" customHeight="1">
      <x:c r="A49" s="3" t="str">
        <x:v>J1547-5709</x:v>
      </x:c>
      <x:c r="B49" s="3" t="str"/>
      <x:c r="C49" s="3" t="str">
        <x:v>NOT_SEARCHED</x:v>
      </x:c>
      <x:c r="D49" s="3" t="str"/>
      <x:c r="E49" s="3" t="str">
        <x:v>Inventory only; no Recherche observed search recorded</x:v>
      </x:c>
      <x:c r="F49" s="3" t="str">
        <x:v>Different model or data scope needed before selection</x:v>
      </x:c>
      <x:c r="G49" s="3" t="str">
        <x:v>AVAILABLE; NOT SEARCHED</x:v>
      </x:c>
      <x:c r="H49" s="7" t="n">
        <x:v>2870</x:v>
      </x:c>
      <x:c r="I49" s="7" t="n">
        <x:v>95</x:v>
      </x:c>
      <x:c r="J49" s="8" t="n">
        <x:v>1539.433537633864</x:v>
      </x:c>
      <x:c r="K49" s="3" t="str">
        <x:v>EXCLUDED FROM BATCH 01</x:v>
      </x:c>
      <x:c r="L49" s="3" t="str">
        <x:v>supplied_binary_model</x:v>
      </x:c>
      <x:c r="M49" s="3" t="str">
        <x:v>NOT LISTED</x:v>
      </x:c>
      <x:c r="N49" s="3" t="str">
        <x:v>NOT LISTED</x:v>
      </x:c>
      <x:c r="O49" s="3" t="str">
        <x:v>NOT LISTED</x:v>
      </x:c>
      <x:c r="P49" s="9" t="str"/>
      <x:c r="Q49" s="3" t="str">
        <x:v>../Project Recherche Data/mpta-batch01-20260908/selection.json</x:v>
      </x:c>
      <x:c r="R49" s="3" t="str">
        <x:v>c7019cba9baaf2fa7bc792a2c66ba62417be412436fa4e73f9c6af6e3e866ed6</x:v>
      </x:c>
      <x:c r="S49" s="3" t="str">
        <x:v>87db9240cb75376dee9e18566f750f23d3ccc62fa9b947a5ecc08de19a39715c</x:v>
      </x:c>
      <x:c r="T49" s="3" t="str">
        <x:v>e8532275c8e8975ef26609d63466dfb1abb915a4b16addc6db44f088f75143e5</x:v>
      </x:c>
    </x:row>
    <x:row r="50" ht="24" hidden="0" customHeight="1">
      <x:c r="A50" s="3" t="str">
        <x:v>J1600-3053</x:v>
      </x:c>
      <x:c r="B50" s="3" t="str"/>
      <x:c r="C50" s="3" t="str">
        <x:v>NOT_SEARCHED</x:v>
      </x:c>
      <x:c r="D50" s="3" t="str"/>
      <x:c r="E50" s="3" t="str">
        <x:v>Inventory only; no Recherche observed search recorded</x:v>
      </x:c>
      <x:c r="F50" s="3" t="str">
        <x:v>Different model or data scope needed before selection</x:v>
      </x:c>
      <x:c r="G50" s="3" t="str">
        <x:v>AVAILABLE; NOT SEARCHED</x:v>
      </x:c>
      <x:c r="H50" s="7" t="n">
        <x:v>6200</x:v>
      </x:c>
      <x:c r="I50" s="7" t="n">
        <x:v>97</x:v>
      </x:c>
      <x:c r="J50" s="8" t="n">
        <x:v>1587.648314265185</x:v>
      </x:c>
      <x:c r="K50" s="3" t="str">
        <x:v>EXCLUDED FROM BATCH 01</x:v>
      </x:c>
      <x:c r="L50" s="3" t="str">
        <x:v>supplied_binary_model; published_deterministic_chromatic_structure; published_scattering_process</x:v>
      </x:c>
      <x:c r="M50" s="3" t="str">
        <x:v>LISTED</x:v>
      </x:c>
      <x:c r="N50" s="3" t="str">
        <x:v>LISTED</x:v>
      </x:c>
      <x:c r="O50" s="3" t="str">
        <x:v>LISTED</x:v>
      </x:c>
      <x:c r="P50" s="9" t="str"/>
      <x:c r="Q50" s="3" t="str">
        <x:v>../Project Recherche Data/mpta-batch01-20260908/selection.json</x:v>
      </x:c>
      <x:c r="R50" s="3" t="str">
        <x:v>c7019cba9baaf2fa7bc792a2c66ba62417be412436fa4e73f9c6af6e3e866ed6</x:v>
      </x:c>
      <x:c r="S50" s="3" t="str">
        <x:v>195a62cffa38075bd295a21bed0d29fca762bc7a2b49a7c5840e36a9f1f089a2</x:v>
      </x:c>
      <x:c r="T50" s="3" t="str">
        <x:v>e135329bf0a4ef54fb07233916673320cc2d0d9343bb67e0468ad9df34ee3201</x:v>
      </x:c>
    </x:row>
    <x:row r="51" ht="15" hidden="0" customHeight="1">
      <x:c r="A51" s="3" t="str">
        <x:v>J1603-7202</x:v>
      </x:c>
      <x:c r="B51" s="3" t="str"/>
      <x:c r="C51" s="3" t="str">
        <x:v>NOT_SEARCHED</x:v>
      </x:c>
      <x:c r="D51" s="3" t="str"/>
      <x:c r="E51" s="3" t="str">
        <x:v>Inventory only; no Recherche observed search recorded</x:v>
      </x:c>
      <x:c r="F51" s="3" t="str">
        <x:v>Different model or data scope needed before selection</x:v>
      </x:c>
      <x:c r="G51" s="3" t="str">
        <x:v>AVAILABLE; NOT SEARCHED</x:v>
      </x:c>
      <x:c r="H51" s="7" t="n">
        <x:v>3121</x:v>
      </x:c>
      <x:c r="I51" s="7" t="n">
        <x:v>100</x:v>
      </x:c>
      <x:c r="J51" s="8" t="n">
        <x:v>1604.5211331537503</x:v>
      </x:c>
      <x:c r="K51" s="3" t="str">
        <x:v>EXCLUDED FROM BATCH 01</x:v>
      </x:c>
      <x:c r="L51" s="3" t="str">
        <x:v>supplied_binary_model; published_scattering_process</x:v>
      </x:c>
      <x:c r="M51" s="3" t="str">
        <x:v>NOT LISTED</x:v>
      </x:c>
      <x:c r="N51" s="3" t="str">
        <x:v>NOT LISTED</x:v>
      </x:c>
      <x:c r="O51" s="3" t="str">
        <x:v>NOT LISTED</x:v>
      </x:c>
      <x:c r="P51" s="9" t="str"/>
      <x:c r="Q51" s="3" t="str">
        <x:v>../Project Recherche Data/mpta-batch01-20260908/selection.json</x:v>
      </x:c>
      <x:c r="R51" s="3" t="str">
        <x:v>c7019cba9baaf2fa7bc792a2c66ba62417be412436fa4e73f9c6af6e3e866ed6</x:v>
      </x:c>
      <x:c r="S51" s="3" t="str">
        <x:v>d36c301cc5457623e2cbc3cbeaa4d0452ff3282dd073de6214cb8fe03e7af88f</x:v>
      </x:c>
      <x:c r="T51" s="3" t="str">
        <x:v>6b524da1f0247566377ee2263aed97ab31f6c710eaabae43c122cf4658deeb33</x:v>
      </x:c>
    </x:row>
    <x:row r="52" ht="15" hidden="0" customHeight="1">
      <x:c r="A52" s="3" t="str">
        <x:v>J1614-2230</x:v>
      </x:c>
      <x:c r="B52" s="3" t="str"/>
      <x:c r="C52" s="3" t="str">
        <x:v>NOT_SEARCHED</x:v>
      </x:c>
      <x:c r="D52" s="3" t="str"/>
      <x:c r="E52" s="3" t="str">
        <x:v>Inventory only; no Recherche observed search recorded</x:v>
      </x:c>
      <x:c r="F52" s="3" t="str">
        <x:v>Different model or data scope needed before selection</x:v>
      </x:c>
      <x:c r="G52" s="3" t="str">
        <x:v>AVAILABLE; NOT SEARCHED</x:v>
      </x:c>
      <x:c r="H52" s="7" t="n">
        <x:v>3027</x:v>
      </x:c>
      <x:c r="I52" s="7" t="n">
        <x:v>99</x:v>
      </x:c>
      <x:c r="J52" s="8" t="n">
        <x:v>1564.836023225791</x:v>
      </x:c>
      <x:c r="K52" s="3" t="str">
        <x:v>EXCLUDED FROM BATCH 01</x:v>
      </x:c>
      <x:c r="L52" s="3" t="str">
        <x:v>supplied_binary_model</x:v>
      </x:c>
      <x:c r="M52" s="3" t="str">
        <x:v>NOT LISTED</x:v>
      </x:c>
      <x:c r="N52" s="3" t="str">
        <x:v>LISTED</x:v>
      </x:c>
      <x:c r="O52" s="3" t="str">
        <x:v>NOT LISTED</x:v>
      </x:c>
      <x:c r="P52" s="9" t="str"/>
      <x:c r="Q52" s="3" t="str">
        <x:v>../Project Recherche Data/mpta-batch01-20260908/selection.json</x:v>
      </x:c>
      <x:c r="R52" s="3" t="str">
        <x:v>c7019cba9baaf2fa7bc792a2c66ba62417be412436fa4e73f9c6af6e3e866ed6</x:v>
      </x:c>
      <x:c r="S52" s="3" t="str">
        <x:v>237ef300ad15a114306456496ddc97c180d6ee3618d16afb285fa78281540c62</x:v>
      </x:c>
      <x:c r="T52" s="3" t="str">
        <x:v>fea39c3c9c8f250ec45ead51aec0929ae63c679bc504fadf6547320e6c74c8b5</x:v>
      </x:c>
    </x:row>
    <x:row r="53" ht="24" hidden="0" customHeight="1">
      <x:c r="A53" s="3" t="str">
        <x:v>J1643-1224</x:v>
      </x:c>
      <x:c r="B53" s="3" t="str"/>
      <x:c r="C53" s="3" t="str">
        <x:v>NOT_SEARCHED</x:v>
      </x:c>
      <x:c r="D53" s="3" t="str"/>
      <x:c r="E53" s="3" t="str">
        <x:v>Inventory only; no Recherche observed search recorded</x:v>
      </x:c>
      <x:c r="F53" s="3" t="str">
        <x:v>Different model or data scope needed before selection</x:v>
      </x:c>
      <x:c r="G53" s="3" t="str">
        <x:v>AVAILABLE; NOT SEARCHED</x:v>
      </x:c>
      <x:c r="H53" s="7" t="n">
        <x:v>3162</x:v>
      </x:c>
      <x:c r="I53" s="7" t="n">
        <x:v>99</x:v>
      </x:c>
      <x:c r="J53" s="8" t="n">
        <x:v>1564.8403268337643</x:v>
      </x:c>
      <x:c r="K53" s="3" t="str">
        <x:v>EXCLUDED FROM BATCH 01</x:v>
      </x:c>
      <x:c r="L53" s="3" t="str">
        <x:v>supplied_binary_model; published_deterministic_chromatic_structure; published_scattering_process</x:v>
      </x:c>
      <x:c r="M53" s="3" t="str">
        <x:v>LISTED</x:v>
      </x:c>
      <x:c r="N53" s="3" t="str">
        <x:v>LISTED</x:v>
      </x:c>
      <x:c r="O53" s="3" t="str">
        <x:v>NOT LISTED</x:v>
      </x:c>
      <x:c r="P53" s="9" t="str"/>
      <x:c r="Q53" s="3" t="str">
        <x:v>../Project Recherche Data/mpta-batch01-20260908/selection.json</x:v>
      </x:c>
      <x:c r="R53" s="3" t="str">
        <x:v>c7019cba9baaf2fa7bc792a2c66ba62417be412436fa4e73f9c6af6e3e866ed6</x:v>
      </x:c>
      <x:c r="S53" s="3" t="str">
        <x:v>954660389004689c58db2976ce04c3e8b9ff9bd7398db53bdbbcf2e9dc3d44cb</x:v>
      </x:c>
      <x:c r="T53" s="3" t="str">
        <x:v>f114bff0fbe53f972923c1c5d844d40fe4de7486f6ae7edb4326b36101ce5419</x:v>
      </x:c>
    </x:row>
    <x:row r="54" ht="24" hidden="0" customHeight="1">
      <x:c r="A54" s="3" t="str">
        <x:v>J1652-4838</x:v>
      </x:c>
      <x:c r="B54" s="3" t="str"/>
      <x:c r="C54" s="3" t="str">
        <x:v>NOT_SEARCHED</x:v>
      </x:c>
      <x:c r="D54" s="3" t="str"/>
      <x:c r="E54" s="3" t="str">
        <x:v>Inventory only; no Recherche observed search recorded</x:v>
      </x:c>
      <x:c r="F54" s="3" t="str">
        <x:v>Different model or data scope needed before selection</x:v>
      </x:c>
      <x:c r="G54" s="3" t="str">
        <x:v>AVAILABLE; NOT SEARCHED</x:v>
      </x:c>
      <x:c r="H54" s="7" t="n">
        <x:v>3124</x:v>
      </x:c>
      <x:c r="I54" s="7" t="n">
        <x:v>98</x:v>
      </x:c>
      <x:c r="J54" s="8" t="n">
        <x:v>1558.9543013305956</x:v>
      </x:c>
      <x:c r="K54" s="3" t="str">
        <x:v>EXCLUDED FROM BATCH 01</x:v>
      </x:c>
      <x:c r="L54" s="3" t="str">
        <x:v>supplied_binary_model; published_deterministic_chromatic_structure; published_scattering_process</x:v>
      </x:c>
      <x:c r="M54" s="3" t="str">
        <x:v>NOT LISTED</x:v>
      </x:c>
      <x:c r="N54" s="3" t="str">
        <x:v>NOT LISTED</x:v>
      </x:c>
      <x:c r="O54" s="3" t="str">
        <x:v>NOT LISTED</x:v>
      </x:c>
      <x:c r="P54" s="9" t="str"/>
      <x:c r="Q54" s="3" t="str">
        <x:v>../Project Recherche Data/mpta-batch01-20260908/selection.json</x:v>
      </x:c>
      <x:c r="R54" s="3" t="str">
        <x:v>c7019cba9baaf2fa7bc792a2c66ba62417be412436fa4e73f9c6af6e3e866ed6</x:v>
      </x:c>
      <x:c r="S54" s="3" t="str">
        <x:v>a025f99cd3d8887e4eeb87e02302834a1c245215121dceb1b7fea278009faa74</x:v>
      </x:c>
      <x:c r="T54" s="3" t="str">
        <x:v>3a11cec71331d319c3bcc9a8373c7f7214ebc459aa3ea8a0ac116d7b203f3d56</x:v>
      </x:c>
    </x:row>
    <x:row r="55" ht="15" hidden="0" customHeight="1">
      <x:c r="A55" s="3" t="str">
        <x:v>J1653-2054</x:v>
      </x:c>
      <x:c r="B55" s="3" t="str"/>
      <x:c r="C55" s="3" t="str">
        <x:v>NOT_SEARCHED</x:v>
      </x:c>
      <x:c r="D55" s="3" t="str"/>
      <x:c r="E55" s="3" t="str">
        <x:v>Inventory only; no Recherche observed search recorded</x:v>
      </x:c>
      <x:c r="F55" s="3" t="str">
        <x:v>Different model or data scope needed before selection</x:v>
      </x:c>
      <x:c r="G55" s="3" t="str">
        <x:v>AVAILABLE; NOT SEARCHED</x:v>
      </x:c>
      <x:c r="H55" s="7" t="n">
        <x:v>2686</x:v>
      </x:c>
      <x:c r="I55" s="7" t="n">
        <x:v>85</x:v>
      </x:c>
      <x:c r="J55" s="8" t="n">
        <x:v>1558.9643504257765</x:v>
      </x:c>
      <x:c r="K55" s="3" t="str">
        <x:v>EXCLUDED FROM BATCH 01</x:v>
      </x:c>
      <x:c r="L55" s="3" t="str">
        <x:v>supplied_binary_model</x:v>
      </x:c>
      <x:c r="M55" s="3" t="str">
        <x:v>LISTED</x:v>
      </x:c>
      <x:c r="N55" s="3" t="str">
        <x:v>NOT LISTED</x:v>
      </x:c>
      <x:c r="O55" s="3" t="str">
        <x:v>NOT LISTED</x:v>
      </x:c>
      <x:c r="P55" s="9" t="str"/>
      <x:c r="Q55" s="3" t="str">
        <x:v>../Project Recherche Data/mpta-batch01-20260908/selection.json</x:v>
      </x:c>
      <x:c r="R55" s="3" t="str">
        <x:v>c7019cba9baaf2fa7bc792a2c66ba62417be412436fa4e73f9c6af6e3e866ed6</x:v>
      </x:c>
      <x:c r="S55" s="3" t="str">
        <x:v>88d7ea6936c0f6471a2de4756e61c894a5aad9e03280d92d0dcc817b56fcb5d0</x:v>
      </x:c>
      <x:c r="T55" s="3" t="str">
        <x:v>b202fcff9b56990f8c3f37091416d621248372c8a086d480e826c9ddf1223f5d</x:v>
      </x:c>
    </x:row>
    <x:row r="56" ht="24" hidden="0" customHeight="1">
      <x:c r="A56" s="3" t="str">
        <x:v>J1708-3506</x:v>
      </x:c>
      <x:c r="B56" s="3" t="str"/>
      <x:c r="C56" s="3" t="str">
        <x:v>NOT_SEARCHED</x:v>
      </x:c>
      <x:c r="D56" s="3" t="str"/>
      <x:c r="E56" s="3" t="str">
        <x:v>Inventory only; no Recherche observed search recorded</x:v>
      </x:c>
      <x:c r="F56" s="3" t="str">
        <x:v>Different model or data scope needed before selection</x:v>
      </x:c>
      <x:c r="G56" s="3" t="str">
        <x:v>AVAILABLE; NOT SEARCHED</x:v>
      </x:c>
      <x:c r="H56" s="7" t="n">
        <x:v>2492</x:v>
      </x:c>
      <x:c r="I56" s="7" t="n">
        <x:v>78</x:v>
      </x:c>
      <x:c r="J56" s="8" t="n">
        <x:v>1148.9037080860944</x:v>
      </x:c>
      <x:c r="K56" s="3" t="str">
        <x:v>EXCLUDED FROM BATCH 01</x:v>
      </x:c>
      <x:c r="L56" s="3" t="str">
        <x:v>supplied_binary_model; published_scattering_process; insufficient_usable_span_or_epochs</x:v>
      </x:c>
      <x:c r="M56" s="3" t="str">
        <x:v>NOT LISTED</x:v>
      </x:c>
      <x:c r="N56" s="3" t="str">
        <x:v>NOT LISTED</x:v>
      </x:c>
      <x:c r="O56" s="3" t="str">
        <x:v>NOT LISTED</x:v>
      </x:c>
      <x:c r="P56" s="9" t="str"/>
      <x:c r="Q56" s="3" t="str">
        <x:v>../Project Recherche Data/mpta-batch01-20260908/selection.json</x:v>
      </x:c>
      <x:c r="R56" s="3" t="str">
        <x:v>c7019cba9baaf2fa7bc792a2c66ba62417be412436fa4e73f9c6af6e3e866ed6</x:v>
      </x:c>
      <x:c r="S56" s="3" t="str">
        <x:v>838eca52ecf2eff5882900e2149336dc6d8a1e47f8772955db571c69147c2bf4</x:v>
      </x:c>
      <x:c r="T56" s="3" t="str">
        <x:v>5ffba345b3d6ffb8f40a9defd78ce31ba1b4cb7d896afaadd2581453859a2ec2</x:v>
      </x:c>
    </x:row>
    <x:row r="57" ht="24" hidden="0" customHeight="1">
      <x:c r="A57" s="3" t="str">
        <x:v>J1713+0747</x:v>
      </x:c>
      <x:c r="B57" s="3" t="str"/>
      <x:c r="C57" s="3" t="str">
        <x:v>NOT_SEARCHED</x:v>
      </x:c>
      <x:c r="D57" s="3" t="str"/>
      <x:c r="E57" s="3" t="str">
        <x:v>Inventory only; no Recherche observed search recorded</x:v>
      </x:c>
      <x:c r="F57" s="3" t="str">
        <x:v>Different model or data scope needed before selection</x:v>
      </x:c>
      <x:c r="G57" s="3" t="str">
        <x:v>AVAILABLE; NOT SEARCHED</x:v>
      </x:c>
      <x:c r="H57" s="7" t="n">
        <x:v>1273</x:v>
      </x:c>
      <x:c r="I57" s="7" t="n">
        <x:v>40</x:v>
      </x:c>
      <x:c r="J57" s="8" t="n">
        <x:v>722.7875097075012</x:v>
      </x:c>
      <x:c r="K57" s="3" t="str">
        <x:v>EXCLUDED FROM BATCH 01</x:v>
      </x:c>
      <x:c r="L57" s="3" t="str">
        <x:v>supplied_binary_model; published_scattering_process; insufficient_usable_span_or_epochs</x:v>
      </x:c>
      <x:c r="M57" s="3" t="str">
        <x:v>LISTED</x:v>
      </x:c>
      <x:c r="N57" s="3" t="str">
        <x:v>LISTED</x:v>
      </x:c>
      <x:c r="O57" s="3" t="str">
        <x:v>LISTED</x:v>
      </x:c>
      <x:c r="P57" s="9" t="str"/>
      <x:c r="Q57" s="3" t="str">
        <x:v>../Project Recherche Data/mpta-batch01-20260908/selection.json</x:v>
      </x:c>
      <x:c r="R57" s="3" t="str">
        <x:v>c7019cba9baaf2fa7bc792a2c66ba62417be412436fa4e73f9c6af6e3e866ed6</x:v>
      </x:c>
      <x:c r="S57" s="3" t="str">
        <x:v>0d70f4f891350735594e1fb43615f2871b4d92e666cf065ef0fee30b159f6e77</x:v>
      </x:c>
      <x:c r="T57" s="3" t="str">
        <x:v>b8dcb4d8463714917cc61f9f36e213b0735c454d070fd0d9662655dacc915b45</x:v>
      </x:c>
    </x:row>
    <x:row r="58" ht="15" hidden="0" customHeight="1">
      <x:c r="A58" s="3" t="str">
        <x:v>J1721-2457</x:v>
      </x:c>
      <x:c r="B58" s="3" t="str"/>
      <x:c r="C58" s="3" t="str">
        <x:v>NO_TRIGGER</x:v>
      </x:c>
      <x:c r="D58" s="3" t="str">
        <x:v>ipta-batch01-20260909-J1721-2457-run01</x:v>
      </x:c>
      <x:c r="E58" s="3" t="str">
        <x:v>No qualifying signal in eligible 30–2000-day cells</x:v>
      </x:c>
      <x:c r="F58" s="3" t="str">
        <x:v>Retain result; consider independent data or a separately defined new scope</x:v>
      </x:c>
      <x:c r="G58" s="3" t="str">
        <x:v>SEARCHED</x:v>
      </x:c>
      <x:c r="H58" s="7" t="n">
        <x:v>2112</x:v>
      </x:c>
      <x:c r="I58" s="7" t="n">
        <x:v>66</x:v>
      </x:c>
      <x:c r="J58" s="8" t="n">
        <x:v>1206.706458026878</x:v>
      </x:c>
      <x:c r="K58" s="3" t="str">
        <x:v>EXCLUDED FROM BATCH 01</x:v>
      </x:c>
      <x:c r="L58" s="3" t="str">
        <x:v>published_deterministic_chromatic_structure</x:v>
      </x:c>
      <x:c r="M58" s="3" t="str">
        <x:v>NOT LISTED</x:v>
      </x:c>
      <x:c r="N58" s="3" t="str">
        <x:v>NOT LISTED</x:v>
      </x:c>
      <x:c r="O58" s="3" t="str">
        <x:v>NOT LISTED</x:v>
      </x:c>
      <x:c r="P58" s="9" t="str"/>
      <x:c r="Q58" s="3" t="str">
        <x:v>../Project Recherche Data/mpta-batch01-20260908/selection.json</x:v>
      </x:c>
      <x:c r="R58" s="3" t="str">
        <x:v>c7019cba9baaf2fa7bc792a2c66ba62417be412436fa4e73f9c6af6e3e866ed6</x:v>
      </x:c>
      <x:c r="S58" s="3" t="str">
        <x:v>769d739b33c19a0d2f9d4276a0457be38e05b33c9205c2e1dd127cb7103cf7ca</x:v>
      </x:c>
      <x:c r="T58" s="3" t="str">
        <x:v>b9404a9b5c0dde85e122cc7cd5d494d519d610623d739e67820b37d9a615947b</x:v>
      </x:c>
    </x:row>
    <x:row r="59" ht="15" hidden="0" customHeight="1">
      <x:c r="A59" s="3" t="str">
        <x:v>J1732-5049</x:v>
      </x:c>
      <x:c r="B59" s="3" t="str"/>
      <x:c r="C59" s="3" t="str">
        <x:v>NOT_SEARCHED</x:v>
      </x:c>
      <x:c r="D59" s="3" t="str"/>
      <x:c r="E59" s="3" t="str">
        <x:v>Inventory only; no Recherche observed search recorded</x:v>
      </x:c>
      <x:c r="F59" s="3" t="str">
        <x:v>Different model or data scope needed before selection</x:v>
      </x:c>
      <x:c r="G59" s="3" t="str">
        <x:v>AVAILABLE; NOT SEARCHED</x:v>
      </x:c>
      <x:c r="H59" s="7" t="n">
        <x:v>4442</x:v>
      </x:c>
      <x:c r="I59" s="7" t="n">
        <x:v>147</x:v>
      </x:c>
      <x:c r="J59" s="8" t="n">
        <x:v>1628.5419533902823</x:v>
      </x:c>
      <x:c r="K59" s="3" t="str">
        <x:v>EXCLUDED FROM BATCH 01</x:v>
      </x:c>
      <x:c r="L59" s="3" t="str">
        <x:v>supplied_binary_model</x:v>
      </x:c>
      <x:c r="M59" s="3" t="str">
        <x:v>NOT LISTED</x:v>
      </x:c>
      <x:c r="N59" s="3" t="str">
        <x:v>NOT LISTED</x:v>
      </x:c>
      <x:c r="O59" s="3" t="str">
        <x:v>NOT LISTED</x:v>
      </x:c>
      <x:c r="P59" s="9" t="str"/>
      <x:c r="Q59" s="3" t="str">
        <x:v>../Project Recherche Data/mpta-batch01-20260908/selection.json</x:v>
      </x:c>
      <x:c r="R59" s="3" t="str">
        <x:v>c7019cba9baaf2fa7bc792a2c66ba62417be412436fa4e73f9c6af6e3e866ed6</x:v>
      </x:c>
      <x:c r="S59" s="3" t="str">
        <x:v>1cd223298006a8ed36ed7389930ebd019c52d53aae67c52fd93dc73805c95837</x:v>
      </x:c>
      <x:c r="T59" s="3" t="str">
        <x:v>dc595d4beba5a6efeddda696927cc1e355f25fb556e5af2ecad6ebd27a352ac3</x:v>
      </x:c>
    </x:row>
    <x:row r="60" ht="15" hidden="0" customHeight="1">
      <x:c r="A60" s="3" t="str">
        <x:v>J1737-0811</x:v>
      </x:c>
      <x:c r="B60" s="3" t="str"/>
      <x:c r="C60" s="3" t="str">
        <x:v>NOT_SEARCHED</x:v>
      </x:c>
      <x:c r="D60" s="3" t="str"/>
      <x:c r="E60" s="3" t="str">
        <x:v>Inventory only; no Recherche observed search recorded</x:v>
      </x:c>
      <x:c r="F60" s="3" t="str">
        <x:v>Different model or data scope needed before selection</x:v>
      </x:c>
      <x:c r="G60" s="3" t="str">
        <x:v>AVAILABLE; NOT SEARCHED</x:v>
      </x:c>
      <x:c r="H60" s="7" t="n">
        <x:v>3258</x:v>
      </x:c>
      <x:c r="I60" s="7" t="n">
        <x:v>102</x:v>
      </x:c>
      <x:c r="J60" s="8" t="n">
        <x:v>1558.7277620276363</x:v>
      </x:c>
      <x:c r="K60" s="3" t="str">
        <x:v>EXCLUDED FROM BATCH 01</x:v>
      </x:c>
      <x:c r="L60" s="3" t="str">
        <x:v>supplied_binary_model; published_deterministic_chromatic_structure</x:v>
      </x:c>
      <x:c r="M60" s="3" t="str">
        <x:v>NOT LISTED</x:v>
      </x:c>
      <x:c r="N60" s="3" t="str">
        <x:v>NOT LISTED</x:v>
      </x:c>
      <x:c r="O60" s="3" t="str">
        <x:v>NOT LISTED</x:v>
      </x:c>
      <x:c r="P60" s="9" t="str"/>
      <x:c r="Q60" s="3" t="str">
        <x:v>../Project Recherche Data/mpta-batch01-20260908/selection.json</x:v>
      </x:c>
      <x:c r="R60" s="3" t="str">
        <x:v>c7019cba9baaf2fa7bc792a2c66ba62417be412436fa4e73f9c6af6e3e866ed6</x:v>
      </x:c>
      <x:c r="S60" s="3" t="str">
        <x:v>c63fd1c3149a8762ae48115e358cf25dff2245320eb7975ee728afa4cd3caf55</x:v>
      </x:c>
      <x:c r="T60" s="3" t="str">
        <x:v>634200b3520647cc23ec67c1fc317163769262ea55a3d03fc4426e450fafe869</x:v>
      </x:c>
    </x:row>
    <x:row r="61" ht="24" hidden="0" customHeight="1">
      <x:c r="A61" s="3" t="str">
        <x:v>J1744-1134</x:v>
      </x:c>
      <x:c r="B61" s="3" t="str"/>
      <x:c r="C61" s="3" t="str">
        <x:v>NO_TRIGGER</x:v>
      </x:c>
      <x:c r="D61" s="3" t="str">
        <x:v>ipta-hold-release-20260909-J1744-1134-J1744-1134-run01</x:v>
      </x:c>
      <x:c r="E61" s="3" t="str">
        <x:v>No qualifying signal in eligible 30–2000-day cells</x:v>
      </x:c>
      <x:c r="F61" s="3" t="str">
        <x:v>Preserve completed IPTA NO_TRIGGER; new observations or scope required to search again</x:v>
      </x:c>
      <x:c r="G61" s="3" t="str">
        <x:v>IPTA SEARCH COMPLETE; historical summary difference retained</x:v>
      </x:c>
      <x:c r="H61" s="7" t="n">
        <x:v>1946</x:v>
      </x:c>
      <x:c r="I61" s="7" t="n">
        <x:v>890</x:v>
      </x:c>
      <x:c r="J61" s="8" t="n">
        <x:v>8769.982456756414</x:v>
      </x:c>
      <x:c r="K61" s="3" t="str">
        <x:v>pta-campaign01-repair01-20260909-epta</x:v>
      </x:c>
      <x:c r="L61" s="3" t="str"/>
      <x:c r="M61" s="3" t="str">
        <x:v>LISTED</x:v>
      </x:c>
      <x:c r="N61" s="3" t="str">
        <x:v>LISTED</x:v>
      </x:c>
      <x:c r="O61" s="3" t="str">
        <x:v>LISTED</x:v>
      </x:c>
      <x:c r="P61" s="9" t="str"/>
      <x:c r="Q61" s="3" t="str">
        <x:v>./results/research/ipta-hold-review-20260909/closeout.json</x:v>
      </x:c>
      <x:c r="R61" s="3" t="str">
        <x:v>70d582d49f22c85954e7f764e963bd979512d0bd5380e343799ecbea1c687acd</x:v>
      </x:c>
      <x:c r="S61" s="3" t="str">
        <x:v>972d3ff0ef2adaad8cd5bd410e7432587b9f5db609108d47e4c45c5ca2fd1940</x:v>
      </x:c>
      <x:c r="T61" s="3" t="str">
        <x:v>76c56dda764f4455c848f1423ad67a64b1d3d8145e7d9de916b3ac143bd6dca3</x:v>
      </x:c>
    </x:row>
    <x:row r="62" ht="24" hidden="0" customHeight="1">
      <x:c r="A62" s="3" t="str">
        <x:v>J1747-4036</x:v>
      </x:c>
      <x:c r="B62" s="3" t="str"/>
      <x:c r="C62" s="3" t="str">
        <x:v>NO_TRIGGER</x:v>
      </x:c>
      <x:c r="D62" s="3" t="str">
        <x:v>ng15-batch01-20260908-J1747-4036-run01</x:v>
      </x:c>
      <x:c r="E62" s="3" t="str">
        <x:v>No qualifying signal in eligible 30–1483-day cells</x:v>
      </x:c>
      <x:c r="F62" s="3" t="str">
        <x:v>Retain result; consider independent data or a separately defined new scope</x:v>
      </x:c>
      <x:c r="G62" s="3" t="str">
        <x:v>SEARCHED</x:v>
      </x:c>
      <x:c r="H62" s="7" t="n">
        <x:v>222</x:v>
      </x:c>
      <x:c r="I62" s="7" t="n">
        <x:v>183</x:v>
      </x:c>
      <x:c r="J62" s="8" t="n">
        <x:v>2965.9441622055747</x:v>
      </x:c>
      <x:c r="K62" s="3" t="str">
        <x:v>ng15-batch01-20260908</x:v>
      </x:c>
      <x:c r="L62" s="3" t="str">
        <x:v>published_deterministic_chromatic_structure; published_scattering_process</x:v>
      </x:c>
      <x:c r="M62" s="3" t="str">
        <x:v>NOT LISTED</x:v>
      </x:c>
      <x:c r="N62" s="3" t="str">
        <x:v>LISTED</x:v>
      </x:c>
      <x:c r="O62" s="3" t="str">
        <x:v>NOT LISTED</x:v>
      </x:c>
      <x:c r="P62" s="9" t="str"/>
      <x:c r="Q62" s="3" t="str">
        <x:v>../Project Recherche Data/ng15-batch01-20260908/selection.json</x:v>
      </x:c>
      <x:c r="R62" s="3" t="str">
        <x:v>2d3003c851ffec9c4ede2ca61d339b1ce5bc3eee41a1dc7b460e10677b60f5bd</x:v>
      </x:c>
      <x:c r="S62" s="3" t="str">
        <x:v>7f3b07ab22d0df2db034837d3e8196330eb16f26c5a7929a04d517f595970923</x:v>
      </x:c>
      <x:c r="T62" s="3" t="str">
        <x:v>8d99d446171972b0093aee94b14833e69bde47ac86baec5c9b36bdd8f94c018c</x:v>
      </x:c>
    </x:row>
    <x:row r="63" ht="15" hidden="0" customHeight="1">
      <x:c r="A63" s="3" t="str">
        <x:v>J1751-2857</x:v>
      </x:c>
      <x:c r="B63" s="3" t="str"/>
      <x:c r="C63" s="3" t="str">
        <x:v>NOT_SEARCHED</x:v>
      </x:c>
      <x:c r="D63" s="3" t="str"/>
      <x:c r="E63" s="3" t="str">
        <x:v>Inventory only; no Recherche observed search recorded</x:v>
      </x:c>
      <x:c r="F63" s="3" t="str">
        <x:v>Different model or data scope needed before selection</x:v>
      </x:c>
      <x:c r="G63" s="3" t="str">
        <x:v>AVAILABLE; NOT SEARCHED</x:v>
      </x:c>
      <x:c r="H63" s="7" t="n">
        <x:v>2967</x:v>
      </x:c>
      <x:c r="I63" s="7" t="n">
        <x:v>95</x:v>
      </x:c>
      <x:c r="J63" s="8" t="n">
        <x:v>1558.6931606961007</x:v>
      </x:c>
      <x:c r="K63" s="3" t="str">
        <x:v>EXCLUDED FROM BATCH 01</x:v>
      </x:c>
      <x:c r="L63" s="3" t="str">
        <x:v>supplied_binary_model</x:v>
      </x:c>
      <x:c r="M63" s="3" t="str">
        <x:v>LISTED</x:v>
      </x:c>
      <x:c r="N63" s="3" t="str">
        <x:v>NOT LISTED</x:v>
      </x:c>
      <x:c r="O63" s="3" t="str">
        <x:v>LISTED</x:v>
      </x:c>
      <x:c r="P63" s="9" t="str"/>
      <x:c r="Q63" s="3" t="str">
        <x:v>../Project Recherche Data/mpta-batch01-20260908/selection.json</x:v>
      </x:c>
      <x:c r="R63" s="3" t="str">
        <x:v>c7019cba9baaf2fa7bc792a2c66ba62417be412436fa4e73f9c6af6e3e866ed6</x:v>
      </x:c>
      <x:c r="S63" s="3" t="str">
        <x:v>82f7044a37ed5343c37fdc304515bf0689fd5f92478064eaf6fc7d60ca2f957c</x:v>
      </x:c>
      <x:c r="T63" s="3" t="str">
        <x:v>cd1737e19456c5730bdd0f2523211a7a508467ae3acee30e00e2745c9c352313</x:v>
      </x:c>
    </x:row>
    <x:row r="64" ht="15" hidden="0" customHeight="1">
      <x:c r="A64" s="3" t="str">
        <x:v>J1757-5322</x:v>
      </x:c>
      <x:c r="B64" s="3" t="str"/>
      <x:c r="C64" s="3" t="str">
        <x:v>NOT_SEARCHED</x:v>
      </x:c>
      <x:c r="D64" s="3" t="str"/>
      <x:c r="E64" s="3" t="str">
        <x:v>Inventory only; no Recherche observed search recorded</x:v>
      </x:c>
      <x:c r="F64" s="3" t="str">
        <x:v>Different model or data scope needed before selection</x:v>
      </x:c>
      <x:c r="G64" s="3" t="str">
        <x:v>AVAILABLE; NOT SEARCHED</x:v>
      </x:c>
      <x:c r="H64" s="7" t="n">
        <x:v>3323</x:v>
      </x:c>
      <x:c r="I64" s="7" t="n">
        <x:v>105</x:v>
      </x:c>
      <x:c r="J64" s="8" t="n">
        <x:v>1531.08156679714</x:v>
      </x:c>
      <x:c r="K64" s="3" t="str">
        <x:v>EXCLUDED FROM BATCH 01</x:v>
      </x:c>
      <x:c r="L64" s="3" t="str">
        <x:v>supplied_binary_model; published_scattering_process</x:v>
      </x:c>
      <x:c r="M64" s="3" t="str">
        <x:v>NOT LISTED</x:v>
      </x:c>
      <x:c r="N64" s="3" t="str">
        <x:v>NOT LISTED</x:v>
      </x:c>
      <x:c r="O64" s="3" t="str">
        <x:v>NOT LISTED</x:v>
      </x:c>
      <x:c r="P64" s="9" t="str"/>
      <x:c r="Q64" s="3" t="str">
        <x:v>../Project Recherche Data/mpta-batch01-20260908/selection.json</x:v>
      </x:c>
      <x:c r="R64" s="3" t="str">
        <x:v>c7019cba9baaf2fa7bc792a2c66ba62417be412436fa4e73f9c6af6e3e866ed6</x:v>
      </x:c>
      <x:c r="S64" s="3" t="str">
        <x:v>959e0663eed67e0a884c8ab15d6dac6fe095a2fff92303a06e25de381897a2ff</x:v>
      </x:c>
      <x:c r="T64" s="3" t="str">
        <x:v>8018db93eab0688ed60a1d5633b97ce5748324c776a029fc244e83fb187fa380</x:v>
      </x:c>
    </x:row>
    <x:row r="65" ht="24" hidden="0" customHeight="1">
      <x:c r="A65" s="3" t="str">
        <x:v>J1801-1417</x:v>
      </x:c>
      <x:c r="B65" s="3" t="str"/>
      <x:c r="C65" s="3" t="str">
        <x:v>NO_TRIGGER</x:v>
      </x:c>
      <x:c r="D65" s="3" t="str">
        <x:v>ipta-batch02-20260909-J1801-1417-J1801-1417-run01</x:v>
      </x:c>
      <x:c r="E65" s="3" t="str">
        <x:v>No qualifying signal in eligible 30–1288-day cells</x:v>
      </x:c>
      <x:c r="F65" s="3" t="str">
        <x:v>Retain result; consider independent data or a separately defined new scope</x:v>
      </x:c>
      <x:c r="G65" s="3" t="str">
        <x:v>SEARCHED</x:v>
      </x:c>
      <x:c r="H65" s="7" t="n">
        <x:v>449</x:v>
      </x:c>
      <x:c r="I65" s="7" t="n">
        <x:v>203</x:v>
      </x:c>
      <x:c r="J65" s="8" t="n">
        <x:v>5008.363976955829</x:v>
      </x:c>
      <x:c r="K65" s="3" t="str">
        <x:v>pta-campaign01-20260908-epta</x:v>
      </x:c>
      <x:c r="L65" s="3" t="str"/>
      <x:c r="M65" s="3" t="str">
        <x:v>LISTED</x:v>
      </x:c>
      <x:c r="N65" s="3" t="str">
        <x:v>NOT LISTED</x:v>
      </x:c>
      <x:c r="O65" s="3" t="str">
        <x:v>LISTED</x:v>
      </x:c>
      <x:c r="P65" s="9" t="str"/>
      <x:c r="Q65" s="3" t="str">
        <x:v>../Project Recherche Data/pta-campaign01-20260908/epta/selection.json</x:v>
      </x:c>
      <x:c r="R65" s="3" t="str">
        <x:v>e98b491e2df714c34d8453c722c33a640e14b9934eab974095c9f3b5c3b6389f</x:v>
      </x:c>
      <x:c r="S65" s="3" t="str">
        <x:v>38903acea9f9013bafeb6c07b952589e919acb840b60edf26b04ba849adb3706</x:v>
      </x:c>
      <x:c r="T65" s="3" t="str">
        <x:v>e9bca6723415e38376ce02274c725e95f43f27f3bd8d4cec8723895848bb0c3b</x:v>
      </x:c>
    </x:row>
    <x:row r="66" ht="15" hidden="0" customHeight="1">
      <x:c r="A66" s="3" t="str">
        <x:v>J1802-2124</x:v>
      </x:c>
      <x:c r="B66" s="3" t="str"/>
      <x:c r="C66" s="3" t="str">
        <x:v>NOT_SEARCHED</x:v>
      </x:c>
      <x:c r="D66" s="3" t="str"/>
      <x:c r="E66" s="3" t="str">
        <x:v>Inventory only; no Recherche observed search recorded</x:v>
      </x:c>
      <x:c r="F66" s="3" t="str">
        <x:v>Different model or data scope needed before selection</x:v>
      </x:c>
      <x:c r="G66" s="3" t="str">
        <x:v>AVAILABLE; NOT SEARCHED</x:v>
      </x:c>
      <x:c r="H66" s="7" t="n">
        <x:v>3039</x:v>
      </x:c>
      <x:c r="I66" s="7" t="n">
        <x:v>95</x:v>
      </x:c>
      <x:c r="J66" s="8" t="n">
        <x:v>1604.7468809437196</x:v>
      </x:c>
      <x:c r="K66" s="3" t="str">
        <x:v>EXCLUDED FROM BATCH 01</x:v>
      </x:c>
      <x:c r="L66" s="3" t="str">
        <x:v>supplied_binary_model; published_scattering_process</x:v>
      </x:c>
      <x:c r="M66" s="3" t="str">
        <x:v>LISTED</x:v>
      </x:c>
      <x:c r="N66" s="3" t="str">
        <x:v>NOT LISTED</x:v>
      </x:c>
      <x:c r="O66" s="3" t="str">
        <x:v>NOT LISTED</x:v>
      </x:c>
      <x:c r="P66" s="9" t="str"/>
      <x:c r="Q66" s="3" t="str">
        <x:v>../Project Recherche Data/mpta-batch01-20260908/selection.json</x:v>
      </x:c>
      <x:c r="R66" s="3" t="str">
        <x:v>c7019cba9baaf2fa7bc792a2c66ba62417be412436fa4e73f9c6af6e3e866ed6</x:v>
      </x:c>
      <x:c r="S66" s="3" t="str">
        <x:v>a18506b068cad62e7fb66b81d00d537e505c1e7b353bea616e2bf12f8115fecc</x:v>
      </x:c>
      <x:c r="T66" s="3" t="str">
        <x:v>cfabc626602dea6e516b2a2d6bbacee10f9ef4a4ccef5969a7dfbb8552ac129b</x:v>
      </x:c>
    </x:row>
    <x:row r="67" ht="15" hidden="0" customHeight="1">
      <x:c r="A67" s="3" t="str">
        <x:v>J1804-2717</x:v>
      </x:c>
      <x:c r="B67" s="3" t="str"/>
      <x:c r="C67" s="3" t="str">
        <x:v>NOT_SEARCHED</x:v>
      </x:c>
      <x:c r="D67" s="3" t="str"/>
      <x:c r="E67" s="3" t="str">
        <x:v>Inventory only; no Recherche observed search recorded</x:v>
      </x:c>
      <x:c r="F67" s="3" t="str">
        <x:v>Different model or data scope needed before selection</x:v>
      </x:c>
      <x:c r="G67" s="3" t="str">
        <x:v>AVAILABLE; NOT SEARCHED</x:v>
      </x:c>
      <x:c r="H67" s="7" t="n">
        <x:v>1569</x:v>
      </x:c>
      <x:c r="I67" s="7" t="n">
        <x:v>59</x:v>
      </x:c>
      <x:c r="J67" s="8" t="n">
        <x:v>1145.9467066496</x:v>
      </x:c>
      <x:c r="K67" s="3" t="str">
        <x:v>EXCLUDED FROM BATCH 01</x:v>
      </x:c>
      <x:c r="L67" s="3" t="str">
        <x:v>supplied_binary_model; insufficient_usable_span_or_epochs</x:v>
      </x:c>
      <x:c r="M67" s="3" t="str">
        <x:v>LISTED</x:v>
      </x:c>
      <x:c r="N67" s="3" t="str">
        <x:v>NOT LISTED</x:v>
      </x:c>
      <x:c r="O67" s="3" t="str">
        <x:v>LISTED</x:v>
      </x:c>
      <x:c r="P67" s="9" t="str"/>
      <x:c r="Q67" s="3" t="str">
        <x:v>../Project Recherche Data/mpta-batch01-20260908/selection.json</x:v>
      </x:c>
      <x:c r="R67" s="3" t="str">
        <x:v>c7019cba9baaf2fa7bc792a2c66ba62417be412436fa4e73f9c6af6e3e866ed6</x:v>
      </x:c>
      <x:c r="S67" s="3" t="str">
        <x:v>134bb0292a680016bd3b1d6eeb29118a71eeb448917921ed93bda4232faddc61</x:v>
      </x:c>
      <x:c r="T67" s="3" t="str">
        <x:v>748a840edda6016d4e369f77b0a1b53cc9833ee57ef050c4df16131dc05fa177</x:v>
      </x:c>
    </x:row>
    <x:row r="68" ht="24" hidden="0" customHeight="1">
      <x:c r="A68" s="3" t="str">
        <x:v>J1804-2858</x:v>
      </x:c>
      <x:c r="B68" s="3" t="str"/>
      <x:c r="C68" s="3" t="str">
        <x:v>NO_TRIGGER</x:v>
      </x:c>
      <x:c r="D68" s="3" t="str">
        <x:v>chromatic-support-20260908-J1804-2858-run01</x:v>
      </x:c>
      <x:c r="E68" s="3" t="str">
        <x:v>No qualifying signal in eligible 30–400-day cells</x:v>
      </x:c>
      <x:c r="F68" s="3" t="str">
        <x:v>Retain result; consider independent data or a separately defined new scope</x:v>
      </x:c>
      <x:c r="G68" s="3" t="str">
        <x:v>SEARCHED</x:v>
      </x:c>
      <x:c r="H68" s="7" t="n">
        <x:v>2167</x:v>
      </x:c>
      <x:c r="I68" s="7" t="n">
        <x:v>68</x:v>
      </x:c>
      <x:c r="J68" s="8" t="n">
        <x:v>1447.0795662550881</x:v>
      </x:c>
      <x:c r="K68" s="3" t="str">
        <x:v>EXCLUDED FROM BATCH 01</x:v>
      </x:c>
      <x:c r="L68" s="3" t="str">
        <x:v>published_deterministic_chromatic_structure; published_scattering_process</x:v>
      </x:c>
      <x:c r="M68" s="3" t="str">
        <x:v>NOT LISTED</x:v>
      </x:c>
      <x:c r="N68" s="3" t="str">
        <x:v>NOT LISTED</x:v>
      </x:c>
      <x:c r="O68" s="3" t="str">
        <x:v>NOT LISTED</x:v>
      </x:c>
      <x:c r="P68" s="9" t="str"/>
      <x:c r="Q68" s="3" t="str">
        <x:v>../Project Recherche Data/mpta-batch01-20260908/selection.json</x:v>
      </x:c>
      <x:c r="R68" s="3" t="str">
        <x:v>c7019cba9baaf2fa7bc792a2c66ba62417be412436fa4e73f9c6af6e3e866ed6</x:v>
      </x:c>
      <x:c r="S68" s="3" t="str">
        <x:v>3cb832c10f4b5d77a547461287d16595c4abeb0d6319f5336993d7ff9820aea9</x:v>
      </x:c>
      <x:c r="T68" s="3" t="str">
        <x:v>5840250c79138a51054baee7b8af1a9a412903fc07630e63b23070091cf3a3c2</x:v>
      </x:c>
    </x:row>
    <x:row r="69" ht="15" hidden="0" customHeight="1">
      <x:c r="A69" s="3" t="str">
        <x:v>J1811-2405</x:v>
      </x:c>
      <x:c r="B69" s="3" t="str"/>
      <x:c r="C69" s="3" t="str">
        <x:v>NOT_SEARCHED</x:v>
      </x:c>
      <x:c r="D69" s="3" t="str"/>
      <x:c r="E69" s="3" t="str">
        <x:v>Inventory only; no Recherche observed search recorded</x:v>
      </x:c>
      <x:c r="F69" s="3" t="str">
        <x:v>Different model or data scope needed before selection</x:v>
      </x:c>
      <x:c r="G69" s="3" t="str">
        <x:v>AVAILABLE; NOT SEARCHED</x:v>
      </x:c>
      <x:c r="H69" s="7" t="n">
        <x:v>6290</x:v>
      </x:c>
      <x:c r="I69" s="7" t="n">
        <x:v>197</x:v>
      </x:c>
      <x:c r="J69" s="8" t="n">
        <x:v>1578.7781380462548</x:v>
      </x:c>
      <x:c r="K69" s="3" t="str">
        <x:v>EXCLUDED FROM BATCH 01</x:v>
      </x:c>
      <x:c r="L69" s="3" t="str">
        <x:v>supplied_binary_model</x:v>
      </x:c>
      <x:c r="M69" s="3" t="str">
        <x:v>LISTED</x:v>
      </x:c>
      <x:c r="N69" s="3" t="str">
        <x:v>NOT LISTED</x:v>
      </x:c>
      <x:c r="O69" s="3" t="str">
        <x:v>NOT LISTED</x:v>
      </x:c>
      <x:c r="P69" s="9" t="str"/>
      <x:c r="Q69" s="3" t="str">
        <x:v>../Project Recherche Data/mpta-batch01-20260908/selection.json</x:v>
      </x:c>
      <x:c r="R69" s="3" t="str">
        <x:v>c7019cba9baaf2fa7bc792a2c66ba62417be412436fa4e73f9c6af6e3e866ed6</x:v>
      </x:c>
      <x:c r="S69" s="3" t="str">
        <x:v>04467e3a11f9ca815cafdcc17770b28866315dfbf689e906de4e21ff9e8f4a6f</x:v>
      </x:c>
      <x:c r="T69" s="3" t="str">
        <x:v>57620bfec026f388044553de6d51e5b0e2d4035b21b454937387b5759b57fc6f</x:v>
      </x:c>
    </x:row>
    <x:row r="70" ht="15" hidden="0" customHeight="1">
      <x:c r="A70" s="3" t="str">
        <x:v>J1825-0319</x:v>
      </x:c>
      <x:c r="B70" s="3" t="str"/>
      <x:c r="C70" s="3" t="str">
        <x:v>NOT_SEARCHED</x:v>
      </x:c>
      <x:c r="D70" s="3" t="str"/>
      <x:c r="E70" s="3" t="str">
        <x:v>Inventory only; no Recherche observed search recorded</x:v>
      </x:c>
      <x:c r="F70" s="3" t="str">
        <x:v>Different model or data scope needed before selection</x:v>
      </x:c>
      <x:c r="G70" s="3" t="str">
        <x:v>AVAILABLE; NOT SEARCHED</x:v>
      </x:c>
      <x:c r="H70" s="7" t="n">
        <x:v>3044</x:v>
      </x:c>
      <x:c r="I70" s="7" t="n">
        <x:v>96</x:v>
      </x:c>
      <x:c r="J70" s="8" t="n">
        <x:v>1476.1105503726722</x:v>
      </x:c>
      <x:c r="K70" s="3" t="str">
        <x:v>EXCLUDED FROM BATCH 01</x:v>
      </x:c>
      <x:c r="L70" s="3" t="str">
        <x:v>supplied_binary_model; published_scattering_process</x:v>
      </x:c>
      <x:c r="M70" s="3" t="str">
        <x:v>LISTED</x:v>
      </x:c>
      <x:c r="N70" s="3" t="str">
        <x:v>NOT LISTED</x:v>
      </x:c>
      <x:c r="O70" s="3" t="str">
        <x:v>NOT LISTED</x:v>
      </x:c>
      <x:c r="P70" s="9" t="str"/>
      <x:c r="Q70" s="3" t="str">
        <x:v>../Project Recherche Data/mpta-batch01-20260908/selection.json</x:v>
      </x:c>
      <x:c r="R70" s="3" t="str">
        <x:v>c7019cba9baaf2fa7bc792a2c66ba62417be412436fa4e73f9c6af6e3e866ed6</x:v>
      </x:c>
      <x:c r="S70" s="3" t="str">
        <x:v>32f999121e96397ab201fa27552c6ef52d49eddf93a8d70701a5c39d2e8033a0</x:v>
      </x:c>
      <x:c r="T70" s="3" t="str">
        <x:v>cbe7a3a88c5afe7db47b3546e7034b65959dcde0b27c6b5acb53279bbaa077c2</x:v>
      </x:c>
    </x:row>
    <x:row r="71" ht="24" hidden="0" customHeight="1">
      <x:c r="A71" s="3" t="str">
        <x:v>J1832-0836</x:v>
      </x:c>
      <x:c r="B71" s="3" t="str"/>
      <x:c r="C71" s="3" t="str">
        <x:v>NO_TRIGGER</x:v>
      </x:c>
      <x:c r="D71" s="3" t="str">
        <x:v>pta-campaign01-20260908-ppta-J1832-0836-run01</x:v>
      </x:c>
      <x:c r="E71" s="3" t="str">
        <x:v>No qualifying signal in eligible 30–1673-day cells</x:v>
      </x:c>
      <x:c r="F71" s="3" t="str">
        <x:v>Retain result; consider independent data or a separately defined new scope</x:v>
      </x:c>
      <x:c r="G71" s="3" t="str">
        <x:v>SEARCHED</x:v>
      </x:c>
      <x:c r="H71" s="7" t="n">
        <x:v>385</x:v>
      </x:c>
      <x:c r="I71" s="7" t="n">
        <x:v>85</x:v>
      </x:c>
      <x:c r="J71" s="8" t="n">
        <x:v>3346.798741935825</x:v>
      </x:c>
      <x:c r="K71" s="3" t="str">
        <x:v>pta-campaign01-20260908-ppta</x:v>
      </x:c>
      <x:c r="L71" s="3" t="str">
        <x:v>published_deterministic_chromatic_structure</x:v>
      </x:c>
      <x:c r="M71" s="3" t="str">
        <x:v>LISTED</x:v>
      </x:c>
      <x:c r="N71" s="3" t="str">
        <x:v>LISTED</x:v>
      </x:c>
      <x:c r="O71" s="3" t="str">
        <x:v>NOT LISTED</x:v>
      </x:c>
      <x:c r="P71" s="9" t="str"/>
      <x:c r="Q71" s="3" t="str">
        <x:v>../Project Recherche Data/pta-campaign01-20260908/ppta/selection.json</x:v>
      </x:c>
      <x:c r="R71" s="3" t="str">
        <x:v>c512b93316e25fa1a7560552780d8fb8326394ef1311c0156c41e21e142c13d2</x:v>
      </x:c>
      <x:c r="S71" s="3" t="str">
        <x:v>c09ac7e33f68bc92455bf037b00cf09f1e99442d43dcee933e571af7e41dba87</x:v>
      </x:c>
      <x:c r="T71" s="3" t="str">
        <x:v>d72f378f57ebf25e00183acebb5719fc3f10fe8930a6cc0c0a345b5a67eb0c88</x:v>
      </x:c>
    </x:row>
    <x:row r="72" ht="24" hidden="0" customHeight="1">
      <x:c r="A72" s="3" t="str">
        <x:v>J1902-5105</x:v>
      </x:c>
      <x:c r="B72" s="3" t="str"/>
      <x:c r="C72" s="3" t="str">
        <x:v>NOT_SEARCHED</x:v>
      </x:c>
      <x:c r="D72" s="3" t="str"/>
      <x:c r="E72" s="3" t="str">
        <x:v>Inventory only; no Recherche observed search recorded</x:v>
      </x:c>
      <x:c r="F72" s="3" t="str">
        <x:v>Different model or data scope needed before selection</x:v>
      </x:c>
      <x:c r="G72" s="3" t="str">
        <x:v>AVAILABLE; NOT SEARCHED</x:v>
      </x:c>
      <x:c r="H72" s="7" t="n">
        <x:v>3438</x:v>
      </x:c>
      <x:c r="I72" s="7" t="n">
        <x:v>108</x:v>
      </x:c>
      <x:c r="J72" s="8" t="n">
        <x:v>1559.0840476405137</x:v>
      </x:c>
      <x:c r="K72" s="3" t="str">
        <x:v>EXCLUDED FROM BATCH 01</x:v>
      </x:c>
      <x:c r="L72" s="3" t="str">
        <x:v>supplied_binary_model; published_deterministic_chromatic_structure; published_scattering_process</x:v>
      </x:c>
      <x:c r="M72" s="3" t="str">
        <x:v>NOT LISTED</x:v>
      </x:c>
      <x:c r="N72" s="3" t="str">
        <x:v>NOT LISTED</x:v>
      </x:c>
      <x:c r="O72" s="3" t="str">
        <x:v>NOT LISTED</x:v>
      </x:c>
      <x:c r="P72" s="9" t="str"/>
      <x:c r="Q72" s="3" t="str">
        <x:v>../Project Recherche Data/mpta-batch01-20260908/selection.json</x:v>
      </x:c>
      <x:c r="R72" s="3" t="str">
        <x:v>c7019cba9baaf2fa7bc792a2c66ba62417be412436fa4e73f9c6af6e3e866ed6</x:v>
      </x:c>
      <x:c r="S72" s="3" t="str">
        <x:v>43b40a77769df7c6edc9ec6dcaeb03d5929f79a6affeecfae70f1d1620e67109</x:v>
      </x:c>
      <x:c r="T72" s="3" t="str">
        <x:v>2443c3faab99c7b7ae7dad8b9eadb179c0453455f365c55f65474dd075c86caf</x:v>
      </x:c>
    </x:row>
    <x:row r="73" ht="15" hidden="0" customHeight="1">
      <x:c r="A73" s="3" t="str">
        <x:v>J1903-7051</x:v>
      </x:c>
      <x:c r="B73" s="3" t="str"/>
      <x:c r="C73" s="3" t="str">
        <x:v>NOT_SEARCHED</x:v>
      </x:c>
      <x:c r="D73" s="3" t="str"/>
      <x:c r="E73" s="3" t="str">
        <x:v>Inventory only; no Recherche observed search recorded</x:v>
      </x:c>
      <x:c r="F73" s="3" t="str">
        <x:v>Different model or data scope needed before selection</x:v>
      </x:c>
      <x:c r="G73" s="3" t="str">
        <x:v>AVAILABLE; NOT SEARCHED</x:v>
      </x:c>
      <x:c r="H73" s="7" t="n">
        <x:v>2913</x:v>
      </x:c>
      <x:c r="I73" s="7" t="n">
        <x:v>109</x:v>
      </x:c>
      <x:c r="J73" s="8" t="n">
        <x:v>1591.7117777219974</x:v>
      </x:c>
      <x:c r="K73" s="3" t="str">
        <x:v>EXCLUDED FROM BATCH 01</x:v>
      </x:c>
      <x:c r="L73" s="3" t="str">
        <x:v>supplied_binary_model</x:v>
      </x:c>
      <x:c r="M73" s="3" t="str">
        <x:v>NOT LISTED</x:v>
      </x:c>
      <x:c r="N73" s="3" t="str">
        <x:v>NOT LISTED</x:v>
      </x:c>
      <x:c r="O73" s="3" t="str">
        <x:v>NOT LISTED</x:v>
      </x:c>
      <x:c r="P73" s="9" t="str"/>
      <x:c r="Q73" s="3" t="str">
        <x:v>../Project Recherche Data/mpta-batch01-20260908/selection.json</x:v>
      </x:c>
      <x:c r="R73" s="3" t="str">
        <x:v>c7019cba9baaf2fa7bc792a2c66ba62417be412436fa4e73f9c6af6e3e866ed6</x:v>
      </x:c>
      <x:c r="S73" s="3" t="str">
        <x:v>631ac66df203fdf7487cc12d40c9046395a07f5f2aa72db52620bb536eb314cd</x:v>
      </x:c>
      <x:c r="T73" s="3" t="str">
        <x:v>b9d82a83cd4e1dbad81182748dd12d7fccfa9b21b4a6ac5e1bfa64b7b06cb848</x:v>
      </x:c>
    </x:row>
    <x:row r="74" ht="15" hidden="0" customHeight="1">
      <x:c r="A74" s="3" t="str">
        <x:v>J1909-3744</x:v>
      </x:c>
      <x:c r="B74" s="3" t="str"/>
      <x:c r="C74" s="3" t="str">
        <x:v>NOT_SEARCHED</x:v>
      </x:c>
      <x:c r="D74" s="3" t="str"/>
      <x:c r="E74" s="3" t="str">
        <x:v>Inventory only; no Recherche observed search recorded</x:v>
      </x:c>
      <x:c r="F74" s="3" t="str">
        <x:v>Different model or data scope needed before selection</x:v>
      </x:c>
      <x:c r="G74" s="3" t="str">
        <x:v>AVAILABLE; NOT SEARCHED</x:v>
      </x:c>
      <x:c r="H74" s="7" t="n">
        <x:v>7199</x:v>
      </x:c>
      <x:c r="I74" s="7" t="n">
        <x:v>232</x:v>
      </x:c>
      <x:c r="J74" s="8" t="n">
        <x:v>1628.7350829809584</x:v>
      </x:c>
      <x:c r="K74" s="3" t="str">
        <x:v>EXCLUDED FROM BATCH 01</x:v>
      </x:c>
      <x:c r="L74" s="3" t="str">
        <x:v>supplied_binary_model</x:v>
      </x:c>
      <x:c r="M74" s="3" t="str">
        <x:v>NOT LISTED</x:v>
      </x:c>
      <x:c r="N74" s="3" t="str">
        <x:v>LISTED</x:v>
      </x:c>
      <x:c r="O74" s="3" t="str">
        <x:v>LISTED</x:v>
      </x:c>
      <x:c r="P74" s="9" t="str"/>
      <x:c r="Q74" s="3" t="str">
        <x:v>../Project Recherche Data/mpta-batch01-20260908/selection.json</x:v>
      </x:c>
      <x:c r="R74" s="3" t="str">
        <x:v>c7019cba9baaf2fa7bc792a2c66ba62417be412436fa4e73f9c6af6e3e866ed6</x:v>
      </x:c>
      <x:c r="S74" s="3" t="str">
        <x:v>28bc520429489392035c7e3ba019fb7356a93221341d60b0c187b4bb3cbd632e</x:v>
      </x:c>
      <x:c r="T74" s="3" t="str">
        <x:v>2c713408aea01c09b3eca173e8466224e9676483cc765dcc703678cab40138c6</x:v>
      </x:c>
    </x:row>
    <x:row r="75" ht="24" hidden="0" customHeight="1">
      <x:c r="A75" s="3" t="str">
        <x:v>J1911-1114</x:v>
      </x:c>
      <x:c r="B75" s="3" t="str"/>
      <x:c r="C75" s="3" t="str">
        <x:v>NOT_SEARCHED</x:v>
      </x:c>
      <x:c r="D75" s="3" t="str"/>
      <x:c r="E75" s="3" t="str">
        <x:v>Inventory only; no Recherche observed search recorded</x:v>
      </x:c>
      <x:c r="F75" s="3" t="str">
        <x:v>Different model or data scope needed before selection</x:v>
      </x:c>
      <x:c r="G75" s="3" t="str">
        <x:v>AVAILABLE; NOT SEARCHED</x:v>
      </x:c>
      <x:c r="H75" s="7" t="n">
        <x:v>1804</x:v>
      </x:c>
      <x:c r="I75" s="7" t="n">
        <x:v>61</x:v>
      </x:c>
      <x:c r="J75" s="8" t="n">
        <x:v>1107.0641586259808</x:v>
      </x:c>
      <x:c r="K75" s="3" t="str">
        <x:v>EXCLUDED FROM BATCH 01</x:v>
      </x:c>
      <x:c r="L75" s="3" t="str">
        <x:v>supplied_binary_model; published_scattering_process; insufficient_usable_span_or_epochs</x:v>
      </x:c>
      <x:c r="M75" s="3" t="str">
        <x:v>LISTED</x:v>
      </x:c>
      <x:c r="N75" s="3" t="str">
        <x:v>NOT LISTED</x:v>
      </x:c>
      <x:c r="O75" s="3" t="str">
        <x:v>NOT LISTED</x:v>
      </x:c>
      <x:c r="P75" s="9" t="str"/>
      <x:c r="Q75" s="3" t="str">
        <x:v>../Project Recherche Data/mpta-batch01-20260908/selection.json</x:v>
      </x:c>
      <x:c r="R75" s="3" t="str">
        <x:v>c7019cba9baaf2fa7bc792a2c66ba62417be412436fa4e73f9c6af6e3e866ed6</x:v>
      </x:c>
      <x:c r="S75" s="3" t="str">
        <x:v>00529471032e3ffd64054c57f1dce02fe905c88e5e2a29aeaaebd627e8176d45</x:v>
      </x:c>
      <x:c r="T75" s="3" t="str">
        <x:v>30314f7d9739c2d27fbd5eaf0bcd929f12de42de78724db07844d2ccf18f4f40</x:v>
      </x:c>
    </x:row>
    <x:row r="76" ht="15" hidden="0" customHeight="1">
      <x:c r="A76" s="3" t="str">
        <x:v>J1918-0642</x:v>
      </x:c>
      <x:c r="B76" s="3" t="str"/>
      <x:c r="C76" s="3" t="str">
        <x:v>NOT_SEARCHED</x:v>
      </x:c>
      <x:c r="D76" s="3" t="str"/>
      <x:c r="E76" s="3" t="str">
        <x:v>Inventory only; no Recherche observed search recorded</x:v>
      </x:c>
      <x:c r="F76" s="3" t="str">
        <x:v>Different model or data scope needed before selection</x:v>
      </x:c>
      <x:c r="G76" s="3" t="str">
        <x:v>AVAILABLE; NOT SEARCHED</x:v>
      </x:c>
      <x:c r="H76" s="7" t="n">
        <x:v>3123</x:v>
      </x:c>
      <x:c r="I76" s="7" t="n">
        <x:v>99</x:v>
      </x:c>
      <x:c r="J76" s="8" t="n">
        <x:v>1476.1760244825346</x:v>
      </x:c>
      <x:c r="K76" s="3" t="str">
        <x:v>EXCLUDED FROM BATCH 01</x:v>
      </x:c>
      <x:c r="L76" s="3" t="str">
        <x:v>supplied_binary_model; published_deterministic_chromatic_structure</x:v>
      </x:c>
      <x:c r="M76" s="3" t="str">
        <x:v>LISTED</x:v>
      </x:c>
      <x:c r="N76" s="3" t="str">
        <x:v>LISTED</x:v>
      </x:c>
      <x:c r="O76" s="3" t="str">
        <x:v>LISTED</x:v>
      </x:c>
      <x:c r="P76" s="9" t="str"/>
      <x:c r="Q76" s="3" t="str">
        <x:v>../Project Recherche Data/mpta-batch01-20260908/selection.json</x:v>
      </x:c>
      <x:c r="R76" s="3" t="str">
        <x:v>c7019cba9baaf2fa7bc792a2c66ba62417be412436fa4e73f9c6af6e3e866ed6</x:v>
      </x:c>
      <x:c r="S76" s="3" t="str">
        <x:v>e2b829b47dda6604da103cb3c3cefb8e2aa473e87cda28e7072110ef649e72a3</x:v>
      </x:c>
      <x:c r="T76" s="3" t="str">
        <x:v>d6276ac3ef64703f1b28a297cc671ead3a100f5c4526aaa5f500064e3c184027</x:v>
      </x:c>
    </x:row>
    <x:row r="77" ht="15" hidden="0" customHeight="1">
      <x:c r="A77" s="3" t="str">
        <x:v>J1933-6211</x:v>
      </x:c>
      <x:c r="B77" s="3" t="str"/>
      <x:c r="C77" s="3" t="str">
        <x:v>NOT_SEARCHED</x:v>
      </x:c>
      <x:c r="D77" s="3" t="str"/>
      <x:c r="E77" s="3" t="str">
        <x:v>Inventory only; no Recherche observed search recorded</x:v>
      </x:c>
      <x:c r="F77" s="3" t="str">
        <x:v>Different model or data scope needed before selection</x:v>
      </x:c>
      <x:c r="G77" s="3" t="str">
        <x:v>AVAILABLE; NOT SEARCHED</x:v>
      </x:c>
      <x:c r="H77" s="7" t="n">
        <x:v>2937</x:v>
      </x:c>
      <x:c r="I77" s="7" t="n">
        <x:v>127</x:v>
      </x:c>
      <x:c r="J77" s="8" t="n">
        <x:v>1598.809266803626</x:v>
      </x:c>
      <x:c r="K77" s="3" t="str">
        <x:v>EXCLUDED FROM BATCH 01</x:v>
      </x:c>
      <x:c r="L77" s="3" t="str">
        <x:v>supplied_binary_model</x:v>
      </x:c>
      <x:c r="M77" s="3" t="str">
        <x:v>NOT LISTED</x:v>
      </x:c>
      <x:c r="N77" s="3" t="str">
        <x:v>NOT LISTED</x:v>
      </x:c>
      <x:c r="O77" s="3" t="str">
        <x:v>NOT LISTED</x:v>
      </x:c>
      <x:c r="P77" s="9" t="str"/>
      <x:c r="Q77" s="3" t="str">
        <x:v>../Project Recherche Data/mpta-batch01-20260908/selection.json</x:v>
      </x:c>
      <x:c r="R77" s="3" t="str">
        <x:v>c7019cba9baaf2fa7bc792a2c66ba62417be412436fa4e73f9c6af6e3e866ed6</x:v>
      </x:c>
      <x:c r="S77" s="3" t="str">
        <x:v>e5ae472b971c8b742ac86fe5b6677365abb2c9d38ec931b7922995cf66c0d108</x:v>
      </x:c>
      <x:c r="T77" s="3" t="str">
        <x:v>2e4b9d3aa3b3bde09d8b28d12fa76a2c66c47bc64ac909cb9ab7139629e1d7fd</x:v>
      </x:c>
    </x:row>
    <x:row r="78" ht="15" hidden="0" customHeight="1">
      <x:c r="A78" s="3" t="str">
        <x:v>J1946-5403</x:v>
      </x:c>
      <x:c r="B78" s="3" t="str"/>
      <x:c r="C78" s="3" t="str">
        <x:v>NOT_SEARCHED</x:v>
      </x:c>
      <x:c r="D78" s="3" t="str"/>
      <x:c r="E78" s="3" t="str">
        <x:v>Inventory only; no Recherche observed search recorded</x:v>
      </x:c>
      <x:c r="F78" s="3" t="str">
        <x:v>Different model or data scope needed before selection</x:v>
      </x:c>
      <x:c r="G78" s="3" t="str">
        <x:v>AVAILABLE; NOT SEARCHED</x:v>
      </x:c>
      <x:c r="H78" s="7" t="n">
        <x:v>1815</x:v>
      </x:c>
      <x:c r="I78" s="7" t="n">
        <x:v>91</x:v>
      </x:c>
      <x:c r="J78" s="8" t="n">
        <x:v>1476.2301479309026</x:v>
      </x:c>
      <x:c r="K78" s="3" t="str">
        <x:v>EXCLUDED FROM BATCH 01</x:v>
      </x:c>
      <x:c r="L78" s="3" t="str">
        <x:v>supplied_binary_model</x:v>
      </x:c>
      <x:c r="M78" s="3" t="str">
        <x:v>NOT LISTED</x:v>
      </x:c>
      <x:c r="N78" s="3" t="str">
        <x:v>NOT LISTED</x:v>
      </x:c>
      <x:c r="O78" s="3" t="str">
        <x:v>NOT LISTED</x:v>
      </x:c>
      <x:c r="P78" s="9" t="str"/>
      <x:c r="Q78" s="3" t="str">
        <x:v>../Project Recherche Data/mpta-batch01-20260908/selection.json</x:v>
      </x:c>
      <x:c r="R78" s="3" t="str">
        <x:v>c7019cba9baaf2fa7bc792a2c66ba62417be412436fa4e73f9c6af6e3e866ed6</x:v>
      </x:c>
      <x:c r="S78" s="3" t="str">
        <x:v>68c666a49b7d8a288b5785db4ba256f540a0209dd7f4839e6daf7d96cb210e46</x:v>
      </x:c>
      <x:c r="T78" s="3" t="str">
        <x:v>4ae3a8d68cb9b1a047863e3c2f190dcc3a4e96fa3d942fb3c26701ed8d1f7684</x:v>
      </x:c>
    </x:row>
    <x:row r="79" ht="15" hidden="0" customHeight="1">
      <x:c r="A79" s="3" t="str">
        <x:v>J2039-3616</x:v>
      </x:c>
      <x:c r="B79" s="3" t="str"/>
      <x:c r="C79" s="3" t="str">
        <x:v>NOT_SEARCHED</x:v>
      </x:c>
      <x:c r="D79" s="3" t="str"/>
      <x:c r="E79" s="3" t="str">
        <x:v>Inventory only; no Recherche observed search recorded</x:v>
      </x:c>
      <x:c r="F79" s="3" t="str">
        <x:v>Different model or data scope needed before selection</x:v>
      </x:c>
      <x:c r="G79" s="3" t="str">
        <x:v>AVAILABLE; NOT SEARCHED</x:v>
      </x:c>
      <x:c r="H79" s="7" t="n">
        <x:v>1917</x:v>
      </x:c>
      <x:c r="I79" s="7" t="n">
        <x:v>96</x:v>
      </x:c>
      <x:c r="J79" s="8" t="n">
        <x:v>1476.2063882882067</x:v>
      </x:c>
      <x:c r="K79" s="3" t="str">
        <x:v>EXCLUDED FROM BATCH 01</x:v>
      </x:c>
      <x:c r="L79" s="3" t="str">
        <x:v>supplied_binary_model</x:v>
      </x:c>
      <x:c r="M79" s="3" t="str">
        <x:v>NOT LISTED</x:v>
      </x:c>
      <x:c r="N79" s="3" t="str">
        <x:v>NOT LISTED</x:v>
      </x:c>
      <x:c r="O79" s="3" t="str">
        <x:v>NOT LISTED</x:v>
      </x:c>
      <x:c r="P79" s="9" t="str"/>
      <x:c r="Q79" s="3" t="str">
        <x:v>../Project Recherche Data/mpta-batch01-20260908/selection.json</x:v>
      </x:c>
      <x:c r="R79" s="3" t="str">
        <x:v>c7019cba9baaf2fa7bc792a2c66ba62417be412436fa4e73f9c6af6e3e866ed6</x:v>
      </x:c>
      <x:c r="S79" s="3" t="str">
        <x:v>abc8b5998fd3779181f7e3669042effbc5e798fd361d9c5e75f810e731a6f807</x:v>
      </x:c>
      <x:c r="T79" s="3" t="str">
        <x:v>d32a7b76bdccaf9e333e23d1da482860f4709a895f45f93b81df291aff2dcda1</x:v>
      </x:c>
    </x:row>
    <x:row r="80" ht="24" hidden="0" customHeight="1">
      <x:c r="A80" s="3" t="str">
        <x:v>J2129-5721</x:v>
      </x:c>
      <x:c r="B80" s="3" t="str"/>
      <x:c r="C80" s="3" t="str">
        <x:v>NOT_SEARCHED</x:v>
      </x:c>
      <x:c r="D80" s="3" t="str"/>
      <x:c r="E80" s="3" t="str">
        <x:v>Inventory only; no Recherche observed search recorded</x:v>
      </x:c>
      <x:c r="F80" s="3" t="str">
        <x:v>Different model or data scope needed before selection</x:v>
      </x:c>
      <x:c r="G80" s="3" t="str">
        <x:v>AVAILABLE; NOT SEARCHED</x:v>
      </x:c>
      <x:c r="H80" s="7" t="n">
        <x:v>3039</x:v>
      </x:c>
      <x:c r="I80" s="7" t="n">
        <x:v>112</x:v>
      </x:c>
      <x:c r="J80" s="8" t="n">
        <x:v>1572.9185931083412</x:v>
      </x:c>
      <x:c r="K80" s="3" t="str">
        <x:v>EXCLUDED FROM BATCH 01</x:v>
      </x:c>
      <x:c r="L80" s="3" t="str">
        <x:v>supplied_binary_model; published_deterministic_chromatic_structure; published_scattering_process</x:v>
      </x:c>
      <x:c r="M80" s="3" t="str">
        <x:v>NOT LISTED</x:v>
      </x:c>
      <x:c r="N80" s="3" t="str">
        <x:v>NOT LISTED</x:v>
      </x:c>
      <x:c r="O80" s="3" t="str">
        <x:v>NOT LISTED</x:v>
      </x:c>
      <x:c r="P80" s="9" t="str"/>
      <x:c r="Q80" s="3" t="str">
        <x:v>../Project Recherche Data/mpta-batch01-20260908/selection.json</x:v>
      </x:c>
      <x:c r="R80" s="3" t="str">
        <x:v>c7019cba9baaf2fa7bc792a2c66ba62417be412436fa4e73f9c6af6e3e866ed6</x:v>
      </x:c>
      <x:c r="S80" s="3" t="str">
        <x:v>10b07a288ed02fbf71c3b16eafce55e98e677012d8c83471bdedf113eedb4c5f</x:v>
      </x:c>
      <x:c r="T80" s="3" t="str">
        <x:v>90962b0cfbc5172d0b70fef1535de7261769e37f4e2542dfa3f08ed82bbdc9f6</x:v>
      </x:c>
    </x:row>
    <x:row r="81" ht="15" hidden="0" customHeight="1">
      <x:c r="A81" s="3" t="str">
        <x:v>J2145-0750</x:v>
      </x:c>
      <x:c r="B81" s="3" t="str"/>
      <x:c r="C81" s="3" t="str">
        <x:v>NOT_SEARCHED</x:v>
      </x:c>
      <x:c r="D81" s="3" t="str"/>
      <x:c r="E81" s="3" t="str">
        <x:v>Inventory only; no Recherche observed search recorded</x:v>
      </x:c>
      <x:c r="F81" s="3" t="str">
        <x:v>Different model or data scope needed before selection</x:v>
      </x:c>
      <x:c r="G81" s="3" t="str">
        <x:v>AVAILABLE; NOT SEARCHED</x:v>
      </x:c>
      <x:c r="H81" s="7" t="n">
        <x:v>2966</x:v>
      </x:c>
      <x:c r="I81" s="7" t="n">
        <x:v>96</x:v>
      </x:c>
      <x:c r="J81" s="8" t="n">
        <x:v>1553.6929940038317</x:v>
      </x:c>
      <x:c r="K81" s="3" t="str">
        <x:v>EXCLUDED FROM BATCH 01</x:v>
      </x:c>
      <x:c r="L81" s="3" t="str">
        <x:v>supplied_binary_model</x:v>
      </x:c>
      <x:c r="M81" s="3" t="str">
        <x:v>LISTED</x:v>
      </x:c>
      <x:c r="N81" s="3" t="str">
        <x:v>LISTED</x:v>
      </x:c>
      <x:c r="O81" s="3" t="str">
        <x:v>NOT LISTED</x:v>
      </x:c>
      <x:c r="P81" s="9" t="str"/>
      <x:c r="Q81" s="3" t="str">
        <x:v>../Project Recherche Data/mpta-batch01-20260908/selection.json</x:v>
      </x:c>
      <x:c r="R81" s="3" t="str">
        <x:v>c7019cba9baaf2fa7bc792a2c66ba62417be412436fa4e73f9c6af6e3e866ed6</x:v>
      </x:c>
      <x:c r="S81" s="3" t="str">
        <x:v>e77912eb7aebd2b584dce10e6cefaae57fcafe31ab66483ab60b1619de57bd43</x:v>
      </x:c>
      <x:c r="T81" s="3" t="str">
        <x:v>fac36e1d37e71efbb5cc708a6ef3dec86a2584ab42005a3c2e1a3a871ab9feaf</x:v>
      </x:c>
    </x:row>
    <x:row r="82" ht="24" hidden="0" customHeight="1">
      <x:c r="A82" s="3" t="str">
        <x:v>J2150-0326</x:v>
      </x:c>
      <x:c r="B82" s="3" t="str"/>
      <x:c r="C82" s="3" t="str">
        <x:v>NOT_SEARCHED</x:v>
      </x:c>
      <x:c r="D82" s="3" t="str"/>
      <x:c r="E82" s="3" t="str">
        <x:v>Inventory only; no Recherche observed search recorded</x:v>
      </x:c>
      <x:c r="F82" s="3" t="str">
        <x:v>Different model or data scope needed before selection</x:v>
      </x:c>
      <x:c r="G82" s="3" t="str">
        <x:v>AVAILABLE; NOT SEARCHED</x:v>
      </x:c>
      <x:c r="H82" s="7" t="n">
        <x:v>2091</x:v>
      </x:c>
      <x:c r="I82" s="7" t="n">
        <x:v>93</x:v>
      </x:c>
      <x:c r="J82" s="8" t="n">
        <x:v>1465.0650903361093</x:v>
      </x:c>
      <x:c r="K82" s="3" t="str">
        <x:v>EXCLUDED FROM BATCH 01</x:v>
      </x:c>
      <x:c r="L82" s="3" t="str">
        <x:v>supplied_binary_model; published_deterministic_chromatic_structure; published_scattering_process</x:v>
      </x:c>
      <x:c r="M82" s="3" t="str">
        <x:v>NOT LISTED</x:v>
      </x:c>
      <x:c r="N82" s="3" t="str">
        <x:v>NOT LISTED</x:v>
      </x:c>
      <x:c r="O82" s="3" t="str">
        <x:v>NOT LISTED</x:v>
      </x:c>
      <x:c r="P82" s="9" t="str"/>
      <x:c r="Q82" s="3" t="str">
        <x:v>../Project Recherche Data/mpta-batch01-20260908/selection.json</x:v>
      </x:c>
      <x:c r="R82" s="3" t="str">
        <x:v>c7019cba9baaf2fa7bc792a2c66ba62417be412436fa4e73f9c6af6e3e866ed6</x:v>
      </x:c>
      <x:c r="S82" s="3" t="str">
        <x:v>aafb30cac976a5ce84f6f9bea0a20220080970d85487175fe3422ab7ca8be1f8</x:v>
      </x:c>
      <x:c r="T82" s="3" t="str">
        <x:v>69d9425608e4c0672b61e4c54166889dad0f5c7154dd1d33824f71bc3988ecc8</x:v>
      </x:c>
    </x:row>
    <x:row r="83" ht="15" hidden="0" customHeight="1">
      <x:c r="A83" s="3" t="str">
        <x:v>J2222-0137</x:v>
      </x:c>
      <x:c r="B83" s="3" t="str"/>
      <x:c r="C83" s="3" t="str">
        <x:v>NOT_SEARCHED</x:v>
      </x:c>
      <x:c r="D83" s="3" t="str"/>
      <x:c r="E83" s="3" t="str">
        <x:v>Inventory only; no Recherche observed search recorded</x:v>
      </x:c>
      <x:c r="F83" s="3" t="str">
        <x:v>Different model or data scope needed before selection</x:v>
      </x:c>
      <x:c r="G83" s="3" t="str">
        <x:v>AVAILABLE; NOT SEARCHED</x:v>
      </x:c>
      <x:c r="H83" s="7" t="n">
        <x:v>2993</x:v>
      </x:c>
      <x:c r="I83" s="7" t="n">
        <x:v>96</x:v>
      </x:c>
      <x:c r="J83" s="8" t="n">
        <x:v>1465.0160243493956</x:v>
      </x:c>
      <x:c r="K83" s="3" t="str">
        <x:v>EXCLUDED FROM BATCH 01</x:v>
      </x:c>
      <x:c r="L83" s="3" t="str">
        <x:v>supplied_binary_model; published_scattering_process</x:v>
      </x:c>
      <x:c r="M83" s="3" t="str">
        <x:v>LISTED</x:v>
      </x:c>
      <x:c r="N83" s="3" t="str">
        <x:v>NOT LISTED</x:v>
      </x:c>
      <x:c r="O83" s="3" t="str">
        <x:v>NOT LISTED</x:v>
      </x:c>
      <x:c r="P83" s="9" t="str"/>
      <x:c r="Q83" s="3" t="str">
        <x:v>../Project Recherche Data/mpta-batch01-20260908/selection.json</x:v>
      </x:c>
      <x:c r="R83" s="3" t="str">
        <x:v>c7019cba9baaf2fa7bc792a2c66ba62417be412436fa4e73f9c6af6e3e866ed6</x:v>
      </x:c>
      <x:c r="S83" s="3" t="str">
        <x:v>5b69e5d4b6875bc40df63bc3eb499e5c13fb105fd2e4b34a08053233839d2d51</x:v>
      </x:c>
      <x:c r="T83" s="3" t="str">
        <x:v>90fc0d0869f6de452b4e9a39723a3fe974a382c600db6931b121203781296ccb</x:v>
      </x:c>
    </x:row>
    <x:row r="84" ht="15" hidden="0" customHeight="1">
      <x:c r="A84" s="3" t="str">
        <x:v>J2229+2643</x:v>
      </x:c>
      <x:c r="B84" s="3" t="str"/>
      <x:c r="C84" s="3" t="str">
        <x:v>NOT_SEARCHED</x:v>
      </x:c>
      <x:c r="D84" s="3" t="str"/>
      <x:c r="E84" s="3" t="str">
        <x:v>Inventory only; no Recherche observed search recorded</x:v>
      </x:c>
      <x:c r="F84" s="3" t="str">
        <x:v>Different model or data scope needed before selection</x:v>
      </x:c>
      <x:c r="G84" s="3" t="str">
        <x:v>AVAILABLE; NOT SEARCHED</x:v>
      </x:c>
      <x:c r="H84" s="7" t="n">
        <x:v>2094</x:v>
      </x:c>
      <x:c r="I84" s="7" t="n">
        <x:v>89</x:v>
      </x:c>
      <x:c r="J84" s="8" t="n">
        <x:v>1362.238071954991</x:v>
      </x:c>
      <x:c r="K84" s="3" t="str">
        <x:v>EXCLUDED FROM BATCH 01</x:v>
      </x:c>
      <x:c r="L84" s="3" t="str">
        <x:v>supplied_binary_model</x:v>
      </x:c>
      <x:c r="M84" s="3" t="str">
        <x:v>LISTED</x:v>
      </x:c>
      <x:c r="N84" s="3" t="str">
        <x:v>LISTED</x:v>
      </x:c>
      <x:c r="O84" s="3" t="str">
        <x:v>NOT LISTED</x:v>
      </x:c>
      <x:c r="P84" s="9" t="str"/>
      <x:c r="Q84" s="3" t="str">
        <x:v>../Project Recherche Data/mpta-batch01-20260908/selection.json</x:v>
      </x:c>
      <x:c r="R84" s="3" t="str">
        <x:v>c7019cba9baaf2fa7bc792a2c66ba62417be412436fa4e73f9c6af6e3e866ed6</x:v>
      </x:c>
      <x:c r="S84" s="3" t="str">
        <x:v>a7a82991fa09a2dbddac82573bac3adc9507c0f21be5550db8e790adc6759f3a</x:v>
      </x:c>
      <x:c r="T84" s="3" t="str">
        <x:v>279d2e7a90403990c2822b2ab1d84b2599f8774b7606b9da448ba82f43fdfe97</x:v>
      </x:c>
    </x:row>
    <x:row r="85" ht="15" hidden="0" customHeight="1">
      <x:c r="A85" s="3" t="str">
        <x:v>J2234+0944</x:v>
      </x:c>
      <x:c r="B85" s="3" t="str"/>
      <x:c r="C85" s="3" t="str">
        <x:v>NOT_SEARCHED</x:v>
      </x:c>
      <x:c r="D85" s="3" t="str"/>
      <x:c r="E85" s="3" t="str">
        <x:v>Inventory only; no Recherche observed search recorded</x:v>
      </x:c>
      <x:c r="F85" s="3" t="str">
        <x:v>Different model or data scope needed before selection</x:v>
      </x:c>
      <x:c r="G85" s="3" t="str">
        <x:v>AVAILABLE; NOT SEARCHED</x:v>
      </x:c>
      <x:c r="H85" s="7" t="n">
        <x:v>2365</x:v>
      </x:c>
      <x:c r="I85" s="7" t="n">
        <x:v>91</x:v>
      </x:c>
      <x:c r="J85" s="8" t="n">
        <x:v>1338.3390305284047</x:v>
      </x:c>
      <x:c r="K85" s="3" t="str">
        <x:v>EXCLUDED FROM BATCH 01</x:v>
      </x:c>
      <x:c r="L85" s="3" t="str">
        <x:v>supplied_binary_model</x:v>
      </x:c>
      <x:c r="M85" s="3" t="str">
        <x:v>LISTED</x:v>
      </x:c>
      <x:c r="N85" s="3" t="str">
        <x:v>LISTED</x:v>
      </x:c>
      <x:c r="O85" s="3" t="str">
        <x:v>NOT LISTED</x:v>
      </x:c>
      <x:c r="P85" s="9" t="str"/>
      <x:c r="Q85" s="3" t="str">
        <x:v>../Project Recherche Data/mpta-batch01-20260908/selection.json</x:v>
      </x:c>
      <x:c r="R85" s="3" t="str">
        <x:v>c7019cba9baaf2fa7bc792a2c66ba62417be412436fa4e73f9c6af6e3e866ed6</x:v>
      </x:c>
      <x:c r="S85" s="3" t="str">
        <x:v>a938c1198644bb01bc9b27f1bc6e10860f53d23854b8d6845303326a673a39e7</x:v>
      </x:c>
      <x:c r="T85" s="3" t="str">
        <x:v>0c29b561ed9e206567de1b3928697ab1483bcd288d19dab83a3c8220e5b91148</x:v>
      </x:c>
    </x:row>
    <x:row r="86" ht="15" hidden="0" customHeight="1">
      <x:c r="A86" s="3" t="str">
        <x:v>J2236-5527</x:v>
      </x:c>
      <x:c r="B86" s="3" t="str"/>
      <x:c r="C86" s="3" t="str">
        <x:v>NOT_SEARCHED</x:v>
      </x:c>
      <x:c r="D86" s="3" t="str"/>
      <x:c r="E86" s="3" t="str">
        <x:v>Inventory only; no Recherche observed search recorded</x:v>
      </x:c>
      <x:c r="F86" s="3" t="str">
        <x:v>Different model or data scope needed before selection</x:v>
      </x:c>
      <x:c r="G86" s="3" t="str">
        <x:v>AVAILABLE; NOT SEARCHED</x:v>
      </x:c>
      <x:c r="H86" s="7" t="n">
        <x:v>1599</x:v>
      </x:c>
      <x:c r="I86" s="7" t="n">
        <x:v>68</x:v>
      </x:c>
      <x:c r="J86" s="8" t="n">
        <x:v>1553.7619393256682</x:v>
      </x:c>
      <x:c r="K86" s="3" t="str">
        <x:v>EXCLUDED FROM BATCH 01</x:v>
      </x:c>
      <x:c r="L86" s="3" t="str">
        <x:v>supplied_binary_model</x:v>
      </x:c>
      <x:c r="M86" s="3" t="str">
        <x:v>NOT LISTED</x:v>
      </x:c>
      <x:c r="N86" s="3" t="str">
        <x:v>NOT LISTED</x:v>
      </x:c>
      <x:c r="O86" s="3" t="str">
        <x:v>NOT LISTED</x:v>
      </x:c>
      <x:c r="P86" s="9" t="str"/>
      <x:c r="Q86" s="3" t="str">
        <x:v>../Project Recherche Data/mpta-batch01-20260908/selection.json</x:v>
      </x:c>
      <x:c r="R86" s="3" t="str">
        <x:v>c7019cba9baaf2fa7bc792a2c66ba62417be412436fa4e73f9c6af6e3e866ed6</x:v>
      </x:c>
      <x:c r="S86" s="3" t="str">
        <x:v>f7b565b0da73e2f1375e81d08d897d58fc3a7497ce71f99a3d87c774ed6b1a38</x:v>
      </x:c>
      <x:c r="T86" s="3" t="str">
        <x:v>25ca17e54e71c76333ae0a1b0168ee09249001a0070fa44119fd6c584de6f961</x:v>
      </x:c>
    </x:row>
    <x:row r="87" ht="15" hidden="0" customHeight="1">
      <x:c r="A87" s="3" t="str">
        <x:v>J2241-5236</x:v>
      </x:c>
      <x:c r="B87" s="3" t="str"/>
      <x:c r="C87" s="3" t="str">
        <x:v>NOT_SEARCHED</x:v>
      </x:c>
      <x:c r="D87" s="3" t="str"/>
      <x:c r="E87" s="3" t="str">
        <x:v>Inventory only; no Recherche observed search recorded</x:v>
      </x:c>
      <x:c r="F87" s="3" t="str">
        <x:v>Different model or data scope needed before selection</x:v>
      </x:c>
      <x:c r="G87" s="3" t="str">
        <x:v>AVAILABLE; NOT SEARCHED</x:v>
      </x:c>
      <x:c r="H87" s="7" t="n">
        <x:v>3405</x:v>
      </x:c>
      <x:c r="I87" s="7" t="n">
        <x:v>107</x:v>
      </x:c>
      <x:c r="J87" s="8" t="n">
        <x:v>1598.8025872103171</x:v>
      </x:c>
      <x:c r="K87" s="3" t="str">
        <x:v>EXCLUDED FROM BATCH 01</x:v>
      </x:c>
      <x:c r="L87" s="3" t="str">
        <x:v>supplied_binary_model</x:v>
      </x:c>
      <x:c r="M87" s="3" t="str">
        <x:v>NOT LISTED</x:v>
      </x:c>
      <x:c r="N87" s="3" t="str">
        <x:v>NOT LISTED</x:v>
      </x:c>
      <x:c r="O87" s="3" t="str">
        <x:v>NOT LISTED</x:v>
      </x:c>
      <x:c r="P87" s="9" t="str"/>
      <x:c r="Q87" s="3" t="str">
        <x:v>../Project Recherche Data/mpta-batch01-20260908/selection.json</x:v>
      </x:c>
      <x:c r="R87" s="3" t="str">
        <x:v>c7019cba9baaf2fa7bc792a2c66ba62417be412436fa4e73f9c6af6e3e866ed6</x:v>
      </x:c>
      <x:c r="S87" s="3" t="str">
        <x:v>c63ce68000b0cc4784752904badbb53ecea35f25404ace92e445131e48f9e0c9</x:v>
      </x:c>
      <x:c r="T87" s="3" t="str">
        <x:v>36b0f59668abca29c44fb64915060dc2382d2a214f1228ad0ff6801b4dcf06bb</x:v>
      </x:c>
    </x:row>
    <x:row r="88" ht="15" hidden="0" customHeight="1">
      <x:c r="A88" s="3" t="str">
        <x:v>J2317+1439</x:v>
      </x:c>
      <x:c r="B88" s="3" t="str"/>
      <x:c r="C88" s="3" t="str">
        <x:v>NOT_SEARCHED</x:v>
      </x:c>
      <x:c r="D88" s="3" t="str"/>
      <x:c r="E88" s="3" t="str">
        <x:v>Inventory only; no Recherche observed search recorded</x:v>
      </x:c>
      <x:c r="F88" s="3" t="str">
        <x:v>Different model or data scope needed before selection</x:v>
      </x:c>
      <x:c r="G88" s="3" t="str">
        <x:v>AVAILABLE; NOT SEARCHED</x:v>
      </x:c>
      <x:c r="H88" s="7" t="n">
        <x:v>1948</x:v>
      </x:c>
      <x:c r="I88" s="7" t="n">
        <x:v>91</x:v>
      </x:c>
      <x:c r="J88" s="8" t="n">
        <x:v>1362.2152475965704</x:v>
      </x:c>
      <x:c r="K88" s="3" t="str">
        <x:v>EXCLUDED FROM BATCH 01</x:v>
      </x:c>
      <x:c r="L88" s="3" t="str">
        <x:v>supplied_binary_model</x:v>
      </x:c>
      <x:c r="M88" s="3" t="str">
        <x:v>LISTED</x:v>
      </x:c>
      <x:c r="N88" s="3" t="str">
        <x:v>LISTED</x:v>
      </x:c>
      <x:c r="O88" s="3" t="str">
        <x:v>NOT LISTED</x:v>
      </x:c>
      <x:c r="P88" s="9" t="str"/>
      <x:c r="Q88" s="3" t="str">
        <x:v>../Project Recherche Data/mpta-batch01-20260908/selection.json</x:v>
      </x:c>
      <x:c r="R88" s="3" t="str">
        <x:v>c7019cba9baaf2fa7bc792a2c66ba62417be412436fa4e73f9c6af6e3e866ed6</x:v>
      </x:c>
      <x:c r="S88" s="3" t="str">
        <x:v>c504cb3297850eb595e7b49ff927ecfaa775cb81efbe02804ad19a38c1b2333c</x:v>
      </x:c>
      <x:c r="T88" s="3" t="str">
        <x:v>9ff71fc2bdce4a4260aa93649dc3071c271919a817e147a9e92f664116a0ba9d</x:v>
      </x:c>
    </x:row>
    <x:row r="89" ht="24" hidden="0" customHeight="1">
      <x:c r="A89" s="3" t="str">
        <x:v>J2322+2057</x:v>
      </x:c>
      <x:c r="B89" s="3" t="str"/>
      <x:c r="C89" s="3" t="str">
        <x:v>NO_TRIGGER</x:v>
      </x:c>
      <x:c r="D89" s="3" t="str">
        <x:v>ipta-batch02-20260909-J2322+2057-J2322+2057-run01</x:v>
      </x:c>
      <x:c r="E89" s="3" t="str">
        <x:v>No qualifying signal in eligible 30–1442-day cells</x:v>
      </x:c>
      <x:c r="F89" s="3" t="str">
        <x:v>Retain result; consider independent data or a separately defined new scope</x:v>
      </x:c>
      <x:c r="G89" s="3" t="str">
        <x:v>SEARCHED</x:v>
      </x:c>
      <x:c r="H89" s="7" t="n">
        <x:v>804</x:v>
      </x:c>
      <x:c r="I89" s="7" t="n">
        <x:v>377</x:v>
      </x:c>
      <x:c r="J89" s="8" t="n">
        <x:v>5363.506816930887</x:v>
      </x:c>
      <x:c r="K89" s="3" t="str">
        <x:v>pta-campaign01-20260908-epta</x:v>
      </x:c>
      <x:c r="L89" s="3" t="str"/>
      <x:c r="M89" s="3" t="str">
        <x:v>LISTED</x:v>
      </x:c>
      <x:c r="N89" s="3" t="str">
        <x:v>NOT LISTED</x:v>
      </x:c>
      <x:c r="O89" s="3" t="str">
        <x:v>LISTED</x:v>
      </x:c>
      <x:c r="P89" s="9" t="str"/>
      <x:c r="Q89" s="3" t="str">
        <x:v>../Project Recherche Data/pta-campaign01-20260908/epta/selection.json</x:v>
      </x:c>
      <x:c r="R89" s="3" t="str">
        <x:v>e98b491e2df714c34d8453c722c33a640e14b9934eab974095c9f3b5c3b6389f</x:v>
      </x:c>
      <x:c r="S89" s="3" t="str">
        <x:v>4d9481092494263f263ef9c0c50925735f6865d5c2075de2b139fad119e9e45b</x:v>
      </x:c>
      <x:c r="T89" s="3" t="str">
        <x:v>94a7e4d5ebb595e014d129707858474438d039535e18a86142278cbff7114f2b</x:v>
      </x:c>
    </x:row>
    <x:row r="90" ht="60" customHeight="1">
      <x:c r="A90" s="26" t="str">
        <x:v>J0034-0721</x:v>
      </x:c>
      <x:c r="B90" s="26" t="str">
        <x:v>B0031-07</x:v>
      </x:c>
      <x:c r="C90" s="26" t="str">
        <x:v>NOT_SEARCHED</x:v>
      </x:c>
      <x:c r="D90" s="26"/>
      <x:c r="E90" s="26" t="str">
        <x:v>No observed search</x:v>
      </x:c>
      <x:c r="F90" s="26" t="str">
        <x:v>Retain exclusion for current scope</x:v>
      </x:c>
      <x:c r="G90" s="26" t="str">
        <x:v>TPA EXCLUDED</x:v>
      </x:c>
      <x:c r="H90" s="27" t="n">
        <x:v>68</x:v>
      </x:c>
      <x:c r="I90" s="27" t="n">
        <x:v>10</x:v>
      </x:c>
      <x:c r="J90" s="28" t="n">
        <x:v>509.46617496584804</x:v>
      </x:c>
      <x:c r="K90" s="26"/>
      <x:c r="L90" s="26" t="str">
        <x:v>insufficient_span_or_epochs</x:v>
      </x:c>
      <x:c r="M90" s="26" t="str">
        <x:v>Present</x:v>
      </x:c>
      <x:c r="N90" s="26" t="str">
        <x:v>Absent from named inventory</x:v>
      </x:c>
      <x:c r="O90" s="26" t="str">
        <x:v>Absent from named inventory</x:v>
      </x:c>
      <x:c r="P90" s="26"/>
      <x:c r="Q90" s="26" t="str">
        <x:v>../Project Recherche Data/tpa-batch01-20260908/selection.json</x:v>
      </x:c>
      <x:c r="R90" s="26" t="str">
        <x:v>047722e4dca24e16c44c810f43990492b2f988012ca2b4bab47826ff4c95f1db</x:v>
      </x:c>
      <x:c r="S90" s="26" t="str">
        <x:v>7616b0f85b9574a5994ebff771c79e10eb5b0fdeaff0857239b16189e539ddae</x:v>
      </x:c>
      <x:c r="T90" s="26" t="str">
        <x:v>3f0cce9ae61e0d647c002c6625219739ce749e9fb1039cac47d1a11a45462f28</x:v>
      </x:c>
    </x:row>
    <x:row r="91" ht="60" customHeight="1">
      <x:c r="A91" s="26" t="str">
        <x:v>J0108-1431</x:v>
      </x:c>
      <x:c r="B91" s="26" t="str"/>
      <x:c r="C91" s="26" t="str">
        <x:v>NOT_SEARCHED</x:v>
      </x:c>
      <x:c r="D91" s="26"/>
      <x:c r="E91" s="26" t="str">
        <x:v>No observed search</x:v>
      </x:c>
      <x:c r="F91" s="26" t="str">
        <x:v>Retain exclusion for current scope</x:v>
      </x:c>
      <x:c r="G91" s="26" t="str">
        <x:v>TPA EXCLUDED</x:v>
      </x:c>
      <x:c r="H91" s="27" t="n">
        <x:v>85</x:v>
      </x:c>
      <x:c r="I91" s="27" t="n">
        <x:v>11</x:v>
      </x:c>
      <x:c r="J91" s="28" t="n">
        <x:v>484.54908254409384</x:v>
      </x:c>
      <x:c r="K91" s="26"/>
      <x:c r="L91" s="26" t="str">
        <x:v>insufficient_span_or_epochs</x:v>
      </x:c>
      <x:c r="M91" s="26" t="str">
        <x:v>Present</x:v>
      </x:c>
      <x:c r="N91" s="26" t="str">
        <x:v>Absent from named inventory</x:v>
      </x:c>
      <x:c r="O91" s="26" t="str">
        <x:v>Absent from named inventory</x:v>
      </x:c>
      <x:c r="P91" s="26"/>
      <x:c r="Q91" s="26" t="str">
        <x:v>../Project Recherche Data/tpa-batch01-20260908/selection.json</x:v>
      </x:c>
      <x:c r="R91" s="26" t="str">
        <x:v>047722e4dca24e16c44c810f43990492b2f988012ca2b4bab47826ff4c95f1db</x:v>
      </x:c>
      <x:c r="S91" s="26" t="str">
        <x:v>54100e6f79eb5c9c5f3262a68cd4b49406f8470d13388f7ac98f47eaac666069</x:v>
      </x:c>
      <x:c r="T91" s="26" t="str">
        <x:v>f1255b0860e1e5165370e0aac525dcc3a041851dcc7b0c55240f73bf7053ae61</x:v>
      </x:c>
    </x:row>
    <x:row r="92" ht="60" customHeight="1">
      <x:c r="A92" s="26" t="str">
        <x:v>J0134-2937</x:v>
      </x:c>
      <x:c r="B92" s="26" t="str"/>
      <x:c r="C92" s="26" t="str">
        <x:v>NO_TRIGGER</x:v>
      </x:c>
      <x:c r="D92" s="26" t="str">
        <x:v>utmost-preparation01-20260909-J0134-2937-run01</x:v>
      </x:c>
      <x:c r="E92" s="26" t="str">
        <x:v>No qualifying signal in eligible 30–400-day cells</x:v>
      </x:c>
      <x:c r="F92" s="26" t="str">
        <x:v>Retain result; consider independent data or a separately defined new scope</x:v>
      </x:c>
      <x:c r="G92" s="26" t="str">
        <x:v>UTMOST SEARCHED; TPA EXCLUSION RETAINED</x:v>
      </x:c>
      <x:c r="H92" s="27" t="n">
        <x:v>80</x:v>
      </x:c>
      <x:c r="I92" s="27" t="n">
        <x:v>10</x:v>
      </x:c>
      <x:c r="J92" s="28" t="n">
        <x:v>509.4617291468603</x:v>
      </x:c>
      <x:c r="K92" s="26"/>
      <x:c r="L92" s="26" t="str">
        <x:v>insufficient_span_or_epochs</x:v>
      </x:c>
      <x:c r="M92" s="26" t="str">
        <x:v>Present</x:v>
      </x:c>
      <x:c r="N92" s="26" t="str">
        <x:v>Absent from named inventory</x:v>
      </x:c>
      <x:c r="O92" s="26" t="str">
        <x:v>Absent from named inventory</x:v>
      </x:c>
      <x:c r="P92" s="26"/>
      <x:c r="Q92" s="26" t="str">
        <x:v>../Project Recherche Data/tpa-batch01-20260908/selection.json</x:v>
      </x:c>
      <x:c r="R92" s="26" t="str">
        <x:v>047722e4dca24e16c44c810f43990492b2f988012ca2b4bab47826ff4c95f1db</x:v>
      </x:c>
      <x:c r="S92" s="26" t="str">
        <x:v>a4e6d570cc06c702a91ce36167c93be5c73c1f4ea4fd72651119d6383d86a60e</x:v>
      </x:c>
      <x:c r="T92" s="26" t="str">
        <x:v>879f390e446f242f7a8ac9cddfbe9388e0f5b0a8f33a2373a711b6f67669ff86</x:v>
      </x:c>
    </x:row>
    <x:row r="93" ht="60" customHeight="1">
      <x:c r="A93" s="26" t="str">
        <x:v>J0151-0635</x:v>
      </x:c>
      <x:c r="B93" s="26" t="str">
        <x:v>B0148-06</x:v>
      </x:c>
      <x:c r="C93" s="26" t="str">
        <x:v>NO_TRIGGER</x:v>
      </x:c>
      <x:c r="D93" s="26" t="str">
        <x:v>utmost-batch03-20260909-J0151-0635-run01</x:v>
      </x:c>
      <x:c r="E93" s="26" t="str">
        <x:v>No qualifying signal in eligible 30–400-day cells</x:v>
      </x:c>
      <x:c r="F93" s="26" t="str">
        <x:v>Retain result; consider independent data or a separately defined new scope</x:v>
      </x:c>
      <x:c r="G93" s="26" t="str">
        <x:v>UTMOST SEARCHED</x:v>
      </x:c>
      <x:c r="H93" s="27" t="n">
        <x:v>59</x:v>
      </x:c>
      <x:c r="I93" s="27" t="n">
        <x:v>11</x:v>
      </x:c>
      <x:c r="J93" s="28" t="n">
        <x:v>484.53800792794937</x:v>
      </x:c>
      <x:c r="K93" s="26"/>
      <x:c r="L93" s="26" t="str">
        <x:v>insufficient_span_or_epochs</x:v>
      </x:c>
      <x:c r="M93" s="26" t="str">
        <x:v>Present</x:v>
      </x:c>
      <x:c r="N93" s="26" t="str">
        <x:v>Absent from named inventory</x:v>
      </x:c>
      <x:c r="O93" s="26" t="str">
        <x:v>Absent from named inventory</x:v>
      </x:c>
      <x:c r="P93" s="26"/>
      <x:c r="Q93" s="26" t="str">
        <x:v>../Project Recherche Data/tpa-batch01-20260908/selection.json</x:v>
      </x:c>
      <x:c r="R93" s="26" t="str">
        <x:v>047722e4dca24e16c44c810f43990492b2f988012ca2b4bab47826ff4c95f1db</x:v>
      </x:c>
      <x:c r="S93" s="26" t="str">
        <x:v>fc86e3235b57295abdde321d4654e20f8f9f3efd025f5d0abdf34bf0072d245d</x:v>
      </x:c>
      <x:c r="T93" s="26" t="str">
        <x:v>1e27fd33f8e506b2462bbd27eee481b84c6813fef075582fb1220944b409f492</x:v>
      </x:c>
    </x:row>
    <x:row r="94" ht="60" customHeight="1">
      <x:c r="A94" s="26" t="str">
        <x:v>J0152-1637</x:v>
      </x:c>
      <x:c r="B94" s="26" t="str">
        <x:v>B0149-16</x:v>
      </x:c>
      <x:c r="C94" s="26" t="str">
        <x:v>NOT_SEARCHED</x:v>
      </x:c>
      <x:c r="D94" s="26"/>
      <x:c r="E94" s="26" t="str">
        <x:v>No observed search</x:v>
      </x:c>
      <x:c r="F94" s="26" t="str">
        <x:v>Retain exclusion for current scope</x:v>
      </x:c>
      <x:c r="G94" s="26" t="str">
        <x:v>TPA EXCLUDED</x:v>
      </x:c>
      <x:c r="H94" s="27" t="n">
        <x:v>73</x:v>
      </x:c>
      <x:c r="I94" s="27" t="n">
        <x:v>10</x:v>
      </x:c>
      <x:c r="J94" s="28" t="n">
        <x:v>509.46096555534314</x:v>
      </x:c>
      <x:c r="K94" s="26"/>
      <x:c r="L94" s="26" t="str">
        <x:v>insufficient_span_or_epochs</x:v>
      </x:c>
      <x:c r="M94" s="26" t="str">
        <x:v>Present</x:v>
      </x:c>
      <x:c r="N94" s="26" t="str">
        <x:v>Absent from named inventory</x:v>
      </x:c>
      <x:c r="O94" s="26" t="str">
        <x:v>Absent from named inventory</x:v>
      </x:c>
      <x:c r="P94" s="26"/>
      <x:c r="Q94" s="26" t="str">
        <x:v>../Project Recherche Data/tpa-batch01-20260908/selection.json</x:v>
      </x:c>
      <x:c r="R94" s="26" t="str">
        <x:v>047722e4dca24e16c44c810f43990492b2f988012ca2b4bab47826ff4c95f1db</x:v>
      </x:c>
      <x:c r="S94" s="26" t="str">
        <x:v>b3cc70bcc5cd16f59a8c50a47bceae7ee42e2292ad5b0f01009479bfa3b35481</x:v>
      </x:c>
      <x:c r="T94" s="26" t="str">
        <x:v>6a2ae2f42a82ca651f49243bc9188184fdefaf6f8a23fcc64a9d8de15a6af47c</x:v>
      </x:c>
    </x:row>
    <x:row r="95" ht="60" customHeight="1">
      <x:c r="A95" s="26" t="str">
        <x:v>J0206-4028</x:v>
      </x:c>
      <x:c r="B95" s="26" t="str">
        <x:v>B0203-40</x:v>
      </x:c>
      <x:c r="C95" s="26" t="str">
        <x:v>NOT_SEARCHED</x:v>
      </x:c>
      <x:c r="D95" s="26"/>
      <x:c r="E95" s="26" t="str">
        <x:v>No observed search</x:v>
      </x:c>
      <x:c r="F95" s="26" t="str">
        <x:v>Retain exclusion for current scope</x:v>
      </x:c>
      <x:c r="G95" s="26" t="str">
        <x:v>TPA EXCLUDED</x:v>
      </x:c>
      <x:c r="H95" s="27" t="n">
        <x:v>88</x:v>
      </x:c>
      <x:c r="I95" s="27" t="n">
        <x:v>12</x:v>
      </x:c>
      <x:c r="J95" s="28" t="n">
        <x:v>484.52297192418337</x:v>
      </x:c>
      <x:c r="K95" s="26"/>
      <x:c r="L95" s="26" t="str">
        <x:v>insufficient_span_or_epochs</x:v>
      </x:c>
      <x:c r="M95" s="26" t="str">
        <x:v>Absent from named inventory</x:v>
      </x:c>
      <x:c r="N95" s="26" t="str">
        <x:v>Absent from named inventory</x:v>
      </x:c>
      <x:c r="O95" s="26" t="str">
        <x:v>Absent from named inventory</x:v>
      </x:c>
      <x:c r="P95" s="26"/>
      <x:c r="Q95" s="26" t="str">
        <x:v>../Project Recherche Data/tpa-batch01-20260908/selection.json</x:v>
      </x:c>
      <x:c r="R95" s="26" t="str">
        <x:v>047722e4dca24e16c44c810f43990492b2f988012ca2b4bab47826ff4c95f1db</x:v>
      </x:c>
      <x:c r="S95" s="26" t="str">
        <x:v>7558ffee0d314a85ee61f2f28083cc0ad357a7a5ecedb2a053a27e831c9f359c</x:v>
      </x:c>
      <x:c r="T95" s="26" t="str">
        <x:v>83eb8eed4487330999f0f1ba8de06443a79734c71e42c5f1498537f39d261a2a</x:v>
      </x:c>
    </x:row>
    <x:row r="96" ht="60" customHeight="1">
      <x:c r="A96" s="26" t="str">
        <x:v>J0211-8159</x:v>
      </x:c>
      <x:c r="B96" s="26" t="str"/>
      <x:c r="C96" s="26" t="str">
        <x:v>NOT_SEARCHED</x:v>
      </x:c>
      <x:c r="D96" s="26"/>
      <x:c r="E96" s="26" t="str">
        <x:v>No observed search</x:v>
      </x:c>
      <x:c r="F96" s="26" t="str">
        <x:v>Retain exclusion for current scope</x:v>
      </x:c>
      <x:c r="G96" s="26" t="str">
        <x:v>TPA EXCLUDED</x:v>
      </x:c>
      <x:c r="H96" s="27" t="n">
        <x:v>182</x:v>
      </x:c>
      <x:c r="I96" s="27" t="n">
        <x:v>26</x:v>
      </x:c>
      <x:c r="J96" s="28" t="n">
        <x:v>1249.8366419676895</x:v>
      </x:c>
      <x:c r="K96" s="26"/>
      <x:c r="L96" s="26" t="str">
        <x:v>harmonic_timing_convention, insufficient_span_or_epochs</x:v>
      </x:c>
      <x:c r="M96" s="26" t="str">
        <x:v>Absent from named inventory</x:v>
      </x:c>
      <x:c r="N96" s="26" t="str">
        <x:v>Absent from named inventory</x:v>
      </x:c>
      <x:c r="O96" s="26" t="str">
        <x:v>Absent from named inventory</x:v>
      </x:c>
      <x:c r="P96" s="26"/>
      <x:c r="Q96" s="26" t="str">
        <x:v>../Project Recherche Data/tpa-batch01-20260908/selection.json</x:v>
      </x:c>
      <x:c r="R96" s="26" t="str">
        <x:v>047722e4dca24e16c44c810f43990492b2f988012ca2b4bab47826ff4c95f1db</x:v>
      </x:c>
      <x:c r="S96" s="26" t="str">
        <x:v>60563cbbd556430b134e88acabf0195a23db0883a6e6b3b101edf9129b2a74a8</x:v>
      </x:c>
      <x:c r="T96" s="26" t="str">
        <x:v>e684e1ec493574208d5252a3e560641e52dd0a80f07f4b09a8e761a40cc9a29e</x:v>
      </x:c>
    </x:row>
    <x:row r="97" ht="60" customHeight="1">
      <x:c r="A97" s="26" t="str">
        <x:v>J0255-5304</x:v>
      </x:c>
      <x:c r="B97" s="26" t="str">
        <x:v>B0254-53</x:v>
      </x:c>
      <x:c r="C97" s="26" t="str">
        <x:v>NO_TRIGGER</x:v>
      </x:c>
      <x:c r="D97" s="26" t="str">
        <x:v>utmost-batch02-20260909-J0255-5304-run01</x:v>
      </x:c>
      <x:c r="E97" s="26" t="str">
        <x:v>No qualifying signal in eligible 30–400-day cells</x:v>
      </x:c>
      <x:c r="F97" s="26" t="str">
        <x:v>Retain result; consider independent data or a separately defined new scope</x:v>
      </x:c>
      <x:c r="G97" s="26" t="str">
        <x:v>UTMOST SEARCHED</x:v>
      </x:c>
      <x:c r="H97" s="27" t="n">
        <x:v>88</x:v>
      </x:c>
      <x:c r="I97" s="27" t="n">
        <x:v>12</x:v>
      </x:c>
      <x:c r="J97" s="28" t="n">
        <x:v>509.4395927952428</x:v>
      </x:c>
      <x:c r="K97" s="26"/>
      <x:c r="L97" s="26" t="str">
        <x:v>insufficient_span_or_epochs</x:v>
      </x:c>
      <x:c r="M97" s="26" t="str">
        <x:v>Absent from named inventory</x:v>
      </x:c>
      <x:c r="N97" s="26" t="str">
        <x:v>Absent from named inventory</x:v>
      </x:c>
      <x:c r="O97" s="26" t="str">
        <x:v>Absent from named inventory</x:v>
      </x:c>
      <x:c r="P97" s="26"/>
      <x:c r="Q97" s="26" t="str">
        <x:v>../Project Recherche Data/tpa-batch01-20260908/selection.json</x:v>
      </x:c>
      <x:c r="R97" s="26" t="str">
        <x:v>047722e4dca24e16c44c810f43990492b2f988012ca2b4bab47826ff4c95f1db</x:v>
      </x:c>
      <x:c r="S97" s="26" t="str">
        <x:v>dd316d6a97190fef9034d6ead7319119f4b6a90a4c334431c09cd3056a1867c1</x:v>
      </x:c>
      <x:c r="T97" s="26" t="str">
        <x:v>ffc7c93564fdbfc0752ad4f436537cd81d246f815571d838ee2be5647ce8a876</x:v>
      </x:c>
    </x:row>
    <x:row r="98" ht="60" customHeight="1">
      <x:c r="A98" s="26" t="str">
        <x:v>J0304+1932</x:v>
      </x:c>
      <x:c r="B98" s="26" t="str">
        <x:v>B0301+19</x:v>
      </x:c>
      <x:c r="C98" s="26" t="str">
        <x:v>NOT_SEARCHED</x:v>
      </x:c>
      <x:c r="D98" s="26"/>
      <x:c r="E98" s="26" t="str">
        <x:v>No observed search</x:v>
      </x:c>
      <x:c r="F98" s="26" t="str">
        <x:v>Retain exclusion for current scope</x:v>
      </x:c>
      <x:c r="G98" s="26" t="str">
        <x:v>TPA EXCLUDED</x:v>
      </x:c>
      <x:c r="H98" s="27" t="n">
        <x:v>96</x:v>
      </x:c>
      <x:c r="I98" s="27" t="n">
        <x:v>12</x:v>
      </x:c>
      <x:c r="J98" s="28" t="n">
        <x:v>489.74657498094166</x:v>
      </x:c>
      <x:c r="K98" s="26"/>
      <x:c r="L98" s="26" t="str">
        <x:v>insufficient_span_or_epochs</x:v>
      </x:c>
      <x:c r="M98" s="26" t="str">
        <x:v>Present</x:v>
      </x:c>
      <x:c r="N98" s="26" t="str">
        <x:v>Absent from named inventory</x:v>
      </x:c>
      <x:c r="O98" s="26" t="str">
        <x:v>Absent from named inventory</x:v>
      </x:c>
      <x:c r="P98" s="26"/>
      <x:c r="Q98" s="26" t="str">
        <x:v>../Project Recherche Data/tpa-batch01-20260908/selection.json</x:v>
      </x:c>
      <x:c r="R98" s="26" t="str">
        <x:v>047722e4dca24e16c44c810f43990492b2f988012ca2b4bab47826ff4c95f1db</x:v>
      </x:c>
      <x:c r="S98" s="26" t="str">
        <x:v>3357464b742930a400b8ff38f82d08da53b23469428a4e01fb75c0b42a01c48d</x:v>
      </x:c>
      <x:c r="T98" s="26" t="str">
        <x:v>863921b545100aff9804aca65c8db4a7580e90eafc65dc1edcd0d2b758cf453e</x:v>
      </x:c>
    </x:row>
    <x:row r="99" ht="60" customHeight="1">
      <x:c r="A99" s="26" t="str">
        <x:v>J0343-3000</x:v>
      </x:c>
      <x:c r="B99" s="26" t="str"/>
      <x:c r="C99" s="26" t="str">
        <x:v>NOT_SEARCHED</x:v>
      </x:c>
      <x:c r="D99" s="26"/>
      <x:c r="E99" s="26" t="str">
        <x:v>No observed search</x:v>
      </x:c>
      <x:c r="F99" s="26" t="str">
        <x:v>Retain exclusion for current scope</x:v>
      </x:c>
      <x:c r="G99" s="26" t="str">
        <x:v>TPA EXCLUDED</x:v>
      </x:c>
      <x:c r="H99" s="27" t="n">
        <x:v>142</x:v>
      </x:c>
      <x:c r="I99" s="27" t="n">
        <x:v>24</x:v>
      </x:c>
      <x:c r="J99" s="28" t="n">
        <x:v>1233.8380873367496</x:v>
      </x:c>
      <x:c r="K99" s="26"/>
      <x:c r="L99" s="26" t="str">
        <x:v>insufficient_span_or_epochs</x:v>
      </x:c>
      <x:c r="M99" s="26" t="str">
        <x:v>Absent from named inventory</x:v>
      </x:c>
      <x:c r="N99" s="26" t="str">
        <x:v>Absent from named inventory</x:v>
      </x:c>
      <x:c r="O99" s="26" t="str">
        <x:v>Absent from named inventory</x:v>
      </x:c>
      <x:c r="P99" s="26"/>
      <x:c r="Q99" s="26" t="str">
        <x:v>../Project Recherche Data/tpa-batch01-20260908/selection.json</x:v>
      </x:c>
      <x:c r="R99" s="26" t="str">
        <x:v>047722e4dca24e16c44c810f43990492b2f988012ca2b4bab47826ff4c95f1db</x:v>
      </x:c>
      <x:c r="S99" s="26" t="str">
        <x:v>51c8d0e1f70540667546e4994a5d26951d4d86bcb4b623247e47c64ac65791a5</x:v>
      </x:c>
      <x:c r="T99" s="26" t="str">
        <x:v>d4825bb47ff9ec156e461b213d394adb0f584007383e9945294e4d1e6f3c20f1</x:v>
      </x:c>
    </x:row>
    <x:row r="100" ht="60" customHeight="1">
      <x:c r="A100" s="26" t="str">
        <x:v>J0401-7608</x:v>
      </x:c>
      <x:c r="B100" s="26" t="str">
        <x:v>B0403-76</x:v>
      </x:c>
      <x:c r="C100" s="26" t="str">
        <x:v>NOT_SEARCHED</x:v>
      </x:c>
      <x:c r="D100" s="26"/>
      <x:c r="E100" s="26" t="str">
        <x:v>No observed search</x:v>
      </x:c>
      <x:c r="F100" s="26" t="str">
        <x:v>Retain exclusion for current scope</x:v>
      </x:c>
      <x:c r="G100" s="26" t="str">
        <x:v>TPA EXCLUDED</x:v>
      </x:c>
      <x:c r="H100" s="27" t="n">
        <x:v>96</x:v>
      </x:c>
      <x:c r="I100" s="27" t="n">
        <x:v>12</x:v>
      </x:c>
      <x:c r="J100" s="28" t="n">
        <x:v>489.73200942910626</x:v>
      </x:c>
      <x:c r="K100" s="26"/>
      <x:c r="L100" s="26" t="str">
        <x:v>insufficient_span_or_epochs</x:v>
      </x:c>
      <x:c r="M100" s="26" t="str">
        <x:v>Absent from named inventory</x:v>
      </x:c>
      <x:c r="N100" s="26" t="str">
        <x:v>Absent from named inventory</x:v>
      </x:c>
      <x:c r="O100" s="26" t="str">
        <x:v>Absent from named inventory</x:v>
      </x:c>
      <x:c r="P100" s="26"/>
      <x:c r="Q100" s="26" t="str">
        <x:v>../Project Recherche Data/tpa-batch01-20260908/selection.json</x:v>
      </x:c>
      <x:c r="R100" s="26" t="str">
        <x:v>047722e4dca24e16c44c810f43990492b2f988012ca2b4bab47826ff4c95f1db</x:v>
      </x:c>
      <x:c r="S100" s="26" t="str">
        <x:v>5dcef9f81d94cf5dfd264e0a24abb23a4a01876a5cebc755b0880f9d18c301a4</x:v>
      </x:c>
      <x:c r="T100" s="26" t="str">
        <x:v>438692c723efd1adb8440063605205f16d393bab97fef9513f717a824565586f</x:v>
      </x:c>
    </x:row>
    <x:row r="101" ht="60" customHeight="1">
      <x:c r="A101" s="26" t="str">
        <x:v>J0421-0345</x:v>
      </x:c>
      <x:c r="B101" s="26" t="str"/>
      <x:c r="C101" s="26" t="str">
        <x:v>NOT_SEARCHED</x:v>
      </x:c>
      <x:c r="D101" s="26"/>
      <x:c r="E101" s="26" t="str">
        <x:v>No observed search</x:v>
      </x:c>
      <x:c r="F101" s="26" t="str">
        <x:v>Retain exclusion for current scope</x:v>
      </x:c>
      <x:c r="G101" s="26" t="str">
        <x:v>TPA EXCLUDED</x:v>
      </x:c>
      <x:c r="H101" s="27" t="n">
        <x:v>194</x:v>
      </x:c>
      <x:c r="I101" s="27" t="n">
        <x:v>26</x:v>
      </x:c>
      <x:c r="J101" s="28" t="n">
        <x:v>1249.8352841738015</x:v>
      </x:c>
      <x:c r="K101" s="26"/>
      <x:c r="L101" s="26" t="str">
        <x:v>insufficient_span_or_epochs</x:v>
      </x:c>
      <x:c r="M101" s="26" t="str">
        <x:v>Absent from named inventory</x:v>
      </x:c>
      <x:c r="N101" s="26" t="str">
        <x:v>Absent from named inventory</x:v>
      </x:c>
      <x:c r="O101" s="26" t="str">
        <x:v>Absent from named inventory</x:v>
      </x:c>
      <x:c r="P101" s="26"/>
      <x:c r="Q101" s="26" t="str">
        <x:v>../Project Recherche Data/tpa-batch01-20260908/selection.json</x:v>
      </x:c>
      <x:c r="R101" s="26" t="str">
        <x:v>047722e4dca24e16c44c810f43990492b2f988012ca2b4bab47826ff4c95f1db</x:v>
      </x:c>
      <x:c r="S101" s="26" t="str">
        <x:v>37757f6e10bb084868b992e1524049cfe9d070101c25572485e8db38af6487c8</x:v>
      </x:c>
      <x:c r="T101" s="26" t="str">
        <x:v>60fc9f20132beebf91ba357912ee8c8bf62e9deb622beb43b3168d082463c7e9</x:v>
      </x:c>
    </x:row>
    <x:row r="102" ht="60" customHeight="1">
      <x:c r="A102" s="26" t="str">
        <x:v>J0448-2749</x:v>
      </x:c>
      <x:c r="B102" s="26" t="str"/>
      <x:c r="C102" s="26" t="str">
        <x:v>NOT_SEARCHED</x:v>
      </x:c>
      <x:c r="D102" s="26"/>
      <x:c r="E102" s="26" t="str">
        <x:v>No observed search</x:v>
      </x:c>
      <x:c r="F102" s="26" t="str">
        <x:v>Retain exclusion for current scope</x:v>
      </x:c>
      <x:c r="G102" s="26" t="str">
        <x:v>TPA EXCLUDED</x:v>
      </x:c>
      <x:c r="H102" s="27" t="n">
        <x:v>94</x:v>
      </x:c>
      <x:c r="I102" s="27" t="n">
        <x:v>12</x:v>
      </x:c>
      <x:c r="J102" s="28" t="n">
        <x:v>489.71217965232063</x:v>
      </x:c>
      <x:c r="K102" s="26"/>
      <x:c r="L102" s="26" t="str">
        <x:v>insufficient_span_or_epochs</x:v>
      </x:c>
      <x:c r="M102" s="26" t="str">
        <x:v>Present</x:v>
      </x:c>
      <x:c r="N102" s="26" t="str">
        <x:v>Absent from named inventory</x:v>
      </x:c>
      <x:c r="O102" s="26" t="str">
        <x:v>Absent from named inventory</x:v>
      </x:c>
      <x:c r="P102" s="26"/>
      <x:c r="Q102" s="26" t="str">
        <x:v>../Project Recherche Data/tpa-batch01-20260908/selection.json</x:v>
      </x:c>
      <x:c r="R102" s="26" t="str">
        <x:v>047722e4dca24e16c44c810f43990492b2f988012ca2b4bab47826ff4c95f1db</x:v>
      </x:c>
      <x:c r="S102" s="26" t="str">
        <x:v>8518450b081cc5a873a4b88f1f5abef41b0414c5613a6a339251fe2ae1962aea</x:v>
      </x:c>
      <x:c r="T102" s="26" t="str">
        <x:v>f174acedeb7cccc20dfbc7843031887f21815383e409ba28d980111fa3d9519e</x:v>
      </x:c>
    </x:row>
    <x:row r="103" ht="60" customHeight="1">
      <x:c r="A103" s="26" t="str">
        <x:v>J0450-1248</x:v>
      </x:c>
      <x:c r="B103" s="26" t="str">
        <x:v>B0447-12</x:v>
      </x:c>
      <x:c r="C103" s="26" t="str">
        <x:v>NOT_SEARCHED</x:v>
      </x:c>
      <x:c r="D103" s="26"/>
      <x:c r="E103" s="26" t="str">
        <x:v>No observed search</x:v>
      </x:c>
      <x:c r="F103" s="26" t="str">
        <x:v>Retain exclusion for current scope</x:v>
      </x:c>
      <x:c r="G103" s="26" t="str">
        <x:v>TPA EXCLUDED</x:v>
      </x:c>
      <x:c r="H103" s="27" t="n">
        <x:v>224</x:v>
      </x:c>
      <x:c r="I103" s="27" t="n">
        <x:v>28</x:v>
      </x:c>
      <x:c r="J103" s="28" t="n">
        <x:v>1278.6561830555293</x:v>
      </x:c>
      <x:c r="K103" s="26"/>
      <x:c r="L103" s="26" t="str">
        <x:v>insufficient_span_or_epochs</x:v>
      </x:c>
      <x:c r="M103" s="26" t="str">
        <x:v>Present</x:v>
      </x:c>
      <x:c r="N103" s="26" t="str">
        <x:v>Absent from named inventory</x:v>
      </x:c>
      <x:c r="O103" s="26" t="str">
        <x:v>Absent from named inventory</x:v>
      </x:c>
      <x:c r="P103" s="26"/>
      <x:c r="Q103" s="26" t="str">
        <x:v>../Project Recherche Data/tpa-batch01-20260908/selection.json</x:v>
      </x:c>
      <x:c r="R103" s="26" t="str">
        <x:v>047722e4dca24e16c44c810f43990492b2f988012ca2b4bab47826ff4c95f1db</x:v>
      </x:c>
      <x:c r="S103" s="26" t="str">
        <x:v>6ee50a28b64bf555ae7b8ae949c37f0950347ee2470d3c5aa95a4e11041bcaec</x:v>
      </x:c>
      <x:c r="T103" s="26" t="str">
        <x:v>9d9d808372e94837eb6de3afb049be099d299e2ba9325c161cc0d3c7670981be</x:v>
      </x:c>
    </x:row>
    <x:row r="104" ht="60" customHeight="1">
      <x:c r="A104" s="26" t="str">
        <x:v>J0452-1759</x:v>
      </x:c>
      <x:c r="B104" s="26" t="str">
        <x:v>B0450-18</x:v>
      </x:c>
      <x:c r="C104" s="26" t="str">
        <x:v>NO_TRIGGER</x:v>
      </x:c>
      <x:c r="D104" s="26" t="str">
        <x:v>utmost-batch03-20260909-J0452-1759-run01</x:v>
      </x:c>
      <x:c r="E104" s="26" t="str">
        <x:v>No qualifying signal in eligible 30–400-day cells</x:v>
      </x:c>
      <x:c r="F104" s="26" t="str">
        <x:v>Retain result; consider independent data or a separately defined new scope</x:v>
      </x:c>
      <x:c r="G104" s="26" t="str">
        <x:v>UTMOST SEARCHED</x:v>
      </x:c>
      <x:c r="H104" s="27" t="n">
        <x:v>96</x:v>
      </x:c>
      <x:c r="I104" s="27" t="n">
        <x:v>12</x:v>
      </x:c>
      <x:c r="J104" s="28" t="n">
        <x:v>489.7092365163626</x:v>
      </x:c>
      <x:c r="K104" s="26"/>
      <x:c r="L104" s="26" t="str">
        <x:v>insufficient_span_or_epochs</x:v>
      </x:c>
      <x:c r="M104" s="26" t="str">
        <x:v>Present</x:v>
      </x:c>
      <x:c r="N104" s="26" t="str">
        <x:v>Absent from named inventory</x:v>
      </x:c>
      <x:c r="O104" s="26" t="str">
        <x:v>Absent from named inventory</x:v>
      </x:c>
      <x:c r="P104" s="26"/>
      <x:c r="Q104" s="26" t="str">
        <x:v>../Project Recherche Data/tpa-batch01-20260908/selection.json</x:v>
      </x:c>
      <x:c r="R104" s="26" t="str">
        <x:v>047722e4dca24e16c44c810f43990492b2f988012ca2b4bab47826ff4c95f1db</x:v>
      </x:c>
      <x:c r="S104" s="26" t="str">
        <x:v>20bbc9a776cce70f09628487f52188ee00b686f1ad4331dcb553a94816a78fcb</x:v>
      </x:c>
      <x:c r="T104" s="26" t="str">
        <x:v>c5412e268e5023213748e44bf79e760c94391d9f39148536119a36458fa99ed3</x:v>
      </x:c>
    </x:row>
    <x:row r="105" ht="60" customHeight="1">
      <x:c r="A105" s="26" t="str">
        <x:v>J0459-0210</x:v>
      </x:c>
      <x:c r="B105" s="26" t="str"/>
      <x:c r="C105" s="26" t="str">
        <x:v>NOT_SEARCHED</x:v>
      </x:c>
      <x:c r="D105" s="26"/>
      <x:c r="E105" s="26" t="str">
        <x:v>No observed search</x:v>
      </x:c>
      <x:c r="F105" s="26" t="str">
        <x:v>Retain exclusion for current scope</x:v>
      </x:c>
      <x:c r="G105" s="26" t="str">
        <x:v>TPA EXCLUDED</x:v>
      </x:c>
      <x:c r="H105" s="27" t="n">
        <x:v>200</x:v>
      </x:c>
      <x:c r="I105" s="27" t="n">
        <x:v>25</x:v>
      </x:c>
      <x:c r="J105" s="28" t="n">
        <x:v>1233.8216644155982</x:v>
      </x:c>
      <x:c r="K105" s="26"/>
      <x:c r="L105" s="26" t="str">
        <x:v>insufficient_span_or_epochs</x:v>
      </x:c>
      <x:c r="M105" s="26" t="str">
        <x:v>Present</x:v>
      </x:c>
      <x:c r="N105" s="26" t="str">
        <x:v>Absent from named inventory</x:v>
      </x:c>
      <x:c r="O105" s="26" t="str">
        <x:v>Absent from named inventory</x:v>
      </x:c>
      <x:c r="P105" s="26"/>
      <x:c r="Q105" s="26" t="str">
        <x:v>../Project Recherche Data/tpa-batch01-20260908/selection.json</x:v>
      </x:c>
      <x:c r="R105" s="26" t="str">
        <x:v>047722e4dca24e16c44c810f43990492b2f988012ca2b4bab47826ff4c95f1db</x:v>
      </x:c>
      <x:c r="S105" s="26" t="str">
        <x:v>06f6bfa4542ced0f21d9b1bf28c771ce5a5fbbaec6c0bc12bbe031bb52adb576</x:v>
      </x:c>
      <x:c r="T105" s="26" t="str">
        <x:v>044ecded7a0f3adee122134d96f0915e5eacfd124a792e0a788d103ced1422b2</x:v>
      </x:c>
    </x:row>
    <x:row r="106" ht="60" customHeight="1">
      <x:c r="A106" s="26" t="str">
        <x:v>J0511-6508</x:v>
      </x:c>
      <x:c r="B106" s="26" t="str"/>
      <x:c r="C106" s="26" t="str">
        <x:v>NOT_SEARCHED</x:v>
      </x:c>
      <x:c r="D106" s="26"/>
      <x:c r="E106" s="26" t="str">
        <x:v>No observed search</x:v>
      </x:c>
      <x:c r="F106" s="26" t="str">
        <x:v>Retain exclusion for current scope</x:v>
      </x:c>
      <x:c r="G106" s="26" t="str">
        <x:v>TPA EXCLUDED</x:v>
      </x:c>
      <x:c r="H106" s="27" t="n">
        <x:v>184</x:v>
      </x:c>
      <x:c r="I106" s="27" t="n">
        <x:v>26</x:v>
      </x:c>
      <x:c r="J106" s="28" t="n">
        <x:v>1249.834240232325</x:v>
      </x:c>
      <x:c r="K106" s="26"/>
      <x:c r="L106" s="26" t="str">
        <x:v>insufficient_span_or_epochs</x:v>
      </x:c>
      <x:c r="M106" s="26" t="str">
        <x:v>Absent from named inventory</x:v>
      </x:c>
      <x:c r="N106" s="26" t="str">
        <x:v>Absent from named inventory</x:v>
      </x:c>
      <x:c r="O106" s="26" t="str">
        <x:v>Absent from named inventory</x:v>
      </x:c>
      <x:c r="P106" s="26"/>
      <x:c r="Q106" s="26" t="str">
        <x:v>../Project Recherche Data/tpa-batch01-20260908/selection.json</x:v>
      </x:c>
      <x:c r="R106" s="26" t="str">
        <x:v>047722e4dca24e16c44c810f43990492b2f988012ca2b4bab47826ff4c95f1db</x:v>
      </x:c>
      <x:c r="S106" s="26" t="str">
        <x:v>308eecc69af72507e9249f06baa1107474fa0f525d2df95ec2b6042492b26f3f</x:v>
      </x:c>
      <x:c r="T106" s="26" t="str">
        <x:v>7e41a6609cb4b0495951203512ce05dbf41c2505e1dc72cd5c8af2124ca70598</x:v>
      </x:c>
    </x:row>
    <x:row r="107" ht="60" customHeight="1">
      <x:c r="A107" s="26" t="str">
        <x:v>J0520-2553</x:v>
      </x:c>
      <x:c r="B107" s="26" t="str"/>
      <x:c r="C107" s="26" t="str">
        <x:v>NOT_SEARCHED</x:v>
      </x:c>
      <x:c r="D107" s="26"/>
      <x:c r="E107" s="26" t="str">
        <x:v>No observed search</x:v>
      </x:c>
      <x:c r="F107" s="26" t="str">
        <x:v>Retain exclusion for current scope</x:v>
      </x:c>
      <x:c r="G107" s="26" t="str">
        <x:v>TPA EXCLUDED</x:v>
      </x:c>
      <x:c r="H107" s="27" t="n">
        <x:v>213</x:v>
      </x:c>
      <x:c r="I107" s="27" t="n">
        <x:v>29</x:v>
      </x:c>
      <x:c r="J107" s="28" t="n">
        <x:v>1278.6502711463036</x:v>
      </x:c>
      <x:c r="K107" s="26"/>
      <x:c r="L107" s="26" t="str">
        <x:v>insufficient_span_or_epochs</x:v>
      </x:c>
      <x:c r="M107" s="26" t="str">
        <x:v>Present</x:v>
      </x:c>
      <x:c r="N107" s="26" t="str">
        <x:v>Absent from named inventory</x:v>
      </x:c>
      <x:c r="O107" s="26" t="str">
        <x:v>Absent from named inventory</x:v>
      </x:c>
      <x:c r="P107" s="26"/>
      <x:c r="Q107" s="26" t="str">
        <x:v>../Project Recherche Data/tpa-batch01-20260908/selection.json</x:v>
      </x:c>
      <x:c r="R107" s="26" t="str">
        <x:v>047722e4dca24e16c44c810f43990492b2f988012ca2b4bab47826ff4c95f1db</x:v>
      </x:c>
      <x:c r="S107" s="26" t="str">
        <x:v>37c8963cea809762e3cb923c29be1f1f65791f689ebd1fab4e223832c5d84f13</x:v>
      </x:c>
      <x:c r="T107" s="26" t="str">
        <x:v>2306db25c8bcdb6e6be8f5324d2e01ddb5548548affbd9d7d3a975c644f9cb55</x:v>
      </x:c>
    </x:row>
    <x:row r="108" ht="60" customHeight="1">
      <x:c r="A108" s="26" t="str">
        <x:v>J0525+1115</x:v>
      </x:c>
      <x:c r="B108" s="26" t="str">
        <x:v>B0523+11</x:v>
      </x:c>
      <x:c r="C108" s="26" t="str">
        <x:v>NOT_SEARCHED</x:v>
      </x:c>
      <x:c r="D108" s="26"/>
      <x:c r="E108" s="26" t="str">
        <x:v>No observed search</x:v>
      </x:c>
      <x:c r="F108" s="26" t="str">
        <x:v>Retain exclusion for current scope</x:v>
      </x:c>
      <x:c r="G108" s="26" t="str">
        <x:v>TPA EXCLUDED</x:v>
      </x:c>
      <x:c r="H108" s="27" t="n">
        <x:v>198</x:v>
      </x:c>
      <x:c r="I108" s="27" t="n">
        <x:v>25</x:v>
      </x:c>
      <x:c r="J108" s="28" t="n">
        <x:v>1258.7340427852832</x:v>
      </x:c>
      <x:c r="K108" s="26"/>
      <x:c r="L108" s="26" t="str">
        <x:v>insufficient_span_or_epochs</x:v>
      </x:c>
      <x:c r="M108" s="26" t="str">
        <x:v>Present</x:v>
      </x:c>
      <x:c r="N108" s="26" t="str">
        <x:v>Absent from named inventory</x:v>
      </x:c>
      <x:c r="O108" s="26" t="str">
        <x:v>Absent from named inventory</x:v>
      </x:c>
      <x:c r="P108" s="26"/>
      <x:c r="Q108" s="26" t="str">
        <x:v>../Project Recherche Data/tpa-batch01-20260908/selection.json</x:v>
      </x:c>
      <x:c r="R108" s="26" t="str">
        <x:v>047722e4dca24e16c44c810f43990492b2f988012ca2b4bab47826ff4c95f1db</x:v>
      </x:c>
      <x:c r="S108" s="26" t="str">
        <x:v>e9b10afb2a8201aba490d48a50d9171fff2f897fd75b592b0d0a3c0638fa4b6a</x:v>
      </x:c>
      <x:c r="T108" s="26" t="str">
        <x:v>e5faa587c4f8e5531809f5d54f2d63111432ff1540162fe6e6d3c8580e4993a0</x:v>
      </x:c>
    </x:row>
    <x:row r="109" ht="60" customHeight="1">
      <x:c r="A109" s="26" t="str">
        <x:v>J0533+0402</x:v>
      </x:c>
      <x:c r="B109" s="26" t="str"/>
      <x:c r="C109" s="26" t="str">
        <x:v>NOT_SEARCHED</x:v>
      </x:c>
      <x:c r="D109" s="26"/>
      <x:c r="E109" s="26" t="str">
        <x:v>No observed search</x:v>
      </x:c>
      <x:c r="F109" s="26" t="str">
        <x:v>Retain exclusion for current scope</x:v>
      </x:c>
      <x:c r="G109" s="26" t="str">
        <x:v>TPA EXCLUDED</x:v>
      </x:c>
      <x:c r="H109" s="27" t="n">
        <x:v>216</x:v>
      </x:c>
      <x:c r="I109" s="27" t="n">
        <x:v>27</x:v>
      </x:c>
      <x:c r="J109" s="28" t="n">
        <x:v>1278.658214455194</x:v>
      </x:c>
      <x:c r="K109" s="26"/>
      <x:c r="L109" s="26" t="str">
        <x:v>insufficient_span_or_epochs</x:v>
      </x:c>
      <x:c r="M109" s="26" t="str">
        <x:v>Absent from named inventory</x:v>
      </x:c>
      <x:c r="N109" s="26" t="str">
        <x:v>Absent from named inventory</x:v>
      </x:c>
      <x:c r="O109" s="26" t="str">
        <x:v>Absent from named inventory</x:v>
      </x:c>
      <x:c r="P109" s="26"/>
      <x:c r="Q109" s="26" t="str">
        <x:v>../Project Recherche Data/tpa-batch01-20260908/selection.json</x:v>
      </x:c>
      <x:c r="R109" s="26" t="str">
        <x:v>047722e4dca24e16c44c810f43990492b2f988012ca2b4bab47826ff4c95f1db</x:v>
      </x:c>
      <x:c r="S109" s="26" t="str">
        <x:v>4e065891ea7e30011b97425a40debfa67a5d4b56dbab90fb17ceea7f56cb12ce</x:v>
      </x:c>
      <x:c r="T109" s="26" t="str">
        <x:v>747db17c8b67ed1d73578f9de40c681dde152629e87f15833b86df8ad93daf09</x:v>
      </x:c>
    </x:row>
    <x:row r="110" ht="39.599998474121094" hidden="0" customHeight="1">
      <x:c r="A110" s="26" t="str">
        <x:v>J0536-7543</x:v>
      </x:c>
      <x:c r="B110" s="26" t="str">
        <x:v>B0538-75</x:v>
      </x:c>
      <x:c r="C110" s="26" t="str">
        <x:v>NO_TRIGGER</x:v>
      </x:c>
      <x:c r="D110" s="26" t="str">
        <x:v>utmost-batch03-20260909-J0536-7543-run01</x:v>
      </x:c>
      <x:c r="E110" s="26" t="str">
        <x:v>No qualifying signal in eligible 30–400-day cells</x:v>
      </x:c>
      <x:c r="F110" s="26" t="str">
        <x:v>Retain result with low-scatter preparation warning (reduced chi-square 0.129124). Published-noise sensitivity is conditional; future noise changes require separate scope.</x:v>
      </x:c>
      <x:c r="G110" s="26" t="str">
        <x:v>UTMOST SEARCHED</x:v>
      </x:c>
      <x:c r="H110" s="27" t="n">
        <x:v>221</x:v>
      </x:c>
      <x:c r="I110" s="27" t="n">
        <x:v>28</x:v>
      </x:c>
      <x:c r="J110" s="28" t="n">
        <x:v>1258.7476919142573</x:v>
      </x:c>
      <x:c r="K110" s="26"/>
      <x:c r="L110" s="26" t="str">
        <x:v>insufficient_span_or_epochs</x:v>
      </x:c>
      <x:c r="M110" s="26" t="str">
        <x:v>Absent from named inventory</x:v>
      </x:c>
      <x:c r="N110" s="26" t="str">
        <x:v>Absent from named inventory</x:v>
      </x:c>
      <x:c r="O110" s="26" t="str">
        <x:v>Absent from named inventory</x:v>
      </x:c>
      <x:c r="P110" s="26"/>
      <x:c r="Q110" s="26" t="str">
        <x:v>../Project Recherche Data/tpa-batch01-20260908/selection.json</x:v>
      </x:c>
      <x:c r="R110" s="26" t="str">
        <x:v>047722e4dca24e16c44c810f43990492b2f988012ca2b4bab47826ff4c95f1db</x:v>
      </x:c>
      <x:c r="S110" s="26" t="str">
        <x:v>2907df5d54dd19ca7ee89f0fdf9629bb3084b4bd80a74925bdf2afc86933ce73</x:v>
      </x:c>
      <x:c r="T110" s="26" t="str">
        <x:v>d69c86f58e3cb31521105d9f38a0a8d54c29602c5448890901bd818e809ebabc</x:v>
      </x:c>
    </x:row>
    <x:row r="111" ht="60" customHeight="1">
      <x:c r="A111" s="26" t="str">
        <x:v>J0601-0527</x:v>
      </x:c>
      <x:c r="B111" s="26" t="str">
        <x:v>B0559-05</x:v>
      </x:c>
      <x:c r="C111" s="26" t="str">
        <x:v>NO_TRIGGER</x:v>
      </x:c>
      <x:c r="D111" s="26" t="str">
        <x:v>utmost-batch03-20260909-J0601-0527-run01</x:v>
      </x:c>
      <x:c r="E111" s="26" t="str">
        <x:v>No qualifying signal in eligible 30–400-day cells</x:v>
      </x:c>
      <x:c r="F111" s="26" t="str">
        <x:v>Retain result; consider independent data or a separately defined new scope</x:v>
      </x:c>
      <x:c r="G111" s="26" t="str">
        <x:v>UTMOST SEARCHED</x:v>
      </x:c>
      <x:c r="H111" s="27" t="n">
        <x:v>96</x:v>
      </x:c>
      <x:c r="I111" s="27" t="n">
        <x:v>12</x:v>
      </x:c>
      <x:c r="J111" s="28" t="n">
        <x:v>489.7044408176298</x:v>
      </x:c>
      <x:c r="K111" s="26"/>
      <x:c r="L111" s="26" t="str">
        <x:v>insufficient_span_or_epochs</x:v>
      </x:c>
      <x:c r="M111" s="26" t="str">
        <x:v>Present</x:v>
      </x:c>
      <x:c r="N111" s="26" t="str">
        <x:v>Absent from named inventory</x:v>
      </x:c>
      <x:c r="O111" s="26" t="str">
        <x:v>Absent from named inventory</x:v>
      </x:c>
      <x:c r="P111" s="26"/>
      <x:c r="Q111" s="26" t="str">
        <x:v>../Project Recherche Data/tpa-batch01-20260908/selection.json</x:v>
      </x:c>
      <x:c r="R111" s="26" t="str">
        <x:v>047722e4dca24e16c44c810f43990492b2f988012ca2b4bab47826ff4c95f1db</x:v>
      </x:c>
      <x:c r="S111" s="26" t="str">
        <x:v>636bbf1d060211bf2af1974229634038269954c82e46efce9d323b9d570a5e07</x:v>
      </x:c>
      <x:c r="T111" s="26" t="str">
        <x:v>f6b5d03c711c1cb3dc9cd7eb3aa1e22fcce9286faa0c598077ef287948e9ff69</x:v>
      </x:c>
    </x:row>
    <x:row r="112" ht="60" customHeight="1">
      <x:c r="A112" s="26" t="str">
        <x:v>J0621+0336</x:v>
      </x:c>
      <x:c r="B112" s="26" t="str"/>
      <x:c r="C112" s="26" t="str">
        <x:v>NOT_SEARCHED</x:v>
      </x:c>
      <x:c r="D112" s="26"/>
      <x:c r="E112" s="26" t="str">
        <x:v>No observed search</x:v>
      </x:c>
      <x:c r="F112" s="26" t="str">
        <x:v>Retain exclusion for current scope</x:v>
      </x:c>
      <x:c r="G112" s="26" t="str">
        <x:v>TPA EXCLUDED</x:v>
      </x:c>
      <x:c r="H112" s="27" t="n">
        <x:v>207</x:v>
      </x:c>
      <x:c r="I112" s="27" t="n">
        <x:v>27</x:v>
      </x:c>
      <x:c r="J112" s="28" t="n">
        <x:v>1278.6571186129368</x:v>
      </x:c>
      <x:c r="K112" s="26"/>
      <x:c r="L112" s="26" t="str">
        <x:v>insufficient_span_or_epochs</x:v>
      </x:c>
      <x:c r="M112" s="26" t="str">
        <x:v>Absent from named inventory</x:v>
      </x:c>
      <x:c r="N112" s="26" t="str">
        <x:v>Absent from named inventory</x:v>
      </x:c>
      <x:c r="O112" s="26" t="str">
        <x:v>Absent from named inventory</x:v>
      </x:c>
      <x:c r="P112" s="26"/>
      <x:c r="Q112" s="26" t="str">
        <x:v>../Project Recherche Data/tpa-batch01-20260908/selection.json</x:v>
      </x:c>
      <x:c r="R112" s="26" t="str">
        <x:v>047722e4dca24e16c44c810f43990492b2f988012ca2b4bab47826ff4c95f1db</x:v>
      </x:c>
      <x:c r="S112" s="26" t="str">
        <x:v>b92144b8c520ec8807a0c38d3458a122c5717ca832f467d0733ead0f2ff82201</x:v>
      </x:c>
      <x:c r="T112" s="26" t="str">
        <x:v>1998ef7a66a34b55b4b4d9b9c8b5ab2d4f5e151bee746cb0592d9e3fd4737df9</x:v>
      </x:c>
    </x:row>
    <x:row r="113" ht="60" customHeight="1">
      <x:c r="A113" s="26" t="str">
        <x:v>J0624-0424</x:v>
      </x:c>
      <x:c r="B113" s="26" t="str">
        <x:v>B0621-04</x:v>
      </x:c>
      <x:c r="C113" s="26" t="str">
        <x:v>NOT_SEARCHED</x:v>
      </x:c>
      <x:c r="D113" s="26"/>
      <x:c r="E113" s="26" t="str">
        <x:v>No observed search</x:v>
      </x:c>
      <x:c r="F113" s="26" t="str">
        <x:v>Retain exclusion for current scope</x:v>
      </x:c>
      <x:c r="G113" s="26" t="str">
        <x:v>TPA EXCLUDED</x:v>
      </x:c>
      <x:c r="H113" s="27" t="n">
        <x:v>207</x:v>
      </x:c>
      <x:c r="I113" s="27" t="n">
        <x:v>26</x:v>
      </x:c>
      <x:c r="J113" s="28" t="n">
        <x:v>1227.8448486831476</x:v>
      </x:c>
      <x:c r="K113" s="26"/>
      <x:c r="L113" s="26" t="str">
        <x:v>insufficient_span_or_epochs</x:v>
      </x:c>
      <x:c r="M113" s="26" t="str">
        <x:v>Present</x:v>
      </x:c>
      <x:c r="N113" s="26" t="str">
        <x:v>Absent from named inventory</x:v>
      </x:c>
      <x:c r="O113" s="26" t="str">
        <x:v>Absent from named inventory</x:v>
      </x:c>
      <x:c r="P113" s="26"/>
      <x:c r="Q113" s="26" t="str">
        <x:v>../Project Recherche Data/tpa-batch01-20260908/selection.json</x:v>
      </x:c>
      <x:c r="R113" s="26" t="str">
        <x:v>047722e4dca24e16c44c810f43990492b2f988012ca2b4bab47826ff4c95f1db</x:v>
      </x:c>
      <x:c r="S113" s="26" t="str">
        <x:v>2e93839e8a3607cd3b1acb131d2296ff8a0595f7a8d1a10c880ad89e8d356d2a</x:v>
      </x:c>
      <x:c r="T113" s="26" t="str">
        <x:v>faa6019ae2945e80bfd048cf2c8b7131e717d1b05d0a244f2f5a62f877dd0c16</x:v>
      </x:c>
    </x:row>
    <x:row r="114" ht="60" customHeight="1">
      <x:c r="A114" s="26" t="str">
        <x:v>J0627+0649</x:v>
      </x:c>
      <x:c r="B114" s="26" t="str"/>
      <x:c r="C114" s="26" t="str">
        <x:v>NOT_SEARCHED</x:v>
      </x:c>
      <x:c r="D114" s="26"/>
      <x:c r="E114" s="26" t="str">
        <x:v>No observed search</x:v>
      </x:c>
      <x:c r="F114" s="26" t="str">
        <x:v>Retain exclusion for current scope</x:v>
      </x:c>
      <x:c r="G114" s="26" t="str">
        <x:v>TPA EXCLUDED</x:v>
      </x:c>
      <x:c r="H114" s="27" t="n">
        <x:v>216</x:v>
      </x:c>
      <x:c r="I114" s="27" t="n">
        <x:v>27</x:v>
      </x:c>
      <x:c r="J114" s="28" t="n">
        <x:v>1278.6576986793661</x:v>
      </x:c>
      <x:c r="K114" s="26"/>
      <x:c r="L114" s="26" t="str">
        <x:v>insufficient_span_or_epochs</x:v>
      </x:c>
      <x:c r="M114" s="26" t="str">
        <x:v>Present</x:v>
      </x:c>
      <x:c r="N114" s="26" t="str">
        <x:v>Absent from named inventory</x:v>
      </x:c>
      <x:c r="O114" s="26" t="str">
        <x:v>Absent from named inventory</x:v>
      </x:c>
      <x:c r="P114" s="26"/>
      <x:c r="Q114" s="26" t="str">
        <x:v>../Project Recherche Data/tpa-batch01-20260908/selection.json</x:v>
      </x:c>
      <x:c r="R114" s="26" t="str">
        <x:v>047722e4dca24e16c44c810f43990492b2f988012ca2b4bab47826ff4c95f1db</x:v>
      </x:c>
      <x:c r="S114" s="26" t="str">
        <x:v>96387e5f31bb34682340437f9fd203a0b2fe855542161888bd37bf83495f5128</x:v>
      </x:c>
      <x:c r="T114" s="26" t="str">
        <x:v>c44b9ef85bc6b9cb4d94a8726c7d866728b994704c8e73452f78e479a816d2c9</x:v>
      </x:c>
    </x:row>
    <x:row r="115" ht="60" customHeight="1">
      <x:c r="A115" s="26" t="str">
        <x:v>J0627+0706</x:v>
      </x:c>
      <x:c r="B115" s="26" t="str"/>
      <x:c r="C115" s="26" t="str">
        <x:v>NOT_SEARCHED</x:v>
      </x:c>
      <x:c r="D115" s="26"/>
      <x:c r="E115" s="26" t="str">
        <x:v>No observed search</x:v>
      </x:c>
      <x:c r="F115" s="26" t="str">
        <x:v>Retain exclusion for current scope</x:v>
      </x:c>
      <x:c r="G115" s="26" t="str">
        <x:v>TPA EXCLUDED</x:v>
      </x:c>
      <x:c r="H115" s="27" t="n">
        <x:v>86</x:v>
      </x:c>
      <x:c r="I115" s="27" t="n">
        <x:v>11</x:v>
      </x:c>
      <x:c r="J115" s="28" t="n">
        <x:v>464.79748003766144</x:v>
      </x:c>
      <x:c r="K115" s="26"/>
      <x:c r="L115" s="26" t="str">
        <x:v>insufficient_span_or_epochs</x:v>
      </x:c>
      <x:c r="M115" s="26" t="str">
        <x:v>Present</x:v>
      </x:c>
      <x:c r="N115" s="26" t="str">
        <x:v>Absent from named inventory</x:v>
      </x:c>
      <x:c r="O115" s="26" t="str">
        <x:v>Absent from named inventory</x:v>
      </x:c>
      <x:c r="P115" s="26"/>
      <x:c r="Q115" s="26" t="str">
        <x:v>../Project Recherche Data/tpa-batch01-20260908/selection.json</x:v>
      </x:c>
      <x:c r="R115" s="26" t="str">
        <x:v>047722e4dca24e16c44c810f43990492b2f988012ca2b4bab47826ff4c95f1db</x:v>
      </x:c>
      <x:c r="S115" s="26" t="str">
        <x:v>7e32401aa31e0797b0799fd621a39971be8758d4da7b9c761eada7d43eb88e64</x:v>
      </x:c>
      <x:c r="T115" s="26" t="str">
        <x:v>f91407999ef8929079712c62ed2c3fec688660956735e49e12ed6ebfe7535233</x:v>
      </x:c>
    </x:row>
    <x:row r="116" ht="60" customHeight="1">
      <x:c r="A116" s="26" t="str">
        <x:v>J0630-2834</x:v>
      </x:c>
      <x:c r="B116" s="26" t="str">
        <x:v>B0628-28</x:v>
      </x:c>
      <x:c r="C116" s="26" t="str">
        <x:v>NO_TRIGGER</x:v>
      </x:c>
      <x:c r="D116" s="26" t="str">
        <x:v>utmost-batch04-20260909-J0630-2834-run01</x:v>
      </x:c>
      <x:c r="E116" s="26" t="str">
        <x:v>No qualifying signal in eligible 30–400-day cells</x:v>
      </x:c>
      <x:c r="F116" s="26" t="str">
        <x:v>Retain result; consider independent data or a separately defined new scope</x:v>
      </x:c>
      <x:c r="G116" s="26" t="str">
        <x:v>UTMOST SEARCHED</x:v>
      </x:c>
      <x:c r="H116" s="27" t="n">
        <x:v>230</x:v>
      </x:c>
      <x:c r="I116" s="27" t="n">
        <x:v>30</x:v>
      </x:c>
      <x:c r="J116" s="28" t="n">
        <x:v>1443.9422669976702</x:v>
      </x:c>
      <x:c r="K116" s="26"/>
      <x:c r="L116" s="26" t="str">
        <x:v>insufficient_span_or_epochs</x:v>
      </x:c>
      <x:c r="M116" s="26" t="str">
        <x:v>Present</x:v>
      </x:c>
      <x:c r="N116" s="26" t="str">
        <x:v>Absent from named inventory</x:v>
      </x:c>
      <x:c r="O116" s="26" t="str">
        <x:v>Absent from named inventory</x:v>
      </x:c>
      <x:c r="P116" s="26"/>
      <x:c r="Q116" s="26" t="str">
        <x:v>../Project Recherche Data/tpa-batch01-20260908/selection.json</x:v>
      </x:c>
      <x:c r="R116" s="26" t="str">
        <x:v>047722e4dca24e16c44c810f43990492b2f988012ca2b4bab47826ff4c95f1db</x:v>
      </x:c>
      <x:c r="S116" s="26" t="str">
        <x:v>7fc1564f568c2a1e42e1728fdc781a6a2bd173418a81b056f847af6f3605a126</x:v>
      </x:c>
      <x:c r="T116" s="26" t="str">
        <x:v>60b9d41cb42e59c9ff42d643d2a20f8df72bc0e613bd81b9db58cfcda9f7b19b</x:v>
      </x:c>
    </x:row>
    <x:row r="117" ht="60" customHeight="1">
      <x:c r="A117" s="26" t="str">
        <x:v>J0631+1036</x:v>
      </x:c>
      <x:c r="B117" s="26" t="str"/>
      <x:c r="C117" s="26" t="str">
        <x:v>NOT_SEARCHED</x:v>
      </x:c>
      <x:c r="D117" s="26"/>
      <x:c r="E117" s="26" t="str">
        <x:v>No observed search</x:v>
      </x:c>
      <x:c r="F117" s="26" t="str">
        <x:v>Retain exclusion for current scope</x:v>
      </x:c>
      <x:c r="G117" s="26" t="str">
        <x:v>TPA EXCLUDED</x:v>
      </x:c>
      <x:c r="H117" s="27" t="n">
        <x:v>207</x:v>
      </x:c>
      <x:c r="I117" s="27" t="n">
        <x:v>26</x:v>
      </x:c>
      <x:c r="J117" s="28" t="n">
        <x:v>1233.8160482016028</x:v>
      </x:c>
      <x:c r="K117" s="26"/>
      <x:c r="L117" s="26" t="str">
        <x:v>insufficient_span_or_epochs</x:v>
      </x:c>
      <x:c r="M117" s="26" t="str">
        <x:v>Present</x:v>
      </x:c>
      <x:c r="N117" s="26" t="str">
        <x:v>Absent from named inventory</x:v>
      </x:c>
      <x:c r="O117" s="26" t="str">
        <x:v>Absent from named inventory</x:v>
      </x:c>
      <x:c r="P117" s="26"/>
      <x:c r="Q117" s="26" t="str">
        <x:v>../Project Recherche Data/tpa-batch01-20260908/selection.json</x:v>
      </x:c>
      <x:c r="R117" s="26" t="str">
        <x:v>047722e4dca24e16c44c810f43990492b2f988012ca2b4bab47826ff4c95f1db</x:v>
      </x:c>
      <x:c r="S117" s="26" t="str">
        <x:v>fa4ea05b400e8e5a3142706bb41deef3506d2b7874a0919602c9a4cb14edc102</x:v>
      </x:c>
      <x:c r="T117" s="26" t="str">
        <x:v>419018bbe108dac8002ec69aa4360bb76284a1dc5ab0e4aaa799bd6aa11d496b</x:v>
      </x:c>
    </x:row>
    <x:row r="118" ht="60" customHeight="1">
      <x:c r="A118" s="26" t="str">
        <x:v>J0646+0905</x:v>
      </x:c>
      <x:c r="B118" s="26" t="str"/>
      <x:c r="C118" s="26" t="str">
        <x:v>NOT_SEARCHED</x:v>
      </x:c>
      <x:c r="D118" s="26"/>
      <x:c r="E118" s="26" t="str">
        <x:v>No observed search</x:v>
      </x:c>
      <x:c r="F118" s="26" t="str">
        <x:v>Retain exclusion for current scope</x:v>
      </x:c>
      <x:c r="G118" s="26" t="str">
        <x:v>TPA EXCLUDED</x:v>
      </x:c>
      <x:c r="H118" s="27" t="n">
        <x:v>216</x:v>
      </x:c>
      <x:c r="I118" s="27" t="n">
        <x:v>27</x:v>
      </x:c>
      <x:c r="J118" s="28" t="n">
        <x:v>1278.6581769348923</x:v>
      </x:c>
      <x:c r="K118" s="26"/>
      <x:c r="L118" s="26" t="str">
        <x:v>insufficient_span_or_epochs</x:v>
      </x:c>
      <x:c r="M118" s="26" t="str">
        <x:v>Present</x:v>
      </x:c>
      <x:c r="N118" s="26" t="str">
        <x:v>Absent from named inventory</x:v>
      </x:c>
      <x:c r="O118" s="26" t="str">
        <x:v>Absent from named inventory</x:v>
      </x:c>
      <x:c r="P118" s="26"/>
      <x:c r="Q118" s="26" t="str">
        <x:v>../Project Recherche Data/tpa-batch01-20260908/selection.json</x:v>
      </x:c>
      <x:c r="R118" s="26" t="str">
        <x:v>047722e4dca24e16c44c810f43990492b2f988012ca2b4bab47826ff4c95f1db</x:v>
      </x:c>
      <x:c r="S118" s="26" t="str">
        <x:v>75d73b0cf9ed968ad31ebacefcd1fba526fb11d05a5ae7ba74ba8e580ac98189</x:v>
      </x:c>
      <x:c r="T118" s="26" t="str">
        <x:v>809131c38c0f385743aa00ba950354aeb2f881850b6c16048ffc676310825f03</x:v>
      </x:c>
    </x:row>
    <x:row r="119" ht="60" customHeight="1">
      <x:c r="A119" s="26" t="str">
        <x:v>J0656-2228</x:v>
      </x:c>
      <x:c r="B119" s="26" t="str"/>
      <x:c r="C119" s="26" t="str">
        <x:v>NOT_SEARCHED</x:v>
      </x:c>
      <x:c r="D119" s="26"/>
      <x:c r="E119" s="26" t="str">
        <x:v>No observed search</x:v>
      </x:c>
      <x:c r="F119" s="26" t="str">
        <x:v>Retain exclusion for current scope</x:v>
      </x:c>
      <x:c r="G119" s="26" t="str">
        <x:v>TPA EXCLUDED</x:v>
      </x:c>
      <x:c r="H119" s="27" t="n">
        <x:v>214</x:v>
      </x:c>
      <x:c r="I119" s="27" t="n">
        <x:v>28</x:v>
      </x:c>
      <x:c r="J119" s="28" t="n">
        <x:v>1258.7104844440328</x:v>
      </x:c>
      <x:c r="K119" s="26"/>
      <x:c r="L119" s="26" t="str">
        <x:v>insufficient_span_or_epochs</x:v>
      </x:c>
      <x:c r="M119" s="26" t="str">
        <x:v>Absent from named inventory</x:v>
      </x:c>
      <x:c r="N119" s="26" t="str">
        <x:v>Absent from named inventory</x:v>
      </x:c>
      <x:c r="O119" s="26" t="str">
        <x:v>Absent from named inventory</x:v>
      </x:c>
      <x:c r="P119" s="26"/>
      <x:c r="Q119" s="26" t="str">
        <x:v>../Project Recherche Data/tpa-batch01-20260908/selection.json</x:v>
      </x:c>
      <x:c r="R119" s="26" t="str">
        <x:v>047722e4dca24e16c44c810f43990492b2f988012ca2b4bab47826ff4c95f1db</x:v>
      </x:c>
      <x:c r="S119" s="26" t="str">
        <x:v>5e335858584c3023aa0625454c78109836dc9678f064f75847c31e5a0485f09e</x:v>
      </x:c>
      <x:c r="T119" s="26" t="str">
        <x:v>9ded4e9450bc301e947e8da23b7d6c7d62f7dce0b6f689d52c3c0466bb314f50</x:v>
      </x:c>
    </x:row>
    <x:row r="120" ht="60" customHeight="1">
      <x:c r="A120" s="26" t="str">
        <x:v>J0656-5449</x:v>
      </x:c>
      <x:c r="B120" s="26" t="str"/>
      <x:c r="C120" s="26" t="str">
        <x:v>NOT_SEARCHED</x:v>
      </x:c>
      <x:c r="D120" s="26"/>
      <x:c r="E120" s="26" t="str">
        <x:v>No observed search</x:v>
      </x:c>
      <x:c r="F120" s="26" t="str">
        <x:v>Retain exclusion for current scope</x:v>
      </x:c>
      <x:c r="G120" s="26" t="str">
        <x:v>TPA EXCLUDED</x:v>
      </x:c>
      <x:c r="H120" s="27" t="n">
        <x:v>220</x:v>
      </x:c>
      <x:c r="I120" s="27" t="n">
        <x:v>28</x:v>
      </x:c>
      <x:c r="J120" s="28" t="n">
        <x:v>1416.3079657005364</x:v>
      </x:c>
      <x:c r="K120" s="26"/>
      <x:c r="L120" s="26" t="str">
        <x:v>insufficient_span_or_epochs</x:v>
      </x:c>
      <x:c r="M120" s="26" t="str">
        <x:v>Absent from named inventory</x:v>
      </x:c>
      <x:c r="N120" s="26" t="str">
        <x:v>Absent from named inventory</x:v>
      </x:c>
      <x:c r="O120" s="26" t="str">
        <x:v>Absent from named inventory</x:v>
      </x:c>
      <x:c r="P120" s="26"/>
      <x:c r="Q120" s="26" t="str">
        <x:v>../Project Recherche Data/tpa-batch01-20260908/selection.json</x:v>
      </x:c>
      <x:c r="R120" s="26" t="str">
        <x:v>047722e4dca24e16c44c810f43990492b2f988012ca2b4bab47826ff4c95f1db</x:v>
      </x:c>
      <x:c r="S120" s="26" t="str">
        <x:v>67e535514756f5a05e192c66d35f799be5381e101530e1f072e69ebe714b110a</x:v>
      </x:c>
      <x:c r="T120" s="26" t="str">
        <x:v>136e0f12c3d4e27fbf089ff462916406565c9cc9cdc3f2f80dc6f069ef37e7f3</x:v>
      </x:c>
    </x:row>
    <x:row r="121" ht="60" customHeight="1">
      <x:c r="A121" s="26" t="str">
        <x:v>J0659+1414</x:v>
      </x:c>
      <x:c r="B121" s="26" t="str">
        <x:v>B0656+14</x:v>
      </x:c>
      <x:c r="C121" s="26" t="str">
        <x:v>NOT_SEARCHED</x:v>
      </x:c>
      <x:c r="D121" s="26"/>
      <x:c r="E121" s="26" t="str">
        <x:v>No observed search</x:v>
      </x:c>
      <x:c r="F121" s="26" t="str">
        <x:v>Retain exclusion for current scope</x:v>
      </x:c>
      <x:c r="G121" s="26" t="str">
        <x:v>TPA EXCLUDED</x:v>
      </x:c>
      <x:c r="H121" s="27" t="n">
        <x:v>88</x:v>
      </x:c>
      <x:c r="I121" s="27" t="n">
        <x:v>11</x:v>
      </x:c>
      <x:c r="J121" s="28" t="n">
        <x:v>489.6991957050632</x:v>
      </x:c>
      <x:c r="K121" s="26"/>
      <x:c r="L121" s="26" t="str">
        <x:v>insufficient_span_or_epochs</x:v>
      </x:c>
      <x:c r="M121" s="26" t="str">
        <x:v>Present</x:v>
      </x:c>
      <x:c r="N121" s="26" t="str">
        <x:v>Absent from named inventory</x:v>
      </x:c>
      <x:c r="O121" s="26" t="str">
        <x:v>Absent from named inventory</x:v>
      </x:c>
      <x:c r="P121" s="26"/>
      <x:c r="Q121" s="26" t="str">
        <x:v>../Project Recherche Data/tpa-batch01-20260908/selection.json</x:v>
      </x:c>
      <x:c r="R121" s="26" t="str">
        <x:v>047722e4dca24e16c44c810f43990492b2f988012ca2b4bab47826ff4c95f1db</x:v>
      </x:c>
      <x:c r="S121" s="26" t="str">
        <x:v>69b7f18a5d576b8acc280315385ad0910fdc951b6a74487bb4103d5595dd2c23</x:v>
      </x:c>
      <x:c r="T121" s="26" t="str">
        <x:v>697ee0ecfa6d138bd218b0563ff0d16ee8a9f47f169d784149928c1ce44ce174</x:v>
      </x:c>
    </x:row>
    <x:row r="122" ht="60" customHeight="1">
      <x:c r="A122" s="26" t="str">
        <x:v>J0719-2545</x:v>
      </x:c>
      <x:c r="B122" s="26" t="str"/>
      <x:c r="C122" s="26" t="str">
        <x:v>NOT_SEARCHED</x:v>
      </x:c>
      <x:c r="D122" s="26"/>
      <x:c r="E122" s="26" t="str">
        <x:v>No observed search</x:v>
      </x:c>
      <x:c r="F122" s="26" t="str">
        <x:v>Retain exclusion for current scope</x:v>
      </x:c>
      <x:c r="G122" s="26" t="str">
        <x:v>TPA EXCLUDED</x:v>
      </x:c>
      <x:c r="H122" s="27" t="n">
        <x:v>232</x:v>
      </x:c>
      <x:c r="I122" s="27" t="n">
        <x:v>29</x:v>
      </x:c>
      <x:c r="J122" s="28" t="n">
        <x:v>1278.638845187852</x:v>
      </x:c>
      <x:c r="K122" s="26"/>
      <x:c r="L122" s="26" t="str">
        <x:v>insufficient_span_or_epochs</x:v>
      </x:c>
      <x:c r="M122" s="26" t="str">
        <x:v>Absent from named inventory</x:v>
      </x:c>
      <x:c r="N122" s="26" t="str">
        <x:v>Absent from named inventory</x:v>
      </x:c>
      <x:c r="O122" s="26" t="str">
        <x:v>Absent from named inventory</x:v>
      </x:c>
      <x:c r="P122" s="26"/>
      <x:c r="Q122" s="26" t="str">
        <x:v>../Project Recherche Data/tpa-batch01-20260908/selection.json</x:v>
      </x:c>
      <x:c r="R122" s="26" t="str">
        <x:v>047722e4dca24e16c44c810f43990492b2f988012ca2b4bab47826ff4c95f1db</x:v>
      </x:c>
      <x:c r="S122" s="26" t="str">
        <x:v>43f3c3caf438e70b6ab6a9149baa0bf0db997de79dee5460bd6010242afc2557</x:v>
      </x:c>
      <x:c r="T122" s="26" t="str">
        <x:v>05fb12a03022b7e12880e89c1a3ed8fc61079500f40032d07e57d58888b0c7b6</x:v>
      </x:c>
    </x:row>
    <x:row r="123" ht="60" customHeight="1">
      <x:c r="A123" s="26" t="str">
        <x:v>J0729-1448</x:v>
      </x:c>
      <x:c r="B123" s="26" t="str"/>
      <x:c r="C123" s="26" t="str">
        <x:v>NO_TRIGGER</x:v>
      </x:c>
      <x:c r="D123" s="26" t="str">
        <x:v>tpa-batch10-20260908-J0729-1448-run01</x:v>
      </x:c>
      <x:c r="E123" s="26" t="str">
        <x:v>No qualifying signal in eligible 30–400-day cells</x:v>
      </x:c>
      <x:c r="F123" s="26" t="str">
        <x:v>Retain result; consider independent data or a separately defined new scope</x:v>
      </x:c>
      <x:c r="G123" s="26" t="str">
        <x:v>SEARCHED</x:v>
      </x:c>
      <x:c r="H123" s="27" t="n">
        <x:v>397</x:v>
      </x:c>
      <x:c r="I123" s="27" t="n">
        <x:v>50</x:v>
      </x:c>
      <x:c r="J123" s="28" t="n">
        <x:v>1245.9298605838558</x:v>
      </x:c>
      <x:c r="K123" s="26" t="str">
        <x:v>tpa-batch10-20260908</x:v>
      </x:c>
      <x:c r="L123" s="26"/>
      <x:c r="M123" s="26" t="str">
        <x:v>Present</x:v>
      </x:c>
      <x:c r="N123" s="26" t="str">
        <x:v>Absent from named inventory</x:v>
      </x:c>
      <x:c r="O123" s="26" t="str">
        <x:v>Absent from named inventory</x:v>
      </x:c>
      <x:c r="P123" s="26"/>
      <x:c r="Q123" s="26" t="str">
        <x:v>../Project Recherche Data/tpa-batch10-20260908/selection.json</x:v>
      </x:c>
      <x:c r="R123" s="26" t="str">
        <x:v>f291b1f7787d65b8a00b6e0862fccba716fb6a5f33f3265ceaca9fa5b1fd2c2a</x:v>
      </x:c>
      <x:c r="S123" s="26" t="str">
        <x:v>5d75ac936cd814edf3ccfa1170c583d6d233f1427845bacaa3b84b98347edd8d</x:v>
      </x:c>
      <x:c r="T123" s="26" t="str">
        <x:v>d1553a29fe492390f0bac6376c4b9707fe2aea01c242698b9b297de914610344</x:v>
      </x:c>
    </x:row>
    <x:row r="124" ht="60" customHeight="1">
      <x:c r="A124" s="26" t="str">
        <x:v>J0729-1836</x:v>
      </x:c>
      <x:c r="B124" s="26" t="str">
        <x:v>B0727-18</x:v>
      </x:c>
      <x:c r="C124" s="26" t="str">
        <x:v>NOT_SEARCHED</x:v>
      </x:c>
      <x:c r="D124" s="26"/>
      <x:c r="E124" s="26" t="str">
        <x:v>No observed search</x:v>
      </x:c>
      <x:c r="F124" s="26" t="str">
        <x:v>Retain exclusion for current scope</x:v>
      </x:c>
      <x:c r="G124" s="26" t="str">
        <x:v>TPA EXCLUDED</x:v>
      </x:c>
      <x:c r="H124" s="27" t="n">
        <x:v>92</x:v>
      </x:c>
      <x:c r="I124" s="27" t="n">
        <x:v>12</x:v>
      </x:c>
      <x:c r="J124" s="28" t="n">
        <x:v>489.6959682090528</x:v>
      </x:c>
      <x:c r="K124" s="26"/>
      <x:c r="L124" s="26" t="str">
        <x:v>insufficient_span_or_epochs</x:v>
      </x:c>
      <x:c r="M124" s="26" t="str">
        <x:v>Present</x:v>
      </x:c>
      <x:c r="N124" s="26" t="str">
        <x:v>Absent from named inventory</x:v>
      </x:c>
      <x:c r="O124" s="26" t="str">
        <x:v>Absent from named inventory</x:v>
      </x:c>
      <x:c r="P124" s="26"/>
      <x:c r="Q124" s="26" t="str">
        <x:v>../Project Recherche Data/tpa-batch01-20260908/selection.json</x:v>
      </x:c>
      <x:c r="R124" s="26" t="str">
        <x:v>047722e4dca24e16c44c810f43990492b2f988012ca2b4bab47826ff4c95f1db</x:v>
      </x:c>
      <x:c r="S124" s="26" t="str">
        <x:v>4b228e7307eea3648b1ba6e402291f3d0183b210ecdeffd43b8a2b7de71aa1ca</x:v>
      </x:c>
      <x:c r="T124" s="26" t="str">
        <x:v>02fd8ae4f8c1141c3c94acc0be230031d81539540aff4086687abbea2fc6f162</x:v>
      </x:c>
    </x:row>
    <x:row r="125" ht="60" customHeight="1">
      <x:c r="A125" s="26" t="str">
        <x:v>J0737-2202</x:v>
      </x:c>
      <x:c r="B125" s="26" t="str"/>
      <x:c r="C125" s="26" t="str">
        <x:v>NOT_SEARCHED</x:v>
      </x:c>
      <x:c r="D125" s="26"/>
      <x:c r="E125" s="26" t="str">
        <x:v>No observed search</x:v>
      </x:c>
      <x:c r="F125" s="26" t="str">
        <x:v>Retain exclusion for current scope</x:v>
      </x:c>
      <x:c r="G125" s="26" t="str">
        <x:v>TPA EXCLUDED</x:v>
      </x:c>
      <x:c r="H125" s="27" t="n">
        <x:v>232</x:v>
      </x:c>
      <x:c r="I125" s="27" t="n">
        <x:v>29</x:v>
      </x:c>
      <x:c r="J125" s="28" t="n">
        <x:v>1416.3185588414053</x:v>
      </x:c>
      <x:c r="K125" s="26"/>
      <x:c r="L125" s="26" t="str">
        <x:v>insufficient_span_or_epochs</x:v>
      </x:c>
      <x:c r="M125" s="26" t="str">
        <x:v>Present</x:v>
      </x:c>
      <x:c r="N125" s="26" t="str">
        <x:v>Absent from named inventory</x:v>
      </x:c>
      <x:c r="O125" s="26" t="str">
        <x:v>Absent from named inventory</x:v>
      </x:c>
      <x:c r="P125" s="26"/>
      <x:c r="Q125" s="26" t="str">
        <x:v>../Project Recherche Data/tpa-batch01-20260908/selection.json</x:v>
      </x:c>
      <x:c r="R125" s="26" t="str">
        <x:v>047722e4dca24e16c44c810f43990492b2f988012ca2b4bab47826ff4c95f1db</x:v>
      </x:c>
      <x:c r="S125" s="26" t="str">
        <x:v>1daa47c228c3bb375ba178e05862b1d525c78c26d7b3b924ca58f181204f23c1</x:v>
      </x:c>
      <x:c r="T125" s="26" t="str">
        <x:v>069c42eeb08c55f3dbefb535e11d66bbce7262cfd9e35536e50969bda5b56409</x:v>
      </x:c>
    </x:row>
    <x:row r="126" ht="60" customHeight="1">
      <x:c r="A126" s="26" t="str">
        <x:v>J0738-4042</x:v>
      </x:c>
      <x:c r="B126" s="26" t="str">
        <x:v>B0736-40</x:v>
      </x:c>
      <x:c r="C126" s="26" t="str">
        <x:v>NO_TRIGGER</x:v>
      </x:c>
      <x:c r="D126" s="26" t="str">
        <x:v>utmost-batch02-20260909-J0738-4042-run01</x:v>
      </x:c>
      <x:c r="E126" s="26" t="str">
        <x:v>No qualifying signal in eligible 30–400-day cells</x:v>
      </x:c>
      <x:c r="F126" s="26" t="str">
        <x:v>Retain result; consider independent data or a separately defined new scope</x:v>
      </x:c>
      <x:c r="G126" s="26" t="str">
        <x:v>UTMOST SEARCHED</x:v>
      </x:c>
      <x:c r="H126" s="27" t="n">
        <x:v>104</x:v>
      </x:c>
      <x:c r="I126" s="27" t="n">
        <x:v>13</x:v>
      </x:c>
      <x:c r="J126" s="28" t="n">
        <x:v>531.3012367583142</x:v>
      </x:c>
      <x:c r="K126" s="26"/>
      <x:c r="L126" s="26" t="str">
        <x:v>insufficient_span_or_epochs</x:v>
      </x:c>
      <x:c r="M126" s="26" t="str">
        <x:v>Absent from named inventory</x:v>
      </x:c>
      <x:c r="N126" s="26" t="str">
        <x:v>Absent from named inventory</x:v>
      </x:c>
      <x:c r="O126" s="26" t="str">
        <x:v>Absent from named inventory</x:v>
      </x:c>
      <x:c r="P126" s="26"/>
      <x:c r="Q126" s="26" t="str">
        <x:v>../Project Recherche Data/tpa-batch01-20260908/selection.json</x:v>
      </x:c>
      <x:c r="R126" s="26" t="str">
        <x:v>047722e4dca24e16c44c810f43990492b2f988012ca2b4bab47826ff4c95f1db</x:v>
      </x:c>
      <x:c r="S126" s="26" t="str">
        <x:v>38d7569f9f12ff169cbdb86a1cdb5e520f063b86de62c73059040b5d05b7965a</x:v>
      </x:c>
      <x:c r="T126" s="26" t="str">
        <x:v>efb5c739ed206669f59b37b88bf4fe35b133038ee12e58aa7ff05ce760707dea</x:v>
      </x:c>
    </x:row>
    <x:row r="127" ht="26.399999618530273" hidden="0" customHeight="1">
      <x:c r="A127" s="26" t="str">
        <x:v>J0742-2822</x:v>
      </x:c>
      <x:c r="B127" s="26" t="str">
        <x:v>B0740-28</x:v>
      </x:c>
      <x:c r="C127" s="26" t="str">
        <x:v>NO_TRIGGER</x:v>
      </x:c>
      <x:c r="D127" s="26" t="str">
        <x:v>utmost-batch03-20260909-J0742-2822-run01</x:v>
      </x:c>
      <x:c r="E127" s="26" t="str">
        <x:v>No qualifying signal in eligible 30–400-day cells</x:v>
      </x:c>
      <x:c r="F127" s="26" t="str">
        <x:v>Retain consumed result and the released-pulse-number preparation repair. Consider only independent data or a separately defined scope.</x:v>
      </x:c>
      <x:c r="G127" s="26" t="str">
        <x:v>UTMOST SEARCHED</x:v>
      </x:c>
      <x:c r="H127" s="27" t="n">
        <x:v>144</x:v>
      </x:c>
      <x:c r="I127" s="27" t="n">
        <x:v>18</x:v>
      </x:c>
      <x:c r="J127" s="28" t="n">
        <x:v>695.7938615713865</x:v>
      </x:c>
      <x:c r="K127" s="26"/>
      <x:c r="L127" s="26" t="str">
        <x:v>insufficient_span_or_epochs</x:v>
      </x:c>
      <x:c r="M127" s="26" t="str">
        <x:v>Present</x:v>
      </x:c>
      <x:c r="N127" s="26" t="str">
        <x:v>Absent from named inventory</x:v>
      </x:c>
      <x:c r="O127" s="26" t="str">
        <x:v>Absent from named inventory</x:v>
      </x:c>
      <x:c r="P127" s="26"/>
      <x:c r="Q127" s="26" t="str">
        <x:v>../Project Recherche Data/tpa-batch01-20260908/selection.json</x:v>
      </x:c>
      <x:c r="R127" s="26" t="str">
        <x:v>047722e4dca24e16c44c810f43990492b2f988012ca2b4bab47826ff4c95f1db</x:v>
      </x:c>
      <x:c r="S127" s="26" t="str">
        <x:v>f5cac58ec823e102e2224888e25b4224d68032cb0e0474435441b37231ec71a4</x:v>
      </x:c>
      <x:c r="T127" s="26" t="str">
        <x:v>399ca8fcdf0abe2a1db2a9018f1f0c2a3b3617e2ef255d337e3c18b1299ae2c9</x:v>
      </x:c>
    </x:row>
    <x:row r="128" ht="60" customHeight="1">
      <x:c r="A128" s="26" t="str">
        <x:v>J0749-4247</x:v>
      </x:c>
      <x:c r="B128" s="26" t="str"/>
      <x:c r="C128" s="26" t="str">
        <x:v>NO_TRIGGER</x:v>
      </x:c>
      <x:c r="D128" s="26" t="str">
        <x:v>tpa-batch05-20260908-J0749-4247-run01</x:v>
      </x:c>
      <x:c r="E128" s="26" t="str">
        <x:v>No qualifying signal in eligible 30–400-day cells</x:v>
      </x:c>
      <x:c r="F128" s="26" t="str">
        <x:v>Retain result; consider independent data or a separately defined new scope</x:v>
      </x:c>
      <x:c r="G128" s="26" t="str">
        <x:v>SEARCHED</x:v>
      </x:c>
      <x:c r="H128" s="27" t="n">
        <x:v>416</x:v>
      </x:c>
      <x:c r="I128" s="27" t="n">
        <x:v>52</x:v>
      </x:c>
      <x:c r="J128" s="28" t="n">
        <x:v>1261.905249570671</x:v>
      </x:c>
      <x:c r="K128" s="26" t="str">
        <x:v>tpa-batch05-20260908</x:v>
      </x:c>
      <x:c r="L128" s="26"/>
      <x:c r="M128" s="26" t="str">
        <x:v>Absent from named inventory</x:v>
      </x:c>
      <x:c r="N128" s="26" t="str">
        <x:v>Absent from named inventory</x:v>
      </x:c>
      <x:c r="O128" s="26" t="str">
        <x:v>Absent from named inventory</x:v>
      </x:c>
      <x:c r="P128" s="26"/>
      <x:c r="Q128" s="26" t="str">
        <x:v>../Project Recherche Data/tpa-batch05-20260908/selection.json</x:v>
      </x:c>
      <x:c r="R128" s="26" t="str">
        <x:v>1212bfb743fa2d3f16f95056ab4d3c2b52ec5dd997358fe385b8fd00313b3907</x:v>
      </x:c>
      <x:c r="S128" s="26" t="str">
        <x:v>52aad29316a571f1a425ad101807c2f419b164c5b0f3a566e66b635a40bd23f6</x:v>
      </x:c>
      <x:c r="T128" s="26" t="str">
        <x:v>02cd3348f5efffbfc689c0ac80c2e584986a223626fa3b0fcdc4d5f5e3b43ffc</x:v>
      </x:c>
    </x:row>
    <x:row r="129" ht="60" customHeight="1">
      <x:c r="A129" s="26" t="str">
        <x:v>J0758-1528</x:v>
      </x:c>
      <x:c r="B129" s="26" t="str">
        <x:v>B0756-15</x:v>
      </x:c>
      <x:c r="C129" s="26" t="str">
        <x:v>NOT_SEARCHED</x:v>
      </x:c>
      <x:c r="D129" s="26"/>
      <x:c r="E129" s="26" t="str">
        <x:v>No observed search</x:v>
      </x:c>
      <x:c r="F129" s="26" t="str">
        <x:v>Retain exclusion for current scope</x:v>
      </x:c>
      <x:c r="G129" s="26" t="str">
        <x:v>TPA EXCLUDED</x:v>
      </x:c>
      <x:c r="H129" s="27" t="n">
        <x:v>88</x:v>
      </x:c>
      <x:c r="I129" s="27" t="n">
        <x:v>11</x:v>
      </x:c>
      <x:c r="J129" s="28" t="n">
        <x:v>489.69004250671424</x:v>
      </x:c>
      <x:c r="K129" s="26"/>
      <x:c r="L129" s="26" t="str">
        <x:v>insufficient_span_or_epochs</x:v>
      </x:c>
      <x:c r="M129" s="26" t="str">
        <x:v>Present</x:v>
      </x:c>
      <x:c r="N129" s="26" t="str">
        <x:v>Absent from named inventory</x:v>
      </x:c>
      <x:c r="O129" s="26" t="str">
        <x:v>Absent from named inventory</x:v>
      </x:c>
      <x:c r="P129" s="26"/>
      <x:c r="Q129" s="26" t="str">
        <x:v>../Project Recherche Data/tpa-batch01-20260908/selection.json</x:v>
      </x:c>
      <x:c r="R129" s="26" t="str">
        <x:v>047722e4dca24e16c44c810f43990492b2f988012ca2b4bab47826ff4c95f1db</x:v>
      </x:c>
      <x:c r="S129" s="26" t="str">
        <x:v>494a3887b3173902abedfc024c19dcaed5c308ecc473a140edd670d78e0c110a</x:v>
      </x:c>
      <x:c r="T129" s="26" t="str">
        <x:v>90b4aa61d61b20f18334b3803ba5b6e30980ecbbbbdc0949cf4f3abd711bbfdf</x:v>
      </x:c>
    </x:row>
    <x:row r="130" ht="60" customHeight="1">
      <x:c r="A130" s="26" t="str">
        <x:v>J0807-5421</x:v>
      </x:c>
      <x:c r="B130" s="26" t="str"/>
      <x:c r="C130" s="26" t="str">
        <x:v>NOT_SEARCHED</x:v>
      </x:c>
      <x:c r="D130" s="26"/>
      <x:c r="E130" s="26" t="str">
        <x:v>No observed search</x:v>
      </x:c>
      <x:c r="F130" s="26" t="str">
        <x:v>Retain exclusion for current scope</x:v>
      </x:c>
      <x:c r="G130" s="26" t="str">
        <x:v>TPA EXCLUDED</x:v>
      </x:c>
      <x:c r="H130" s="27" t="n">
        <x:v>223</x:v>
      </x:c>
      <x:c r="I130" s="27" t="n">
        <x:v>28</x:v>
      </x:c>
      <x:c r="J130" s="28" t="n">
        <x:v>1249.783696128623</x:v>
      </x:c>
      <x:c r="K130" s="26"/>
      <x:c r="L130" s="26" t="str">
        <x:v>insufficient_span_or_epochs</x:v>
      </x:c>
      <x:c r="M130" s="26" t="str">
        <x:v>Absent from named inventory</x:v>
      </x:c>
      <x:c r="N130" s="26" t="str">
        <x:v>Absent from named inventory</x:v>
      </x:c>
      <x:c r="O130" s="26" t="str">
        <x:v>Absent from named inventory</x:v>
      </x:c>
      <x:c r="P130" s="26"/>
      <x:c r="Q130" s="26" t="str">
        <x:v>../Project Recherche Data/tpa-batch01-20260908/selection.json</x:v>
      </x:c>
      <x:c r="R130" s="26" t="str">
        <x:v>047722e4dca24e16c44c810f43990492b2f988012ca2b4bab47826ff4c95f1db</x:v>
      </x:c>
      <x:c r="S130" s="26" t="str">
        <x:v>ba9a965df65f2b4f0d59dc0b717e3a0d85e9b7c817cdfc931a901d0448aa613e</x:v>
      </x:c>
      <x:c r="T130" s="26" t="str">
        <x:v>1caf13753126253e248d75e2da299646db12ae49d558cef8d01ee28984cb3550</x:v>
      </x:c>
    </x:row>
    <x:row r="131" ht="60" customHeight="1">
      <x:c r="A131" s="26" t="str">
        <x:v>J0809-4753</x:v>
      </x:c>
      <x:c r="B131" s="26" t="str">
        <x:v>B0808-47</x:v>
      </x:c>
      <x:c r="C131" s="26" t="str">
        <x:v>NOT_SEARCHED</x:v>
      </x:c>
      <x:c r="D131" s="26"/>
      <x:c r="E131" s="26" t="str">
        <x:v>No observed search</x:v>
      </x:c>
      <x:c r="F131" s="26" t="str">
        <x:v>Retain exclusion for current scope</x:v>
      </x:c>
      <x:c r="G131" s="26" t="str">
        <x:v>TPA EXCLUDED</x:v>
      </x:c>
      <x:c r="H131" s="27" t="n">
        <x:v>96</x:v>
      </x:c>
      <x:c r="I131" s="27" t="n">
        <x:v>12</x:v>
      </x:c>
      <x:c r="J131" s="28" t="n">
        <x:v>489.5348502188863</x:v>
      </x:c>
      <x:c r="K131" s="26"/>
      <x:c r="L131" s="26" t="str">
        <x:v>insufficient_span_or_epochs</x:v>
      </x:c>
      <x:c r="M131" s="26" t="str">
        <x:v>Absent from named inventory</x:v>
      </x:c>
      <x:c r="N131" s="26" t="str">
        <x:v>Absent from named inventory</x:v>
      </x:c>
      <x:c r="O131" s="26" t="str">
        <x:v>Absent from named inventory</x:v>
      </x:c>
      <x:c r="P131" s="26"/>
      <x:c r="Q131" s="26" t="str">
        <x:v>../Project Recherche Data/tpa-batch01-20260908/selection.json</x:v>
      </x:c>
      <x:c r="R131" s="26" t="str">
        <x:v>047722e4dca24e16c44c810f43990492b2f988012ca2b4bab47826ff4c95f1db</x:v>
      </x:c>
      <x:c r="S131" s="26" t="str">
        <x:v>23e1d85ad5414bb70489289233679ec41c194e032f94143be0d592198f2980a6</x:v>
      </x:c>
      <x:c r="T131" s="26" t="str">
        <x:v>ece59b343804a88a17a9f5dc59a9ef0fffe2f78381d30b19869b7e68c581b6db</x:v>
      </x:c>
    </x:row>
    <x:row r="132" ht="60" customHeight="1">
      <x:c r="A132" s="26" t="str">
        <x:v>J0818-3232</x:v>
      </x:c>
      <x:c r="B132" s="26" t="str"/>
      <x:c r="C132" s="26" t="str">
        <x:v>NOT_SEARCHED</x:v>
      </x:c>
      <x:c r="D132" s="26"/>
      <x:c r="E132" s="26" t="str">
        <x:v>No observed search</x:v>
      </x:c>
      <x:c r="F132" s="26" t="str">
        <x:v>Retain exclusion for current scope</x:v>
      </x:c>
      <x:c r="G132" s="26" t="str">
        <x:v>TPA EXCLUDED</x:v>
      </x:c>
      <x:c r="H132" s="27" t="n">
        <x:v>232</x:v>
      </x:c>
      <x:c r="I132" s="27" t="n">
        <x:v>29</x:v>
      </x:c>
      <x:c r="J132" s="28" t="n">
        <x:v>1278.6394491718456</x:v>
      </x:c>
      <x:c r="K132" s="26"/>
      <x:c r="L132" s="26" t="str">
        <x:v>insufficient_span_or_epochs</x:v>
      </x:c>
      <x:c r="M132" s="26" t="str">
        <x:v>Absent from named inventory</x:v>
      </x:c>
      <x:c r="N132" s="26" t="str">
        <x:v>Absent from named inventory</x:v>
      </x:c>
      <x:c r="O132" s="26" t="str">
        <x:v>Absent from named inventory</x:v>
      </x:c>
      <x:c r="P132" s="26"/>
      <x:c r="Q132" s="26" t="str">
        <x:v>../Project Recherche Data/tpa-batch01-20260908/selection.json</x:v>
      </x:c>
      <x:c r="R132" s="26" t="str">
        <x:v>047722e4dca24e16c44c810f43990492b2f988012ca2b4bab47826ff4c95f1db</x:v>
      </x:c>
      <x:c r="S132" s="26" t="str">
        <x:v>ad2328f427f679abe0772e64eac9351fb66294c7f74a7a0a6661b7c986e7242e</x:v>
      </x:c>
      <x:c r="T132" s="26" t="str">
        <x:v>974b584b534b8da4b4edbe93d17c1b3325b7c6350c8001f7c052a5cc6685a244</x:v>
      </x:c>
    </x:row>
    <x:row r="133" ht="60" customHeight="1">
      <x:c r="A133" s="26" t="str">
        <x:v>J0820-1350</x:v>
      </x:c>
      <x:c r="B133" s="26" t="str">
        <x:v>B0818-13</x:v>
      </x:c>
      <x:c r="C133" s="26" t="str">
        <x:v>NO_TRIGGER</x:v>
      </x:c>
      <x:c r="D133" s="26" t="str">
        <x:v>utmost-batch03-20260909-J0820-1350-run01</x:v>
      </x:c>
      <x:c r="E133" s="26" t="str">
        <x:v>No qualifying signal in eligible 30–400-day cells</x:v>
      </x:c>
      <x:c r="F133" s="26" t="str">
        <x:v>Retain result; consider independent data or a separately defined new scope</x:v>
      </x:c>
      <x:c r="G133" s="26" t="str">
        <x:v>UTMOST SEARCHED</x:v>
      </x:c>
      <x:c r="H133" s="27" t="n">
        <x:v>232</x:v>
      </x:c>
      <x:c r="I133" s="27" t="n">
        <x:v>29</x:v>
      </x:c>
      <x:c r="J133" s="28" t="n">
        <x:v>1438.1284566746908</x:v>
      </x:c>
      <x:c r="K133" s="26"/>
      <x:c r="L133" s="26" t="str">
        <x:v>insufficient_span_or_epochs</x:v>
      </x:c>
      <x:c r="M133" s="26" t="str">
        <x:v>Present</x:v>
      </x:c>
      <x:c r="N133" s="26" t="str">
        <x:v>Absent from named inventory</x:v>
      </x:c>
      <x:c r="O133" s="26" t="str">
        <x:v>Absent from named inventory</x:v>
      </x:c>
      <x:c r="P133" s="26"/>
      <x:c r="Q133" s="26" t="str">
        <x:v>../Project Recherche Data/tpa-batch01-20260908/selection.json</x:v>
      </x:c>
      <x:c r="R133" s="26" t="str">
        <x:v>047722e4dca24e16c44c810f43990492b2f988012ca2b4bab47826ff4c95f1db</x:v>
      </x:c>
      <x:c r="S133" s="26" t="str">
        <x:v>1c423e3eaacc07e8460b171ece6ea5d16187e89cca688337ecf75617d44220ca</x:v>
      </x:c>
      <x:c r="T133" s="26" t="str">
        <x:v>246f73018ed5f44985a7f8b8f3174f4478c474b494072d250af5b33fc2dbdb36</x:v>
      </x:c>
    </x:row>
    <x:row r="134" ht="60" customHeight="1">
      <x:c r="A134" s="26" t="str">
        <x:v>J0820-3826</x:v>
      </x:c>
      <x:c r="B134" s="26" t="str"/>
      <x:c r="C134" s="26" t="str">
        <x:v>NOT_SEARCHED</x:v>
      </x:c>
      <x:c r="D134" s="26"/>
      <x:c r="E134" s="26" t="str">
        <x:v>No observed search</x:v>
      </x:c>
      <x:c r="F134" s="26" t="str">
        <x:v>Retain exclusion for current scope</x:v>
      </x:c>
      <x:c r="G134" s="26" t="str">
        <x:v>TPA EXCLUDED</x:v>
      </x:c>
      <x:c r="H134" s="27" t="n">
        <x:v>216</x:v>
      </x:c>
      <x:c r="I134" s="27" t="n">
        <x:v>27</x:v>
      </x:c>
      <x:c r="J134" s="28" t="n">
        <x:v>1182.9560219944397</x:v>
      </x:c>
      <x:c r="K134" s="26"/>
      <x:c r="L134" s="26" t="str">
        <x:v>insufficient_span_or_epochs</x:v>
      </x:c>
      <x:c r="M134" s="26" t="str">
        <x:v>Absent from named inventory</x:v>
      </x:c>
      <x:c r="N134" s="26" t="str">
        <x:v>Absent from named inventory</x:v>
      </x:c>
      <x:c r="O134" s="26" t="str">
        <x:v>Absent from named inventory</x:v>
      </x:c>
      <x:c r="P134" s="26"/>
      <x:c r="Q134" s="26" t="str">
        <x:v>../Project Recherche Data/tpa-batch01-20260908/selection.json</x:v>
      </x:c>
      <x:c r="R134" s="26" t="str">
        <x:v>047722e4dca24e16c44c810f43990492b2f988012ca2b4bab47826ff4c95f1db</x:v>
      </x:c>
      <x:c r="S134" s="26" t="str">
        <x:v>5a284afd502d273479ac16b77a4b8f681a967f09342475c8bd02aad8564e2cf8</x:v>
      </x:c>
      <x:c r="T134" s="26" t="str">
        <x:v>1da2213261d415dec699163ee3ef06a8a1a3654c0602dfa97a88e626ec7cd58f</x:v>
      </x:c>
    </x:row>
    <x:row r="135" ht="60" customHeight="1">
      <x:c r="A135" s="26" t="str">
        <x:v>J0820-4114</x:v>
      </x:c>
      <x:c r="B135" s="26" t="str">
        <x:v>B0818-41</x:v>
      </x:c>
      <x:c r="C135" s="26" t="str">
        <x:v>NO_TRIGGER</x:v>
      </x:c>
      <x:c r="D135" s="26" t="str">
        <x:v>utmost-batch04-20260909-J0820-4114-run01</x:v>
      </x:c>
      <x:c r="E135" s="26" t="str">
        <x:v>No qualifying signal in eligible 30–400-day cells</x:v>
      </x:c>
      <x:c r="F135" s="26" t="str">
        <x:v>Retain result; consider independent data or a separately defined new scope</x:v>
      </x:c>
      <x:c r="G135" s="26" t="str">
        <x:v>UTMOST SEARCHED</x:v>
      </x:c>
      <x:c r="H135" s="27" t="n">
        <x:v>416</x:v>
      </x:c>
      <x:c r="I135" s="27" t="n">
        <x:v>52</x:v>
      </x:c>
      <x:c r="J135" s="28" t="n">
        <x:v>1270.6594974459294</x:v>
      </x:c>
      <x:c r="K135" s="26" t="str">
        <x:v>tpa-batch06-20260908</x:v>
      </x:c>
      <x:c r="L135" s="26"/>
      <x:c r="M135" s="26" t="str">
        <x:v>Absent from named inventory</x:v>
      </x:c>
      <x:c r="N135" s="26" t="str">
        <x:v>Absent from named inventory</x:v>
      </x:c>
      <x:c r="O135" s="26" t="str">
        <x:v>Absent from named inventory</x:v>
      </x:c>
      <x:c r="P135" s="26"/>
      <x:c r="Q135" s="26" t="str">
        <x:v>../Project Recherche Data/tpa-batch06-20260908/selection.json</x:v>
      </x:c>
      <x:c r="R135" s="26" t="str">
        <x:v>aa7dc82ae2f0aa7f4ad390810d65a59ea2811f4802deb69c9130205b6466f356</x:v>
      </x:c>
      <x:c r="S135" s="26" t="str">
        <x:v>31fe1b030a8f166dd7d6d73353451a5519031f79aca6488edb80fba6ba223d45</x:v>
      </x:c>
      <x:c r="T135" s="26" t="str">
        <x:v>d1e6ce8506d13c73a61e18b851fa953ac19fb8c3bacb78feeb61cca84d600006</x:v>
      </x:c>
    </x:row>
    <x:row r="136" ht="60" customHeight="1">
      <x:c r="A136" s="26" t="str">
        <x:v>J0821-4221</x:v>
      </x:c>
      <x:c r="B136" s="26" t="str"/>
      <x:c r="C136" s="26" t="str">
        <x:v>NOT_SEARCHED</x:v>
      </x:c>
      <x:c r="D136" s="26"/>
      <x:c r="E136" s="26" t="str">
        <x:v>No observed search</x:v>
      </x:c>
      <x:c r="F136" s="26" t="str">
        <x:v>Retain exclusion for current scope</x:v>
      </x:c>
      <x:c r="G136" s="26" t="str">
        <x:v>TPA EXCLUDED</x:v>
      </x:c>
      <x:c r="H136" s="27" t="n">
        <x:v>224</x:v>
      </x:c>
      <x:c r="I136" s="27" t="n">
        <x:v>28</x:v>
      </x:c>
      <x:c r="J136" s="28" t="n">
        <x:v>1278.6388971221968</x:v>
      </x:c>
      <x:c r="K136" s="26"/>
      <x:c r="L136" s="26" t="str">
        <x:v>insufficient_span_or_epochs</x:v>
      </x:c>
      <x:c r="M136" s="26" t="str">
        <x:v>Absent from named inventory</x:v>
      </x:c>
      <x:c r="N136" s="26" t="str">
        <x:v>Absent from named inventory</x:v>
      </x:c>
      <x:c r="O136" s="26" t="str">
        <x:v>Absent from named inventory</x:v>
      </x:c>
      <x:c r="P136" s="26"/>
      <x:c r="Q136" s="26" t="str">
        <x:v>../Project Recherche Data/tpa-batch01-20260908/selection.json</x:v>
      </x:c>
      <x:c r="R136" s="26" t="str">
        <x:v>047722e4dca24e16c44c810f43990492b2f988012ca2b4bab47826ff4c95f1db</x:v>
      </x:c>
      <x:c r="S136" s="26" t="str">
        <x:v>d78af43b2990296bcd8a8ac92d1ef6a1473e68ce33c6377a77c74279207727b8</x:v>
      </x:c>
      <x:c r="T136" s="26" t="str">
        <x:v>36797bbbac75f07b7488a4ef92828972855dd32f201e9504c905ec93450aab3d</x:v>
      </x:c>
    </x:row>
    <x:row r="137" ht="60" customHeight="1">
      <x:c r="A137" s="26" t="str">
        <x:v>J0837+0610</x:v>
      </x:c>
      <x:c r="B137" s="26" t="str">
        <x:v>B0834+06</x:v>
      </x:c>
      <x:c r="C137" s="26" t="str">
        <x:v>NO_TRIGGER</x:v>
      </x:c>
      <x:c r="D137" s="26" t="str">
        <x:v>utmost-batch03-20260909-J0837+0610-run01</x:v>
      </x:c>
      <x:c r="E137" s="26" t="str">
        <x:v>No qualifying signal in eligible 30–400-day cells</x:v>
      </x:c>
      <x:c r="F137" s="26" t="str">
        <x:v>Retain result; consider independent data or a separately defined new scope</x:v>
      </x:c>
      <x:c r="G137" s="26" t="str">
        <x:v>UTMOST SEARCHED</x:v>
      </x:c>
      <x:c r="H137" s="27" t="n">
        <x:v>207</x:v>
      </x:c>
      <x:c r="I137" s="27" t="n">
        <x:v>26</x:v>
      </x:c>
      <x:c r="J137" s="28" t="n">
        <x:v>1258.571344755328</x:v>
      </x:c>
      <x:c r="K137" s="26"/>
      <x:c r="L137" s="26" t="str">
        <x:v>insufficient_span_or_epochs</x:v>
      </x:c>
      <x:c r="M137" s="26" t="str">
        <x:v>Present</x:v>
      </x:c>
      <x:c r="N137" s="26" t="str">
        <x:v>Absent from named inventory</x:v>
      </x:c>
      <x:c r="O137" s="26" t="str">
        <x:v>Absent from named inventory</x:v>
      </x:c>
      <x:c r="P137" s="26"/>
      <x:c r="Q137" s="26" t="str">
        <x:v>../Project Recherche Data/tpa-batch01-20260908/selection.json</x:v>
      </x:c>
      <x:c r="R137" s="26" t="str">
        <x:v>047722e4dca24e16c44c810f43990492b2f988012ca2b4bab47826ff4c95f1db</x:v>
      </x:c>
      <x:c r="S137" s="26" t="str">
        <x:v>57433b7faa57875dfa8afdfc0478ec6b7b982f0203c5b06fc42d39d26ad7526a</x:v>
      </x:c>
      <x:c r="T137" s="26" t="str">
        <x:v>e25b34ddf318cc5ec9c823348b71ce64b4c1605d67c8377d28e251ffb2b16598</x:v>
      </x:c>
    </x:row>
    <x:row r="138" ht="60" customHeight="1">
      <x:c r="A138" s="26" t="str">
        <x:v>J0837-4135</x:v>
      </x:c>
      <x:c r="B138" s="26" t="str">
        <x:v>B0835-41</x:v>
      </x:c>
      <x:c r="C138" s="26" t="str">
        <x:v>NO_TRIGGER</x:v>
      </x:c>
      <x:c r="D138" s="26" t="str">
        <x:v>utmost-batch02-20260909-J0837-4135-run01</x:v>
      </x:c>
      <x:c r="E138" s="26" t="str">
        <x:v>No qualifying signal in eligible 30–400-day cells</x:v>
      </x:c>
      <x:c r="F138" s="26" t="str">
        <x:v>Retain result; consider independent data or a separately defined new scope</x:v>
      </x:c>
      <x:c r="G138" s="26" t="str">
        <x:v>UTMOST SEARCHED</x:v>
      </x:c>
      <x:c r="H138" s="27" t="n">
        <x:v>95</x:v>
      </x:c>
      <x:c r="I138" s="27" t="n">
        <x:v>12</x:v>
      </x:c>
      <x:c r="J138" s="28" t="n">
        <x:v>489.53362016228493</x:v>
      </x:c>
      <x:c r="K138" s="26"/>
      <x:c r="L138" s="26" t="str">
        <x:v>insufficient_span_or_epochs</x:v>
      </x:c>
      <x:c r="M138" s="26" t="str">
        <x:v>Absent from named inventory</x:v>
      </x:c>
      <x:c r="N138" s="26" t="str">
        <x:v>Absent from named inventory</x:v>
      </x:c>
      <x:c r="O138" s="26" t="str">
        <x:v>Absent from named inventory</x:v>
      </x:c>
      <x:c r="P138" s="26"/>
      <x:c r="Q138" s="26" t="str">
        <x:v>../Project Recherche Data/tpa-batch01-20260908/selection.json</x:v>
      </x:c>
      <x:c r="R138" s="26" t="str">
        <x:v>047722e4dca24e16c44c810f43990492b2f988012ca2b4bab47826ff4c95f1db</x:v>
      </x:c>
      <x:c r="S138" s="26" t="str">
        <x:v>acba00dc15df19a9c9a88fabdcb01686f0979b46dbb2f048a0c406b95736a2d5</x:v>
      </x:c>
      <x:c r="T138" s="26" t="str">
        <x:v>2a26ef6fcb319e99ebc499a34181bec0d163e8822c2399b110693921978d7016</x:v>
      </x:c>
    </x:row>
    <x:row r="139" ht="60" customHeight="1">
      <x:c r="A139" s="26" t="str">
        <x:v>J0838-2621</x:v>
      </x:c>
      <x:c r="B139" s="26" t="str"/>
      <x:c r="C139" s="26" t="str">
        <x:v>NOT_SEARCHED</x:v>
      </x:c>
      <x:c r="D139" s="26"/>
      <x:c r="E139" s="26" t="str">
        <x:v>No observed search</x:v>
      </x:c>
      <x:c r="F139" s="26" t="str">
        <x:v>Retain exclusion for current scope</x:v>
      </x:c>
      <x:c r="G139" s="26" t="str">
        <x:v>TPA EXCLUDED</x:v>
      </x:c>
      <x:c r="H139" s="27" t="n">
        <x:v>216</x:v>
      </x:c>
      <x:c r="I139" s="27" t="n">
        <x:v>27</x:v>
      </x:c>
      <x:c r="J139" s="28" t="n">
        <x:v>1249.803798987472</x:v>
      </x:c>
      <x:c r="K139" s="26"/>
      <x:c r="L139" s="26" t="str">
        <x:v>insufficient_span_or_epochs</x:v>
      </x:c>
      <x:c r="M139" s="26" t="str">
        <x:v>Absent from named inventory</x:v>
      </x:c>
      <x:c r="N139" s="26" t="str">
        <x:v>Absent from named inventory</x:v>
      </x:c>
      <x:c r="O139" s="26" t="str">
        <x:v>Absent from named inventory</x:v>
      </x:c>
      <x:c r="P139" s="26"/>
      <x:c r="Q139" s="26" t="str">
        <x:v>../Project Recherche Data/tpa-batch01-20260908/selection.json</x:v>
      </x:c>
      <x:c r="R139" s="26" t="str">
        <x:v>047722e4dca24e16c44c810f43990492b2f988012ca2b4bab47826ff4c95f1db</x:v>
      </x:c>
      <x:c r="S139" s="26" t="str">
        <x:v>0c12964d51d1b4d774d101ac28fdbaee77d98c16217266cdaa49628fb3ae5983</x:v>
      </x:c>
      <x:c r="T139" s="26" t="str">
        <x:v>241d0131712519fea94978582f834127d290198ef4961ba45cc8666b00930acc</x:v>
      </x:c>
    </x:row>
    <x:row r="140" ht="60" customHeight="1">
      <x:c r="A140" s="26" t="str">
        <x:v>J0840-5332</x:v>
      </x:c>
      <x:c r="B140" s="26" t="str">
        <x:v>B0839-53</x:v>
      </x:c>
      <x:c r="C140" s="26" t="str">
        <x:v>NO_TRIGGER</x:v>
      </x:c>
      <x:c r="D140" s="26" t="str">
        <x:v>tpa-batch04-20260908-J0840-5332-run01</x:v>
      </x:c>
      <x:c r="E140" s="26" t="str">
        <x:v>No qualifying signal in eligible 30–400-day cells</x:v>
      </x:c>
      <x:c r="F140" s="26" t="str">
        <x:v>Retain result; consider independent data or a separately defined new scope</x:v>
      </x:c>
      <x:c r="G140" s="26" t="str">
        <x:v>SEARCHED</x:v>
      </x:c>
      <x:c r="H140" s="27" t="n">
        <x:v>420</x:v>
      </x:c>
      <x:c r="I140" s="27" t="n">
        <x:v>53</x:v>
      </x:c>
      <x:c r="J140" s="28" t="n">
        <x:v>1290.759585898595</x:v>
      </x:c>
      <x:c r="K140" s="26" t="str">
        <x:v>tpa-batch04-20260908</x:v>
      </x:c>
      <x:c r="L140" s="26"/>
      <x:c r="M140" s="26" t="str">
        <x:v>Absent from named inventory</x:v>
      </x:c>
      <x:c r="N140" s="26" t="str">
        <x:v>Absent from named inventory</x:v>
      </x:c>
      <x:c r="O140" s="26" t="str">
        <x:v>Absent from named inventory</x:v>
      </x:c>
      <x:c r="P140" s="26"/>
      <x:c r="Q140" s="26" t="str">
        <x:v>../Project Recherche Data/tpa-batch04-20260908/selection.json</x:v>
      </x:c>
      <x:c r="R140" s="26" t="str">
        <x:v>88cb06482cd14a2f65e966c23ca1cdea20fdeb356fd59137885e0ec5f3b47d1a</x:v>
      </x:c>
      <x:c r="S140" s="26" t="str">
        <x:v>cfd5e072dbe3424bf6db8f3e50213ca2e161585bf20efdb66cb3950c5b824494</x:v>
      </x:c>
      <x:c r="T140" s="26" t="str">
        <x:v>1cfd38099a19a2fbfbb5a505b6f4c19084480543c3b2bb37c2904dbcb9ef3368</x:v>
      </x:c>
    </x:row>
    <x:row r="141" ht="60" customHeight="1">
      <x:c r="A141" s="26" t="str">
        <x:v>J0842-4851</x:v>
      </x:c>
      <x:c r="B141" s="26" t="str">
        <x:v>B0840-48</x:v>
      </x:c>
      <x:c r="C141" s="26" t="str">
        <x:v>NO_TRIGGER</x:v>
      </x:c>
      <x:c r="D141" s="26" t="str">
        <x:v>tpa-batch04-20260908-J0842-4851-run01</x:v>
      </x:c>
      <x:c r="E141" s="26" t="str">
        <x:v>No qualifying signal in eligible 30–400-day cells</x:v>
      </x:c>
      <x:c r="F141" s="26" t="str">
        <x:v>Retain result; consider independent data or a separately defined new scope</x:v>
      </x:c>
      <x:c r="G141" s="26" t="str">
        <x:v>SEARCHED</x:v>
      </x:c>
      <x:c r="H141" s="27" t="n">
        <x:v>398</x:v>
      </x:c>
      <x:c r="I141" s="27" t="n">
        <x:v>52</x:v>
      </x:c>
      <x:c r="J141" s="28" t="n">
        <x:v>1239.9381914614787</x:v>
      </x:c>
      <x:c r="K141" s="26" t="str">
        <x:v>tpa-batch04-20260908</x:v>
      </x:c>
      <x:c r="L141" s="26"/>
      <x:c r="M141" s="26" t="str">
        <x:v>Absent from named inventory</x:v>
      </x:c>
      <x:c r="N141" s="26" t="str">
        <x:v>Absent from named inventory</x:v>
      </x:c>
      <x:c r="O141" s="26" t="str">
        <x:v>Absent from named inventory</x:v>
      </x:c>
      <x:c r="P141" s="26"/>
      <x:c r="Q141" s="26" t="str">
        <x:v>../Project Recherche Data/tpa-batch04-20260908/selection.json</x:v>
      </x:c>
      <x:c r="R141" s="26" t="str">
        <x:v>88cb06482cd14a2f65e966c23ca1cdea20fdeb356fd59137885e0ec5f3b47d1a</x:v>
      </x:c>
      <x:c r="S141" s="26" t="str">
        <x:v>2adf251fcc02abc74c3e205acaf26cf3515e4808b9f18533aebb46579ea7a2ee</x:v>
      </x:c>
      <x:c r="T141" s="26" t="str">
        <x:v>771299abba31489704185bb0447183aee181b5025ba5fb0447d82aa3e0d07356</x:v>
      </x:c>
    </x:row>
    <x:row r="142" ht="60" customHeight="1">
      <x:c r="A142" s="26" t="str">
        <x:v>J0843-5022</x:v>
      </x:c>
      <x:c r="B142" s="26" t="str"/>
      <x:c r="C142" s="26" t="str">
        <x:v>NOT_SEARCHED</x:v>
      </x:c>
      <x:c r="D142" s="26"/>
      <x:c r="E142" s="26" t="str">
        <x:v>No observed search</x:v>
      </x:c>
      <x:c r="F142" s="26" t="str">
        <x:v>Retain exclusion for current scope</x:v>
      </x:c>
      <x:c r="G142" s="26" t="str">
        <x:v>TPA EXCLUDED</x:v>
      </x:c>
      <x:c r="H142" s="27" t="n">
        <x:v>232</x:v>
      </x:c>
      <x:c r="I142" s="27" t="n">
        <x:v>29</x:v>
      </x:c>
      <x:c r="J142" s="28" t="n">
        <x:v>1278.6497640977395</x:v>
      </x:c>
      <x:c r="K142" s="26"/>
      <x:c r="L142" s="26" t="str">
        <x:v>insufficient_span_or_epochs</x:v>
      </x:c>
      <x:c r="M142" s="26" t="str">
        <x:v>Absent from named inventory</x:v>
      </x:c>
      <x:c r="N142" s="26" t="str">
        <x:v>Absent from named inventory</x:v>
      </x:c>
      <x:c r="O142" s="26" t="str">
        <x:v>Absent from named inventory</x:v>
      </x:c>
      <x:c r="P142" s="26"/>
      <x:c r="Q142" s="26" t="str">
        <x:v>../Project Recherche Data/tpa-batch01-20260908/selection.json</x:v>
      </x:c>
      <x:c r="R142" s="26" t="str">
        <x:v>047722e4dca24e16c44c810f43990492b2f988012ca2b4bab47826ff4c95f1db</x:v>
      </x:c>
      <x:c r="S142" s="26" t="str">
        <x:v>69663cfc2b50bda4a15847120e5bb6561483952bdd2a6a73af816fe42c4177bb</x:v>
      </x:c>
      <x:c r="T142" s="26" t="str">
        <x:v>1258844dabe1049e22f59835bd65825e416d386bd543dc807c4e606eeace1b52</x:v>
      </x:c>
    </x:row>
    <x:row r="143" ht="60" customHeight="1">
      <x:c r="A143" s="26" t="str">
        <x:v>J0846-3533</x:v>
      </x:c>
      <x:c r="B143" s="26" t="str">
        <x:v>B0844-35</x:v>
      </x:c>
      <x:c r="C143" s="26" t="str">
        <x:v>NO_TRIGGER</x:v>
      </x:c>
      <x:c r="D143" s="26" t="str">
        <x:v>tpa-batch09-20260908-J0846-3533-run01</x:v>
      </x:c>
      <x:c r="E143" s="26" t="str">
        <x:v>No qualifying signal in eligible 30–400-day cells</x:v>
      </x:c>
      <x:c r="F143" s="26" t="str">
        <x:v>Retain result; consider independent data or a separately defined new scope</x:v>
      </x:c>
      <x:c r="G143" s="26" t="str">
        <x:v>SEARCHED</x:v>
      </x:c>
      <x:c r="H143" s="27" t="n">
        <x:v>416</x:v>
      </x:c>
      <x:c r="I143" s="27" t="n">
        <x:v>52</x:v>
      </x:c>
      <x:c r="J143" s="28" t="n">
        <x:v>1290.7697832947742</x:v>
      </x:c>
      <x:c r="K143" s="26" t="str">
        <x:v>tpa-batch09-20260908</x:v>
      </x:c>
      <x:c r="L143" s="26"/>
      <x:c r="M143" s="26" t="str">
        <x:v>Present</x:v>
      </x:c>
      <x:c r="N143" s="26" t="str">
        <x:v>Absent from named inventory</x:v>
      </x:c>
      <x:c r="O143" s="26" t="str">
        <x:v>Absent from named inventory</x:v>
      </x:c>
      <x:c r="P143" s="26"/>
      <x:c r="Q143" s="26" t="str">
        <x:v>../Project Recherche Data/tpa-batch09-20260908/selection.json</x:v>
      </x:c>
      <x:c r="R143" s="26" t="str">
        <x:v>395304d24c4ccc368723e19c91081b318fa94afe187f103f7b2ae19ebdbfa4d6</x:v>
      </x:c>
      <x:c r="S143" s="26" t="str">
        <x:v>0c308d7d8b947887079b24a08d4d03a51be90b6858c2343043b48e84aba91fac</x:v>
      </x:c>
      <x:c r="T143" s="26" t="str">
        <x:v>f655e8d418f6232054dc609d5b2623bd04d825d1bd6f1f1e756b57d0b6b24459</x:v>
      </x:c>
    </x:row>
    <x:row r="144" ht="60" customHeight="1">
      <x:c r="A144" s="26" t="str">
        <x:v>J0849-6322</x:v>
      </x:c>
      <x:c r="B144" s="26" t="str"/>
      <x:c r="C144" s="26" t="str">
        <x:v>NOT_SEARCHED</x:v>
      </x:c>
      <x:c r="D144" s="26"/>
      <x:c r="E144" s="26" t="str">
        <x:v>No observed search</x:v>
      </x:c>
      <x:c r="F144" s="26" t="str">
        <x:v>Retain exclusion for current scope</x:v>
      </x:c>
      <x:c r="G144" s="26" t="str">
        <x:v>TPA EXCLUDED</x:v>
      </x:c>
      <x:c r="H144" s="27" t="n">
        <x:v>216</x:v>
      </x:c>
      <x:c r="I144" s="27" t="n">
        <x:v>28</x:v>
      </x:c>
      <x:c r="J144" s="28" t="n">
        <x:v>1278.5717055141577</x:v>
      </x:c>
      <x:c r="K144" s="26"/>
      <x:c r="L144" s="26" t="str">
        <x:v>insufficient_span_or_epochs</x:v>
      </x:c>
      <x:c r="M144" s="26" t="str">
        <x:v>Absent from named inventory</x:v>
      </x:c>
      <x:c r="N144" s="26" t="str">
        <x:v>Absent from named inventory</x:v>
      </x:c>
      <x:c r="O144" s="26" t="str">
        <x:v>Absent from named inventory</x:v>
      </x:c>
      <x:c r="P144" s="26"/>
      <x:c r="Q144" s="26" t="str">
        <x:v>../Project Recherche Data/tpa-batch01-20260908/selection.json</x:v>
      </x:c>
      <x:c r="R144" s="26" t="str">
        <x:v>047722e4dca24e16c44c810f43990492b2f988012ca2b4bab47826ff4c95f1db</x:v>
      </x:c>
      <x:c r="S144" s="26" t="str">
        <x:v>a2b008f46d130b624338fc764483e5d66507e3f72fccbee036dd264b6e39319c</x:v>
      </x:c>
      <x:c r="T144" s="26" t="str">
        <x:v>e063677d704167feb3157f455830393a5da4b9d370823412bc62c2b76280a30e</x:v>
      </x:c>
    </x:row>
    <x:row r="145" ht="60" customHeight="1">
      <x:c r="A145" s="26" t="str">
        <x:v>J0855-3331</x:v>
      </x:c>
      <x:c r="B145" s="26" t="str">
        <x:v>B0853-33</x:v>
      </x:c>
      <x:c r="C145" s="26" t="str">
        <x:v>NO_TRIGGER</x:v>
      </x:c>
      <x:c r="D145" s="26" t="str">
        <x:v>tpa-batch07-20260908-J0855-3331-run01</x:v>
      </x:c>
      <x:c r="E145" s="26" t="str">
        <x:v>No qualifying signal in eligible 30–400-day cells</x:v>
      </x:c>
      <x:c r="F145" s="26" t="str">
        <x:v>Retain result; consider independent data or a separately defined new scope</x:v>
      </x:c>
      <x:c r="G145" s="26" t="str">
        <x:v>SEARCHED</x:v>
      </x:c>
      <x:c r="H145" s="27" t="n">
        <x:v>448</x:v>
      </x:c>
      <x:c r="I145" s="27" t="n">
        <x:v>56</x:v>
      </x:c>
      <x:c r="J145" s="28" t="n">
        <x:v>1367.2067740307393</x:v>
      </x:c>
      <x:c r="K145" s="26" t="str">
        <x:v>tpa-batch07-20260908</x:v>
      </x:c>
      <x:c r="L145" s="26"/>
      <x:c r="M145" s="26" t="str">
        <x:v>Present</x:v>
      </x:c>
      <x:c r="N145" s="26" t="str">
        <x:v>Absent from named inventory</x:v>
      </x:c>
      <x:c r="O145" s="26" t="str">
        <x:v>Absent from named inventory</x:v>
      </x:c>
      <x:c r="P145" s="26"/>
      <x:c r="Q145" s="26" t="str">
        <x:v>../Project Recherche Data/tpa-batch07-20260908/selection.json</x:v>
      </x:c>
      <x:c r="R145" s="26" t="str">
        <x:v>a0944d5da0924367a8ed78a56de7826f64b6d517eb7c66fa044c452abc4894a7</x:v>
      </x:c>
      <x:c r="S145" s="26" t="str">
        <x:v>b0b2c41d57acb3f56adfe4135efe3ec8558354edbadbdf90f3dea45d57de9eb8</x:v>
      </x:c>
      <x:c r="T145" s="26" t="str">
        <x:v>c71fd2041918dfcc79d672aa68cc52c414c8316a2cbf3a382a99e9c18047e530</x:v>
      </x:c>
    </x:row>
    <x:row r="146" ht="60" customHeight="1">
      <x:c r="A146" s="26" t="str">
        <x:v>J0856-6137</x:v>
      </x:c>
      <x:c r="B146" s="26" t="str">
        <x:v>B0855-61</x:v>
      </x:c>
      <x:c r="C146" s="26" t="str">
        <x:v>NO_TRIGGER</x:v>
      </x:c>
      <x:c r="D146" s="26" t="str">
        <x:v>utmost-batch03-20260909-J0856-6137-run01</x:v>
      </x:c>
      <x:c r="E146" s="26" t="str">
        <x:v>No qualifying signal in eligible 30–400-day cells</x:v>
      </x:c>
      <x:c r="F146" s="26" t="str">
        <x:v>Retain result; consider independent data or a separately defined new scope</x:v>
      </x:c>
      <x:c r="G146" s="26" t="str">
        <x:v>UTMOST SEARCHED</x:v>
      </x:c>
      <x:c r="H146" s="27" t="n">
        <x:v>224</x:v>
      </x:c>
      <x:c r="I146" s="27" t="n">
        <x:v>28</x:v>
      </x:c>
      <x:c r="J146" s="28" t="n">
        <x:v>1278.5706284595071</x:v>
      </x:c>
      <x:c r="K146" s="26"/>
      <x:c r="L146" s="26" t="str">
        <x:v>insufficient_span_or_epochs</x:v>
      </x:c>
      <x:c r="M146" s="26" t="str">
        <x:v>Absent from named inventory</x:v>
      </x:c>
      <x:c r="N146" s="26" t="str">
        <x:v>Absent from named inventory</x:v>
      </x:c>
      <x:c r="O146" s="26" t="str">
        <x:v>Absent from named inventory</x:v>
      </x:c>
      <x:c r="P146" s="26"/>
      <x:c r="Q146" s="26" t="str">
        <x:v>../Project Recherche Data/tpa-batch01-20260908/selection.json</x:v>
      </x:c>
      <x:c r="R146" s="26" t="str">
        <x:v>047722e4dca24e16c44c810f43990492b2f988012ca2b4bab47826ff4c95f1db</x:v>
      </x:c>
      <x:c r="S146" s="26" t="str">
        <x:v>57cd2c215c73095f43eb9dbf15d94a0823bc620d351c5c5b6c4ff47e88034eb3</x:v>
      </x:c>
      <x:c r="T146" s="26" t="str">
        <x:v>c352d87fef568833f257d765dcf180962a9bda983a07e1fce610deb23760d87f</x:v>
      </x:c>
    </x:row>
    <x:row r="147" ht="60" customHeight="1">
      <x:c r="A147" s="26" t="str">
        <x:v>J0857-4424</x:v>
      </x:c>
      <x:c r="B147" s="26" t="str"/>
      <x:c r="C147" s="26" t="str">
        <x:v>NOT_SEARCHED</x:v>
      </x:c>
      <x:c r="D147" s="26"/>
      <x:c r="E147" s="26" t="str">
        <x:v>No observed search</x:v>
      </x:c>
      <x:c r="F147" s="26" t="str">
        <x:v>Retain exclusion for current scope</x:v>
      </x:c>
      <x:c r="G147" s="26" t="str">
        <x:v>TPA EXCLUDED</x:v>
      </x:c>
      <x:c r="H147" s="27" t="n">
        <x:v>198</x:v>
      </x:c>
      <x:c r="I147" s="27" t="n">
        <x:v>27</x:v>
      </x:c>
      <x:c r="J147" s="28" t="n">
        <x:v>1227.8398254104832</x:v>
      </x:c>
      <x:c r="K147" s="26"/>
      <x:c r="L147" s="26" t="str">
        <x:v>insufficient_span_or_epochs</x:v>
      </x:c>
      <x:c r="M147" s="26" t="str">
        <x:v>Absent from named inventory</x:v>
      </x:c>
      <x:c r="N147" s="26" t="str">
        <x:v>Absent from named inventory</x:v>
      </x:c>
      <x:c r="O147" s="26" t="str">
        <x:v>Absent from named inventory</x:v>
      </x:c>
      <x:c r="P147" s="26"/>
      <x:c r="Q147" s="26" t="str">
        <x:v>../Project Recherche Data/tpa-batch01-20260908/selection.json</x:v>
      </x:c>
      <x:c r="R147" s="26" t="str">
        <x:v>047722e4dca24e16c44c810f43990492b2f988012ca2b4bab47826ff4c95f1db</x:v>
      </x:c>
      <x:c r="S147" s="26" t="str">
        <x:v>497c69bfb0c4871a31ed60a679dd77dcc8ca6611446d5406bfe3b8088f9ae451</x:v>
      </x:c>
      <x:c r="T147" s="26" t="str">
        <x:v>caf525921776a7d715c80e355a0c83e149a12fc231b593b3e92cdee35aaa76ad</x:v>
      </x:c>
    </x:row>
    <x:row r="148" ht="60" customHeight="1">
      <x:c r="A148" s="26" t="str">
        <x:v>J0901-4624</x:v>
      </x:c>
      <x:c r="B148" s="26" t="str"/>
      <x:c r="C148" s="26" t="str">
        <x:v>NO_TRIGGER</x:v>
      </x:c>
      <x:c r="D148" s="26" t="str">
        <x:v>tpa-batch03-20260908-J0901-4624-run01</x:v>
      </x:c>
      <x:c r="E148" s="26" t="str">
        <x:v>No qualifying signal in eligible 30–400-day cells</x:v>
      </x:c>
      <x:c r="F148" s="26" t="str">
        <x:v>Retain result; consider independent data or a separately defined new scope</x:v>
      </x:c>
      <x:c r="G148" s="26" t="str">
        <x:v>SEARCHED</x:v>
      </x:c>
      <x:c r="H148" s="27" t="n">
        <x:v>420</x:v>
      </x:c>
      <x:c r="I148" s="27" t="n">
        <x:v>53</x:v>
      </x:c>
      <x:c r="J148" s="28" t="n">
        <x:v>1209.058952620202</x:v>
      </x:c>
      <x:c r="K148" s="26" t="str">
        <x:v>tpa-batch03-20260908</x:v>
      </x:c>
      <x:c r="L148" s="26"/>
      <x:c r="M148" s="26" t="str">
        <x:v>Absent from named inventory</x:v>
      </x:c>
      <x:c r="N148" s="26" t="str">
        <x:v>Absent from named inventory</x:v>
      </x:c>
      <x:c r="O148" s="26" t="str">
        <x:v>Absent from named inventory</x:v>
      </x:c>
      <x:c r="P148" s="26"/>
      <x:c r="Q148" s="26" t="str">
        <x:v>../Project Recherche Data/tpa-batch03-20260908/selection.json</x:v>
      </x:c>
      <x:c r="R148" s="26" t="str">
        <x:v>1cf7dc46e02f8f80971416baec3f4bb7357340d0174269b7b50fc11887c0df28</x:v>
      </x:c>
      <x:c r="S148" s="26" t="str">
        <x:v>f95c31775874d083a88c8cc80cf2605007e42cea613673a7905c6d5a6cd9aaa5</x:v>
      </x:c>
      <x:c r="T148" s="26" t="str">
        <x:v>3ad623fbe37e74922d421790473dd61b58e3bcc94e4837a9a6d1862004b62a53</x:v>
      </x:c>
    </x:row>
    <x:row r="149" ht="60" customHeight="1">
      <x:c r="A149" s="26" t="str">
        <x:v>J0902-6325</x:v>
      </x:c>
      <x:c r="B149" s="26" t="str">
        <x:v>B0901-63</x:v>
      </x:c>
      <x:c r="C149" s="26" t="str">
        <x:v>NOT_SEARCHED</x:v>
      </x:c>
      <x:c r="D149" s="26"/>
      <x:c r="E149" s="26" t="str">
        <x:v>No observed search</x:v>
      </x:c>
      <x:c r="F149" s="26" t="str">
        <x:v>Retain exclusion for current scope</x:v>
      </x:c>
      <x:c r="G149" s="26" t="str">
        <x:v>TPA EXCLUDED</x:v>
      </x:c>
      <x:c r="H149" s="27" t="n">
        <x:v>224</x:v>
      </x:c>
      <x:c r="I149" s="27" t="n">
        <x:v>28</x:v>
      </x:c>
      <x:c r="J149" s="28" t="n">
        <x:v>1278.5964464560311</x:v>
      </x:c>
      <x:c r="K149" s="26"/>
      <x:c r="L149" s="26" t="str">
        <x:v>insufficient_span_or_epochs</x:v>
      </x:c>
      <x:c r="M149" s="26" t="str">
        <x:v>Absent from named inventory</x:v>
      </x:c>
      <x:c r="N149" s="26" t="str">
        <x:v>Absent from named inventory</x:v>
      </x:c>
      <x:c r="O149" s="26" t="str">
        <x:v>Absent from named inventory</x:v>
      </x:c>
      <x:c r="P149" s="26"/>
      <x:c r="Q149" s="26" t="str">
        <x:v>../Project Recherche Data/tpa-batch01-20260908/selection.json</x:v>
      </x:c>
      <x:c r="R149" s="26" t="str">
        <x:v>047722e4dca24e16c44c810f43990492b2f988012ca2b4bab47826ff4c95f1db</x:v>
      </x:c>
      <x:c r="S149" s="26" t="str">
        <x:v>a5f125e50c0270285805698567e191e2514d257d6555754594883154e678f3ee</x:v>
      </x:c>
      <x:c r="T149" s="26" t="str">
        <x:v>79d16bae6d488930da22445a57bd45ab8b91b37a7763ac6ac371b91ba7edc7b6</x:v>
      </x:c>
    </x:row>
    <x:row r="150" ht="60" customHeight="1">
      <x:c r="A150" s="26" t="str">
        <x:v>J0904-4246</x:v>
      </x:c>
      <x:c r="B150" s="26" t="str">
        <x:v>B0903-42</x:v>
      </x:c>
      <x:c r="C150" s="26" t="str">
        <x:v>NO_TRIGGER</x:v>
      </x:c>
      <x:c r="D150" s="26" t="str">
        <x:v>tpa-batch06-20260908-J0904-4246-run01</x:v>
      </x:c>
      <x:c r="E150" s="26" t="str">
        <x:v>No qualifying signal in eligible 30–400-day cells</x:v>
      </x:c>
      <x:c r="F150" s="26" t="str">
        <x:v>Retain result; consider independent data or a separately defined new scope</x:v>
      </x:c>
      <x:c r="G150" s="26" t="str">
        <x:v>SEARCHED</x:v>
      </x:c>
      <x:c r="H150" s="27" t="n">
        <x:v>440</x:v>
      </x:c>
      <x:c r="I150" s="27" t="n">
        <x:v>55</x:v>
      </x:c>
      <x:c r="J150" s="28" t="n">
        <x:v>1367.2046427520327</x:v>
      </x:c>
      <x:c r="K150" s="26" t="str">
        <x:v>tpa-batch06-20260908</x:v>
      </x:c>
      <x:c r="L150" s="26"/>
      <x:c r="M150" s="26" t="str">
        <x:v>Absent from named inventory</x:v>
      </x:c>
      <x:c r="N150" s="26" t="str">
        <x:v>Absent from named inventory</x:v>
      </x:c>
      <x:c r="O150" s="26" t="str">
        <x:v>Absent from named inventory</x:v>
      </x:c>
      <x:c r="P150" s="26"/>
      <x:c r="Q150" s="26" t="str">
        <x:v>../Project Recherche Data/tpa-batch06-20260908/selection.json</x:v>
      </x:c>
      <x:c r="R150" s="26" t="str">
        <x:v>aa7dc82ae2f0aa7f4ad390810d65a59ea2811f4802deb69c9130205b6466f356</x:v>
      </x:c>
      <x:c r="S150" s="26" t="str">
        <x:v>195c93c7b47100127ad47518102e7a073efd5150a7cb0488926b0dbd51389045</x:v>
      </x:c>
      <x:c r="T150" s="26" t="str">
        <x:v>0a4d83371a04971a786dfb6129bbc39b3273a3c2d0b0fa45b261efb3090641e4</x:v>
      </x:c>
    </x:row>
    <x:row r="151" ht="60" customHeight="1">
      <x:c r="A151" s="26" t="str">
        <x:v>J0904-7459</x:v>
      </x:c>
      <x:c r="B151" s="26" t="str">
        <x:v>B0904-74</x:v>
      </x:c>
      <x:c r="C151" s="26" t="str">
        <x:v>NO_TRIGGER</x:v>
      </x:c>
      <x:c r="D151" s="26" t="str">
        <x:v>tpa-batch05-20260908-J0904-7459-run01</x:v>
      </x:c>
      <x:c r="E151" s="26" t="str">
        <x:v>No qualifying signal in eligible 30–400-day cells</x:v>
      </x:c>
      <x:c r="F151" s="26" t="str">
        <x:v>Retain result; consider independent data or a separately defined new scope</x:v>
      </x:c>
      <x:c r="G151" s="26" t="str">
        <x:v>SEARCHED</x:v>
      </x:c>
      <x:c r="H151" s="27" t="n">
        <x:v>413</x:v>
      </x:c>
      <x:c r="I151" s="27" t="n">
        <x:v>52</x:v>
      </x:c>
      <x:c r="J151" s="28" t="n">
        <x:v>1270.652715137985</x:v>
      </x:c>
      <x:c r="K151" s="26" t="str">
        <x:v>tpa-batch05-20260908</x:v>
      </x:c>
      <x:c r="L151" s="26"/>
      <x:c r="M151" s="26" t="str">
        <x:v>Absent from named inventory</x:v>
      </x:c>
      <x:c r="N151" s="26" t="str">
        <x:v>Absent from named inventory</x:v>
      </x:c>
      <x:c r="O151" s="26" t="str">
        <x:v>Absent from named inventory</x:v>
      </x:c>
      <x:c r="P151" s="26"/>
      <x:c r="Q151" s="26" t="str">
        <x:v>../Project Recherche Data/tpa-batch05-20260908/selection.json</x:v>
      </x:c>
      <x:c r="R151" s="26" t="str">
        <x:v>1212bfb743fa2d3f16f95056ab4d3c2b52ec5dd997358fe385b8fd00313b3907</x:v>
      </x:c>
      <x:c r="S151" s="26" t="str">
        <x:v>e24cacb43fa3fa03f86b46fb82aa7e0949f52794b29aa14b1508ef2b27001834</x:v>
      </x:c>
      <x:c r="T151" s="26" t="str">
        <x:v>37e2e1b9ed1268108af7bb9cf32168b5b94b2bcd6db2c988cbc63068cf2c1a15</x:v>
      </x:c>
    </x:row>
    <x:row r="152" ht="60" customHeight="1">
      <x:c r="A152" s="26" t="str">
        <x:v>J0905-4536</x:v>
      </x:c>
      <x:c r="B152" s="26" t="str"/>
      <x:c r="C152" s="26" t="str">
        <x:v>NOT_SEARCHED</x:v>
      </x:c>
      <x:c r="D152" s="26"/>
      <x:c r="E152" s="26" t="str">
        <x:v>No observed search</x:v>
      </x:c>
      <x:c r="F152" s="26" t="str">
        <x:v>Retain exclusion for current scope</x:v>
      </x:c>
      <x:c r="G152" s="26" t="str">
        <x:v>TPA EXCLUDED</x:v>
      </x:c>
      <x:c r="H152" s="27" t="n">
        <x:v>208</x:v>
      </x:c>
      <x:c r="I152" s="27" t="n">
        <x:v>27</x:v>
      </x:c>
      <x:c r="J152" s="28" t="n">
        <x:v>1278.6538681709353</x:v>
      </x:c>
      <x:c r="K152" s="26"/>
      <x:c r="L152" s="26" t="str">
        <x:v>insufficient_span_or_epochs</x:v>
      </x:c>
      <x:c r="M152" s="26" t="str">
        <x:v>Absent from named inventory</x:v>
      </x:c>
      <x:c r="N152" s="26" t="str">
        <x:v>Absent from named inventory</x:v>
      </x:c>
      <x:c r="O152" s="26" t="str">
        <x:v>Absent from named inventory</x:v>
      </x:c>
      <x:c r="P152" s="26"/>
      <x:c r="Q152" s="26" t="str">
        <x:v>../Project Recherche Data/tpa-batch01-20260908/selection.json</x:v>
      </x:c>
      <x:c r="R152" s="26" t="str">
        <x:v>047722e4dca24e16c44c810f43990492b2f988012ca2b4bab47826ff4c95f1db</x:v>
      </x:c>
      <x:c r="S152" s="26" t="str">
        <x:v>bb7d8edadc8fe53f10af3067716589727a4eaac61705f6e51df683beed9cd19c</x:v>
      </x:c>
      <x:c r="T152" s="26" t="str">
        <x:v>fba1f83910f589a740bccd4fe2bb77b90d3108125c620b521c378a0d9cb02cd6</x:v>
      </x:c>
    </x:row>
    <x:row r="153" ht="60" customHeight="1">
      <x:c r="A153" s="26" t="str">
        <x:v>J0905-5127</x:v>
      </x:c>
      <x:c r="B153" s="26" t="str"/>
      <x:c r="C153" s="26" t="str">
        <x:v>NO_TRIGGER</x:v>
      </x:c>
      <x:c r="D153" s="26" t="str">
        <x:v>tpa-batch04-20260908-J0905-5127-run01</x:v>
      </x:c>
      <x:c r="E153" s="26" t="str">
        <x:v>No qualifying signal in eligible 30–400-day cells</x:v>
      </x:c>
      <x:c r="F153" s="26" t="str">
        <x:v>Retain result; consider independent data or a separately defined new scope</x:v>
      </x:c>
      <x:c r="G153" s="26" t="str">
        <x:v>SEARCHED</x:v>
      </x:c>
      <x:c r="H153" s="27" t="n">
        <x:v>415</x:v>
      </x:c>
      <x:c r="I153" s="27" t="n">
        <x:v>52</x:v>
      </x:c>
      <x:c r="J153" s="28" t="n">
        <x:v>1239.938550432562</x:v>
      </x:c>
      <x:c r="K153" s="26" t="str">
        <x:v>tpa-batch04-20260908</x:v>
      </x:c>
      <x:c r="L153" s="26"/>
      <x:c r="M153" s="26" t="str">
        <x:v>Absent from named inventory</x:v>
      </x:c>
      <x:c r="N153" s="26" t="str">
        <x:v>Absent from named inventory</x:v>
      </x:c>
      <x:c r="O153" s="26" t="str">
        <x:v>Absent from named inventory</x:v>
      </x:c>
      <x:c r="P153" s="26"/>
      <x:c r="Q153" s="26" t="str">
        <x:v>../Project Recherche Data/tpa-batch04-20260908/selection.json</x:v>
      </x:c>
      <x:c r="R153" s="26" t="str">
        <x:v>88cb06482cd14a2f65e966c23ca1cdea20fdeb356fd59137885e0ec5f3b47d1a</x:v>
      </x:c>
      <x:c r="S153" s="26" t="str">
        <x:v>c839f94a872ac654b8ec86e54d258a0e28fa18c5dab859ac334556f173eeb304</x:v>
      </x:c>
      <x:c r="T153" s="26" t="str">
        <x:v>a8cf1af634773ae46becacc4b42a5b956d2354067b4dd0353489851fc329a9c3</x:v>
      </x:c>
    </x:row>
    <x:row r="154" ht="60" customHeight="1">
      <x:c r="A154" s="26" t="str">
        <x:v>J0907-5157</x:v>
      </x:c>
      <x:c r="B154" s="26" t="str">
        <x:v>B0905-51</x:v>
      </x:c>
      <x:c r="C154" s="26" t="str">
        <x:v>NO_TRIGGER</x:v>
      </x:c>
      <x:c r="D154" s="26" t="str">
        <x:v>utmost-batch02-20260909-J0907-5157-run01</x:v>
      </x:c>
      <x:c r="E154" s="26" t="str">
        <x:v>No qualifying signal in eligible 30–400-day cells</x:v>
      </x:c>
      <x:c r="F154" s="26" t="str">
        <x:v>Retain result; consider independent data or a separately defined new scope</x:v>
      </x:c>
      <x:c r="G154" s="26" t="str">
        <x:v>UTMOST SEARCHED</x:v>
      </x:c>
      <x:c r="H154" s="27" t="n">
        <x:v>88</x:v>
      </x:c>
      <x:c r="I154" s="27" t="n">
        <x:v>11</x:v>
      </x:c>
      <x:c r="J154" s="28" t="n">
        <x:v>489.5404193561626</x:v>
      </x:c>
      <x:c r="K154" s="26"/>
      <x:c r="L154" s="26" t="str">
        <x:v>insufficient_span_or_epochs</x:v>
      </x:c>
      <x:c r="M154" s="26" t="str">
        <x:v>Absent from named inventory</x:v>
      </x:c>
      <x:c r="N154" s="26" t="str">
        <x:v>Absent from named inventory</x:v>
      </x:c>
      <x:c r="O154" s="26" t="str">
        <x:v>Absent from named inventory</x:v>
      </x:c>
      <x:c r="P154" s="26"/>
      <x:c r="Q154" s="26" t="str">
        <x:v>../Project Recherche Data/tpa-batch01-20260908/selection.json</x:v>
      </x:c>
      <x:c r="R154" s="26" t="str">
        <x:v>047722e4dca24e16c44c810f43990492b2f988012ca2b4bab47826ff4c95f1db</x:v>
      </x:c>
      <x:c r="S154" s="26" t="str">
        <x:v>09f295a731a78682bfd8d6167689dde2aaa38596a2c041002b4e377d15d67960</x:v>
      </x:c>
      <x:c r="T154" s="26" t="str">
        <x:v>a9a5c1d94b1b03840a6f4be5fd5ecfc455bebe341623d22ca9b364fca3f4157e</x:v>
      </x:c>
    </x:row>
    <x:row r="155" ht="60" customHeight="1">
      <x:c r="A155" s="26" t="str">
        <x:v>J0908-1739</x:v>
      </x:c>
      <x:c r="B155" s="26" t="str">
        <x:v>B0906-17</x:v>
      </x:c>
      <x:c r="C155" s="26" t="str">
        <x:v>NOT_SEARCHED</x:v>
      </x:c>
      <x:c r="D155" s="26"/>
      <x:c r="E155" s="26" t="str">
        <x:v>No observed search</x:v>
      </x:c>
      <x:c r="F155" s="26" t="str">
        <x:v>Retain exclusion for current scope</x:v>
      </x:c>
      <x:c r="G155" s="26" t="str">
        <x:v>TPA EXCLUDED</x:v>
      </x:c>
      <x:c r="H155" s="27" t="n">
        <x:v>84</x:v>
      </x:c>
      <x:c r="I155" s="27" t="n">
        <x:v>11</x:v>
      </x:c>
      <x:c r="J155" s="28" t="n">
        <x:v>480.64542891418387</x:v>
      </x:c>
      <x:c r="K155" s="26"/>
      <x:c r="L155" s="26" t="str">
        <x:v>insufficient_span_or_epochs</x:v>
      </x:c>
      <x:c r="M155" s="26" t="str">
        <x:v>Present</x:v>
      </x:c>
      <x:c r="N155" s="26" t="str">
        <x:v>Absent from named inventory</x:v>
      </x:c>
      <x:c r="O155" s="26" t="str">
        <x:v>Absent from named inventory</x:v>
      </x:c>
      <x:c r="P155" s="26"/>
      <x:c r="Q155" s="26" t="str">
        <x:v>../Project Recherche Data/tpa-batch01-20260908/selection.json</x:v>
      </x:c>
      <x:c r="R155" s="26" t="str">
        <x:v>047722e4dca24e16c44c810f43990492b2f988012ca2b4bab47826ff4c95f1db</x:v>
      </x:c>
      <x:c r="S155" s="26" t="str">
        <x:v>5e8dc9cce868acebcd140db36efb50772c7ceb281e0dddbb1ec0161536612225</x:v>
      </x:c>
      <x:c r="T155" s="26" t="str">
        <x:v>eba29c6447c1fb52a8c6bd52f1fcd9352c0e768cc5295b3297dc2956f88ca9b3</x:v>
      </x:c>
    </x:row>
    <x:row r="156" ht="26.399999618530273" hidden="0" customHeight="1">
      <x:c r="A156" s="26" t="str">
        <x:v>J0908-4913</x:v>
      </x:c>
      <x:c r="B156" s="26" t="str">
        <x:v>B0906-49</x:v>
      </x:c>
      <x:c r="C156" s="26" t="str">
        <x:v>PERIODIC_SIGNAL_CANDIDATE</x:v>
      </x:c>
      <x:c r="D156" s="26" t="str">
        <x:v>utmost-batch04-20260909-J0908-4913-run01</x:v>
      </x:c>
      <x:c r="E156" s="26" t="str">
        <x:v>Threshold-crossing periodic candidate; not a confirmed planet</x:v>
      </x:c>
      <x:c r="F156" s="26" t="str">
        <x:v>Bounded review complete; preserve noise-sensitive candidate. Await informative independent data and owner-directed follow-up.</x:v>
      </x:c>
      <x:c r="G156" s="26" t="str">
        <x:v>UTMOST SEARCHED</x:v>
      </x:c>
      <x:c r="H156" s="27" t="n">
        <x:v>416</x:v>
      </x:c>
      <x:c r="I156" s="27" t="n">
        <x:v>52</x:v>
      </x:c>
      <x:c r="J156" s="28" t="n">
        <x:v>1270.6507899169155</x:v>
      </x:c>
      <x:c r="K156" s="26" t="str">
        <x:v>tpa-batch03-20260908</x:v>
      </x:c>
      <x:c r="L156" s="26"/>
      <x:c r="M156" s="26" t="str">
        <x:v>Absent from named inventory</x:v>
      </x:c>
      <x:c r="N156" s="26" t="str">
        <x:v>Absent from named inventory</x:v>
      </x:c>
      <x:c r="O156" s="26" t="str">
        <x:v>Absent from named inventory</x:v>
      </x:c>
      <x:c r="P156" s="26"/>
      <x:c r="Q156" s="26" t="str">
        <x:v>../Project Recherche Data/tpa-batch03-20260908/selection.json</x:v>
      </x:c>
      <x:c r="R156" s="26" t="str">
        <x:v>1cf7dc46e02f8f80971416baec3f4bb7357340d0174269b7b50fc11887c0df28</x:v>
      </x:c>
      <x:c r="S156" s="26" t="str">
        <x:v>88d6e0f54cdab81de03563ca64461f5753119558cb3c61dcde70eb706a3fb991</x:v>
      </x:c>
      <x:c r="T156" s="26" t="str">
        <x:v>e9a2914ee637642b475ee293dcc876aa83d38122478285916a30adba2c28254d</x:v>
      </x:c>
    </x:row>
    <x:row r="157" ht="60" customHeight="1">
      <x:c r="A157" s="26" t="str">
        <x:v>J0909-7212</x:v>
      </x:c>
      <x:c r="B157" s="26" t="str">
        <x:v>B0909-71</x:v>
      </x:c>
      <x:c r="C157" s="26" t="str">
        <x:v>NO_TRIGGER</x:v>
      </x:c>
      <x:c r="D157" s="26" t="str">
        <x:v>tpa-batch05-20260908-J0909-7212-run01</x:v>
      </x:c>
      <x:c r="E157" s="26" t="str">
        <x:v>No qualifying signal in eligible 30–400-day cells</x:v>
      </x:c>
      <x:c r="F157" s="26" t="str">
        <x:v>Retain result; consider independent data or a separately defined new scope</x:v>
      </x:c>
      <x:c r="G157" s="26" t="str">
        <x:v>SEARCHED</x:v>
      </x:c>
      <x:c r="H157" s="27" t="n">
        <x:v>416</x:v>
      </x:c>
      <x:c r="I157" s="27" t="n">
        <x:v>52</x:v>
      </x:c>
      <x:c r="J157" s="28" t="n">
        <x:v>1290.6981630726077</x:v>
      </x:c>
      <x:c r="K157" s="26" t="str">
        <x:v>tpa-batch05-20260908</x:v>
      </x:c>
      <x:c r="L157" s="26"/>
      <x:c r="M157" s="26" t="str">
        <x:v>Absent from named inventory</x:v>
      </x:c>
      <x:c r="N157" s="26" t="str">
        <x:v>Absent from named inventory</x:v>
      </x:c>
      <x:c r="O157" s="26" t="str">
        <x:v>Absent from named inventory</x:v>
      </x:c>
      <x:c r="P157" s="26"/>
      <x:c r="Q157" s="26" t="str">
        <x:v>../Project Recherche Data/tpa-batch05-20260908/selection.json</x:v>
      </x:c>
      <x:c r="R157" s="26" t="str">
        <x:v>1212bfb743fa2d3f16f95056ab4d3c2b52ec5dd997358fe385b8fd00313b3907</x:v>
      </x:c>
      <x:c r="S157" s="26" t="str">
        <x:v>ba11a3c17c5ba415b689953bbda6d657eced6879f111355299a1a7e09a1e2fa5</x:v>
      </x:c>
      <x:c r="T157" s="26" t="str">
        <x:v>f2392362d2a1d16640ab85f35049b4b8b73b5d8ca19d3df3436dd523d8a5a8a6</x:v>
      </x:c>
    </x:row>
    <x:row r="158" ht="60" customHeight="1">
      <x:c r="A158" s="26" t="str">
        <x:v>J0922+0638</x:v>
      </x:c>
      <x:c r="B158" s="26" t="str">
        <x:v>B0919+06</x:v>
      </x:c>
      <x:c r="C158" s="26" t="str">
        <x:v>NOT_SEARCHED</x:v>
      </x:c>
      <x:c r="D158" s="26"/>
      <x:c r="E158" s="26" t="str">
        <x:v>No observed search</x:v>
      </x:c>
      <x:c r="F158" s="26" t="str">
        <x:v>Retain exclusion for current scope</x:v>
      </x:c>
      <x:c r="G158" s="26" t="str">
        <x:v>TPA EXCLUDED</x:v>
      </x:c>
      <x:c r="H158" s="27" t="n">
        <x:v>232</x:v>
      </x:c>
      <x:c r="I158" s="27" t="n">
        <x:v>29</x:v>
      </x:c>
      <x:c r="J158" s="28" t="n">
        <x:v>1278.5940143960834</x:v>
      </x:c>
      <x:c r="K158" s="26"/>
      <x:c r="L158" s="26" t="str">
        <x:v>insufficient_span_or_epochs</x:v>
      </x:c>
      <x:c r="M158" s="26" t="str">
        <x:v>Absent from named inventory</x:v>
      </x:c>
      <x:c r="N158" s="26" t="str">
        <x:v>Absent from named inventory</x:v>
      </x:c>
      <x:c r="O158" s="26" t="str">
        <x:v>Absent from named inventory</x:v>
      </x:c>
      <x:c r="P158" s="26"/>
      <x:c r="Q158" s="26" t="str">
        <x:v>../Project Recherche Data/tpa-batch01-20260908/selection.json</x:v>
      </x:c>
      <x:c r="R158" s="26" t="str">
        <x:v>047722e4dca24e16c44c810f43990492b2f988012ca2b4bab47826ff4c95f1db</x:v>
      </x:c>
      <x:c r="S158" s="26" t="str">
        <x:v>04c08c1b19387f91ee3eac999e16987b46f0c3ce931e3216c070b0fc4ba80ea8</x:v>
      </x:c>
      <x:c r="T158" s="26" t="str">
        <x:v>bd1542630e39a89b5141a300244d4700c8cf2b2a81ef4ccde7fadbe0286696f4</x:v>
      </x:c>
    </x:row>
    <x:row r="159" ht="60" customHeight="1">
      <x:c r="A159" s="26" t="str">
        <x:v>J0922-4949</x:v>
      </x:c>
      <x:c r="B159" s="26" t="str"/>
      <x:c r="C159" s="26" t="str">
        <x:v>NO_TRIGGER</x:v>
      </x:c>
      <x:c r="D159" s="26" t="str">
        <x:v>tpa-batch03-20260908-J0922-4949-run01</x:v>
      </x:c>
      <x:c r="E159" s="26" t="str">
        <x:v>No qualifying signal in eligible 30–400-day cells</x:v>
      </x:c>
      <x:c r="F159" s="26" t="str">
        <x:v>Retain result; consider independent data or a separately defined new scope</x:v>
      </x:c>
      <x:c r="G159" s="26" t="str">
        <x:v>SEARCHED</x:v>
      </x:c>
      <x:c r="H159" s="27" t="n">
        <x:v>422</x:v>
      </x:c>
      <x:c r="I159" s="27" t="n">
        <x:v>53</x:v>
      </x:c>
      <x:c r="J159" s="28" t="n">
        <x:v>1261.8868493786213</x:v>
      </x:c>
      <x:c r="K159" s="26" t="str">
        <x:v>tpa-batch03-20260908</x:v>
      </x:c>
      <x:c r="L159" s="26"/>
      <x:c r="M159" s="26" t="str">
        <x:v>Absent from named inventory</x:v>
      </x:c>
      <x:c r="N159" s="26" t="str">
        <x:v>Absent from named inventory</x:v>
      </x:c>
      <x:c r="O159" s="26" t="str">
        <x:v>Absent from named inventory</x:v>
      </x:c>
      <x:c r="P159" s="26"/>
      <x:c r="Q159" s="26" t="str">
        <x:v>../Project Recherche Data/tpa-batch03-20260908/selection.json</x:v>
      </x:c>
      <x:c r="R159" s="26" t="str">
        <x:v>1cf7dc46e02f8f80971416baec3f4bb7357340d0174269b7b50fc11887c0df28</x:v>
      </x:c>
      <x:c r="S159" s="26" t="str">
        <x:v>ae4ba14c08699f125524c2531c1804c6b8a8e5280fddc609015221dfa837be90</x:v>
      </x:c>
      <x:c r="T159" s="26" t="str">
        <x:v>a7b3780bc987081af919c3f73fc09389bca401c286265b0ced21efb7523969c8</x:v>
      </x:c>
    </x:row>
    <x:row r="160" ht="60" customHeight="1">
      <x:c r="A160" s="26" t="str">
        <x:v>J0924-5302</x:v>
      </x:c>
      <x:c r="B160" s="26" t="str">
        <x:v>B0922-52</x:v>
      </x:c>
      <x:c r="C160" s="26" t="str">
        <x:v>NO_TRIGGER</x:v>
      </x:c>
      <x:c r="D160" s="26" t="str">
        <x:v>tpa-batch05-20260908-J0924-5302-run01</x:v>
      </x:c>
      <x:c r="E160" s="26" t="str">
        <x:v>No qualifying signal in eligible 30–400-day cells</x:v>
      </x:c>
      <x:c r="F160" s="26" t="str">
        <x:v>Retain result; consider independent data or a separately defined new scope</x:v>
      </x:c>
      <x:c r="G160" s="26" t="str">
        <x:v>SEARCHED</x:v>
      </x:c>
      <x:c r="H160" s="27" t="n">
        <x:v>424</x:v>
      </x:c>
      <x:c r="I160" s="27" t="n">
        <x:v>53</x:v>
      </x:c>
      <x:c r="J160" s="28" t="n">
        <x:v>1290.7724734598014</x:v>
      </x:c>
      <x:c r="K160" s="26" t="str">
        <x:v>tpa-batch05-20260908</x:v>
      </x:c>
      <x:c r="L160" s="26"/>
      <x:c r="M160" s="26" t="str">
        <x:v>Absent from named inventory</x:v>
      </x:c>
      <x:c r="N160" s="26" t="str">
        <x:v>Absent from named inventory</x:v>
      </x:c>
      <x:c r="O160" s="26" t="str">
        <x:v>Absent from named inventory</x:v>
      </x:c>
      <x:c r="P160" s="26"/>
      <x:c r="Q160" s="26" t="str">
        <x:v>../Project Recherche Data/tpa-batch05-20260908/selection.json</x:v>
      </x:c>
      <x:c r="R160" s="26" t="str">
        <x:v>1212bfb743fa2d3f16f95056ab4d3c2b52ec5dd997358fe385b8fd00313b3907</x:v>
      </x:c>
      <x:c r="S160" s="26" t="str">
        <x:v>42c30edf6f6a5bb558fd9147aefb560f72ae36d10a7e2f554bcfb45be04dfaba</x:v>
      </x:c>
      <x:c r="T160" s="26" t="str">
        <x:v>b99eaed5c982a14f46501e95c7cb4344b2621b3927cf91ea95c862f248b4a27f</x:v>
      </x:c>
    </x:row>
    <x:row r="161" ht="60" customHeight="1">
      <x:c r="A161" s="26" t="str">
        <x:v>J0924-5814</x:v>
      </x:c>
      <x:c r="B161" s="26" t="str">
        <x:v>B0923-58</x:v>
      </x:c>
      <x:c r="C161" s="26" t="str">
        <x:v>NO_TRIGGER</x:v>
      </x:c>
      <x:c r="D161" s="26" t="str">
        <x:v>utmost-batch03-20260909-J0924-5814-run01</x:v>
      </x:c>
      <x:c r="E161" s="26" t="str">
        <x:v>No qualifying signal in eligible 30–400-day cells</x:v>
      </x:c>
      <x:c r="F161" s="26" t="str">
        <x:v>Retain result; consider independent data or a separately defined new scope</x:v>
      </x:c>
      <x:c r="G161" s="26" t="str">
        <x:v>UTMOST SEARCHED</x:v>
      </x:c>
      <x:c r="H161" s="27" t="n">
        <x:v>96</x:v>
      </x:c>
      <x:c r="I161" s="27" t="n">
        <x:v>12</x:v>
      </x:c>
      <x:c r="J161" s="28" t="n">
        <x:v>489.5420725969816</x:v>
      </x:c>
      <x:c r="K161" s="26"/>
      <x:c r="L161" s="26" t="str">
        <x:v>insufficient_span_or_epochs</x:v>
      </x:c>
      <x:c r="M161" s="26" t="str">
        <x:v>Absent from named inventory</x:v>
      </x:c>
      <x:c r="N161" s="26" t="str">
        <x:v>Absent from named inventory</x:v>
      </x:c>
      <x:c r="O161" s="26" t="str">
        <x:v>Absent from named inventory</x:v>
      </x:c>
      <x:c r="P161" s="26"/>
      <x:c r="Q161" s="26" t="str">
        <x:v>../Project Recherche Data/tpa-batch01-20260908/selection.json</x:v>
      </x:c>
      <x:c r="R161" s="26" t="str">
        <x:v>047722e4dca24e16c44c810f43990492b2f988012ca2b4bab47826ff4c95f1db</x:v>
      </x:c>
      <x:c r="S161" s="26" t="str">
        <x:v>bcd054ca44e0cb80a97daf69d1e175735e8211a3d70512ee4c1b6e3b056544f7</x:v>
      </x:c>
      <x:c r="T161" s="26" t="str">
        <x:v>3790a2d1c3025263899b68e41ca1ccabf0fb29f09a32ffda34845bdc6ee56b0c</x:v>
      </x:c>
    </x:row>
    <x:row r="162" ht="60" customHeight="1">
      <x:c r="A162" s="26" t="str">
        <x:v>J0934-5249</x:v>
      </x:c>
      <x:c r="B162" s="26" t="str">
        <x:v>B0932-52</x:v>
      </x:c>
      <x:c r="C162" s="26" t="str">
        <x:v>NOT_SEARCHED</x:v>
      </x:c>
      <x:c r="D162" s="26"/>
      <x:c r="E162" s="26" t="str">
        <x:v>No observed search</x:v>
      </x:c>
      <x:c r="F162" s="26" t="str">
        <x:v>Retain exclusion for current scope</x:v>
      </x:c>
      <x:c r="G162" s="26" t="str">
        <x:v>TPA EXCLUDED</x:v>
      </x:c>
      <x:c r="H162" s="27" t="n">
        <x:v>216</x:v>
      </x:c>
      <x:c r="I162" s="27" t="n">
        <x:v>27</x:v>
      </x:c>
      <x:c r="J162" s="28" t="n">
        <x:v>1278.6840136537066</x:v>
      </x:c>
      <x:c r="K162" s="26"/>
      <x:c r="L162" s="26" t="str">
        <x:v>insufficient_span_or_epochs</x:v>
      </x:c>
      <x:c r="M162" s="26" t="str">
        <x:v>Absent from named inventory</x:v>
      </x:c>
      <x:c r="N162" s="26" t="str">
        <x:v>Absent from named inventory</x:v>
      </x:c>
      <x:c r="O162" s="26" t="str">
        <x:v>Absent from named inventory</x:v>
      </x:c>
      <x:c r="P162" s="26"/>
      <x:c r="Q162" s="26" t="str">
        <x:v>../Project Recherche Data/tpa-batch01-20260908/selection.json</x:v>
      </x:c>
      <x:c r="R162" s="26" t="str">
        <x:v>047722e4dca24e16c44c810f43990492b2f988012ca2b4bab47826ff4c95f1db</x:v>
      </x:c>
      <x:c r="S162" s="26" t="str">
        <x:v>3e4b9113601681afa490180dec24d24908513f8ae6fa7740a990029d0f060f95</x:v>
      </x:c>
      <x:c r="T162" s="26" t="str">
        <x:v>5eca204b2c154b4f70b3ee0950f36dfe4b8e7c6c98930250dd9db91a7ebfb787</x:v>
      </x:c>
    </x:row>
    <x:row r="163" ht="60" customHeight="1">
      <x:c r="A163" s="26" t="str">
        <x:v>J0940-5428</x:v>
      </x:c>
      <x:c r="B163" s="26" t="str"/>
      <x:c r="C163" s="26" t="str">
        <x:v>NOT_SEARCHED</x:v>
      </x:c>
      <x:c r="D163" s="26"/>
      <x:c r="E163" s="26" t="str">
        <x:v>No observed search</x:v>
      </x:c>
      <x:c r="F163" s="26" t="str">
        <x:v>Retain exclusion for current scope</x:v>
      </x:c>
      <x:c r="G163" s="26" t="str">
        <x:v>TPA EXCLUDED</x:v>
      </x:c>
      <x:c r="H163" s="27" t="n">
        <x:v>216</x:v>
      </x:c>
      <x:c r="I163" s="27" t="n">
        <x:v>27</x:v>
      </x:c>
      <x:c r="J163" s="28" t="n">
        <x:v>1227.8246254366459</x:v>
      </x:c>
      <x:c r="K163" s="26"/>
      <x:c r="L163" s="26" t="str">
        <x:v>insufficient_span_or_epochs</x:v>
      </x:c>
      <x:c r="M163" s="26" t="str">
        <x:v>Absent from named inventory</x:v>
      </x:c>
      <x:c r="N163" s="26" t="str">
        <x:v>Absent from named inventory</x:v>
      </x:c>
      <x:c r="O163" s="26" t="str">
        <x:v>Absent from named inventory</x:v>
      </x:c>
      <x:c r="P163" s="26"/>
      <x:c r="Q163" s="26" t="str">
        <x:v>../Project Recherche Data/tpa-batch01-20260908/selection.json</x:v>
      </x:c>
      <x:c r="R163" s="26" t="str">
        <x:v>047722e4dca24e16c44c810f43990492b2f988012ca2b4bab47826ff4c95f1db</x:v>
      </x:c>
      <x:c r="S163" s="26" t="str">
        <x:v>8796547f320362e1f13ab3af4673d499c64ae8fbafdc15d15bf709f5517a8932</x:v>
      </x:c>
      <x:c r="T163" s="26" t="str">
        <x:v>2114b367424e5343f9aa2532180e20d0f7af06af7e1e017aa2f0c589f5e9e07c</x:v>
      </x:c>
    </x:row>
    <x:row r="164" ht="60" customHeight="1">
      <x:c r="A164" s="26" t="str">
        <x:v>J0941-5244</x:v>
      </x:c>
      <x:c r="B164" s="26" t="str"/>
      <x:c r="C164" s="26" t="str">
        <x:v>NOT_SEARCHED</x:v>
      </x:c>
      <x:c r="D164" s="26"/>
      <x:c r="E164" s="26" t="str">
        <x:v>No observed search</x:v>
      </x:c>
      <x:c r="F164" s="26" t="str">
        <x:v>Retain exclusion for current scope</x:v>
      </x:c>
      <x:c r="G164" s="26" t="str">
        <x:v>TPA EXCLUDED</x:v>
      </x:c>
      <x:c r="H164" s="27" t="n">
        <x:v>213</x:v>
      </x:c>
      <x:c r="I164" s="27" t="n">
        <x:v>27</x:v>
      </x:c>
      <x:c r="J164" s="28" t="n">
        <x:v>1249.7611695789165</x:v>
      </x:c>
      <x:c r="K164" s="26"/>
      <x:c r="L164" s="26" t="str">
        <x:v>insufficient_span_or_epochs</x:v>
      </x:c>
      <x:c r="M164" s="26" t="str">
        <x:v>Absent from named inventory</x:v>
      </x:c>
      <x:c r="N164" s="26" t="str">
        <x:v>Absent from named inventory</x:v>
      </x:c>
      <x:c r="O164" s="26" t="str">
        <x:v>Absent from named inventory</x:v>
      </x:c>
      <x:c r="P164" s="26"/>
      <x:c r="Q164" s="26" t="str">
        <x:v>../Project Recherche Data/tpa-batch01-20260908/selection.json</x:v>
      </x:c>
      <x:c r="R164" s="26" t="str">
        <x:v>047722e4dca24e16c44c810f43990492b2f988012ca2b4bab47826ff4c95f1db</x:v>
      </x:c>
      <x:c r="S164" s="26" t="str">
        <x:v>58ae5642864e74dd7a0fe935ace586bcf581dca87dbc77a70fade41de9d2a0bc</x:v>
      </x:c>
      <x:c r="T164" s="26" t="str">
        <x:v>41086486adf0b9816d37ec5efdf06ad04d7798409144661bce0de9a32bb7d99a</x:v>
      </x:c>
    </x:row>
    <x:row r="165" ht="60" customHeight="1">
      <x:c r="A165" s="26" t="str">
        <x:v>J0942-5552</x:v>
      </x:c>
      <x:c r="B165" s="26" t="str">
        <x:v>B0940-55</x:v>
      </x:c>
      <x:c r="C165" s="26" t="str">
        <x:v>NOT_SEARCHED</x:v>
      </x:c>
      <x:c r="D165" s="26"/>
      <x:c r="E165" s="26" t="str">
        <x:v>No observed search</x:v>
      </x:c>
      <x:c r="F165" s="26" t="str">
        <x:v>Retain exclusion for current scope</x:v>
      </x:c>
      <x:c r="G165" s="26" t="str">
        <x:v>TPA EXCLUDED</x:v>
      </x:c>
      <x:c r="H165" s="27" t="n">
        <x:v>96</x:v>
      </x:c>
      <x:c r="I165" s="27" t="n">
        <x:v>12</x:v>
      </x:c>
      <x:c r="J165" s="28" t="n">
        <x:v>489.5362831902894</x:v>
      </x:c>
      <x:c r="K165" s="26"/>
      <x:c r="L165" s="26" t="str">
        <x:v>insufficient_span_or_epochs</x:v>
      </x:c>
      <x:c r="M165" s="26" t="str">
        <x:v>Absent from named inventory</x:v>
      </x:c>
      <x:c r="N165" s="26" t="str">
        <x:v>Absent from named inventory</x:v>
      </x:c>
      <x:c r="O165" s="26" t="str">
        <x:v>Absent from named inventory</x:v>
      </x:c>
      <x:c r="P165" s="26"/>
      <x:c r="Q165" s="26" t="str">
        <x:v>../Project Recherche Data/tpa-batch01-20260908/selection.json</x:v>
      </x:c>
      <x:c r="R165" s="26" t="str">
        <x:v>047722e4dca24e16c44c810f43990492b2f988012ca2b4bab47826ff4c95f1db</x:v>
      </x:c>
      <x:c r="S165" s="26" t="str">
        <x:v>4ef2a3ddb3f4ba12fe5d124e0e8c5286d0974f54e6db2e652fa9782abeb65c9e</x:v>
      </x:c>
      <x:c r="T165" s="26" t="str">
        <x:v>da2c8e637f86b3c669a3faddc2f45279ae2d3500d939b9045b65dda89a0b5957</x:v>
      </x:c>
    </x:row>
    <x:row r="166" ht="60" customHeight="1">
      <x:c r="A166" s="26" t="str">
        <x:v>J0942-5657</x:v>
      </x:c>
      <x:c r="B166" s="26" t="str">
        <x:v>B0941-56</x:v>
      </x:c>
      <x:c r="C166" s="26" t="str">
        <x:v>NO_TRIGGER</x:v>
      </x:c>
      <x:c r="D166" s="26" t="str">
        <x:v>tpa-batch03-20260908-J0942-5657-run01</x:v>
      </x:c>
      <x:c r="E166" s="26" t="str">
        <x:v>No qualifying signal in eligible 30–400-day cells</x:v>
      </x:c>
      <x:c r="F166" s="26" t="str">
        <x:v>Retain result; consider independent data or a separately defined new scope</x:v>
      </x:c>
      <x:c r="G166" s="26" t="str">
        <x:v>SEARCHED</x:v>
      </x:c>
      <x:c r="H166" s="27" t="n">
        <x:v>424</x:v>
      </x:c>
      <x:c r="I166" s="27" t="n">
        <x:v>53</x:v>
      </x:c>
      <x:c r="J166" s="28" t="n">
        <x:v>1290.7692648099473</x:v>
      </x:c>
      <x:c r="K166" s="26" t="str">
        <x:v>tpa-batch03-20260908</x:v>
      </x:c>
      <x:c r="L166" s="26"/>
      <x:c r="M166" s="26" t="str">
        <x:v>Absent from named inventory</x:v>
      </x:c>
      <x:c r="N166" s="26" t="str">
        <x:v>Absent from named inventory</x:v>
      </x:c>
      <x:c r="O166" s="26" t="str">
        <x:v>Absent from named inventory</x:v>
      </x:c>
      <x:c r="P166" s="26"/>
      <x:c r="Q166" s="26" t="str">
        <x:v>../Project Recherche Data/tpa-batch03-20260908/selection.json</x:v>
      </x:c>
      <x:c r="R166" s="26" t="str">
        <x:v>1cf7dc46e02f8f80971416baec3f4bb7357340d0174269b7b50fc11887c0df28</x:v>
      </x:c>
      <x:c r="S166" s="26" t="str">
        <x:v>ef70eba356c3e46492d59a23191e3a9f2ef06a24f5c2cbf78826f0222dbd7d86</x:v>
      </x:c>
      <x:c r="T166" s="26" t="str">
        <x:v>ce3f9d4cc007e84d7a89bfc01017fdbb240c57c16eedfe89d08023ae4b667581</x:v>
      </x:c>
    </x:row>
    <x:row r="167" ht="60" customHeight="1">
      <x:c r="A167" s="26" t="str">
        <x:v>J0943+1631</x:v>
      </x:c>
      <x:c r="B167" s="26" t="str">
        <x:v>B0940+16</x:v>
      </x:c>
      <x:c r="C167" s="26" t="str">
        <x:v>NOT_SEARCHED</x:v>
      </x:c>
      <x:c r="D167" s="26"/>
      <x:c r="E167" s="26" t="str">
        <x:v>No observed search</x:v>
      </x:c>
      <x:c r="F167" s="26" t="str">
        <x:v>Retain exclusion for current scope</x:v>
      </x:c>
      <x:c r="G167" s="26" t="str">
        <x:v>TPA EXCLUDED</x:v>
      </x:c>
      <x:c r="H167" s="27" t="n">
        <x:v>166</x:v>
      </x:c>
      <x:c r="I167" s="27" t="n">
        <x:v>24</x:v>
      </x:c>
      <x:c r="J167" s="28" t="n">
        <x:v>1278.562953697554</x:v>
      </x:c>
      <x:c r="K167" s="26"/>
      <x:c r="L167" s="26" t="str">
        <x:v>insufficient_span_or_epochs</x:v>
      </x:c>
      <x:c r="M167" s="26" t="str">
        <x:v>Present</x:v>
      </x:c>
      <x:c r="N167" s="26" t="str">
        <x:v>Absent from named inventory</x:v>
      </x:c>
      <x:c r="O167" s="26" t="str">
        <x:v>Absent from named inventory</x:v>
      </x:c>
      <x:c r="P167" s="26"/>
      <x:c r="Q167" s="26" t="str">
        <x:v>../Project Recherche Data/tpa-batch01-20260908/selection.json</x:v>
      </x:c>
      <x:c r="R167" s="26" t="str">
        <x:v>047722e4dca24e16c44c810f43990492b2f988012ca2b4bab47826ff4c95f1db</x:v>
      </x:c>
      <x:c r="S167" s="26" t="str">
        <x:v>a0390f7516d9424c7522b9f8b41dbfb3a495107d18d1c18b4a4d938d759f1b2d</x:v>
      </x:c>
      <x:c r="T167" s="26" t="str">
        <x:v>e203220dd43608ffbcdba7963022542593fe41d404c737926314aeef200872ca</x:v>
      </x:c>
    </x:row>
    <x:row r="168" ht="60" customHeight="1">
      <x:c r="A168" s="26" t="str">
        <x:v>J0944-1354</x:v>
      </x:c>
      <x:c r="B168" s="26" t="str">
        <x:v>B0942-13</x:v>
      </x:c>
      <x:c r="C168" s="26" t="str">
        <x:v>NOT_SEARCHED</x:v>
      </x:c>
      <x:c r="D168" s="26"/>
      <x:c r="E168" s="26" t="str">
        <x:v>No observed search</x:v>
      </x:c>
      <x:c r="F168" s="26" t="str">
        <x:v>Retain exclusion for current scope</x:v>
      </x:c>
      <x:c r="G168" s="26" t="str">
        <x:v>TPA EXCLUDED</x:v>
      </x:c>
      <x:c r="H168" s="27" t="n">
        <x:v>214</x:v>
      </x:c>
      <x:c r="I168" s="27" t="n">
        <x:v>28</x:v>
      </x:c>
      <x:c r="J168" s="28" t="n">
        <x:v>1355.0863133854582</x:v>
      </x:c>
      <x:c r="K168" s="26"/>
      <x:c r="L168" s="26" t="str">
        <x:v>insufficient_span_or_epochs</x:v>
      </x:c>
      <x:c r="M168" s="26" t="str">
        <x:v>Present</x:v>
      </x:c>
      <x:c r="N168" s="26" t="str">
        <x:v>Absent from named inventory</x:v>
      </x:c>
      <x:c r="O168" s="26" t="str">
        <x:v>Absent from named inventory</x:v>
      </x:c>
      <x:c r="P168" s="26"/>
      <x:c r="Q168" s="26" t="str">
        <x:v>../Project Recherche Data/tpa-batch01-20260908/selection.json</x:v>
      </x:c>
      <x:c r="R168" s="26" t="str">
        <x:v>047722e4dca24e16c44c810f43990492b2f988012ca2b4bab47826ff4c95f1db</x:v>
      </x:c>
      <x:c r="S168" s="26" t="str">
        <x:v>36b953209985a0b5d0385fb3fb452ea98cf86a1e1652c2a607936dbac1613c8b</x:v>
      </x:c>
      <x:c r="T168" s="26" t="str">
        <x:v>36ae6ae83fd48501cf781286d9756dc4590f281e751102133763329221f35ec1</x:v>
      </x:c>
    </x:row>
    <x:row r="169" ht="60" customHeight="1">
      <x:c r="A169" s="26" t="str">
        <x:v>J0952-3839</x:v>
      </x:c>
      <x:c r="B169" s="26" t="str">
        <x:v>B0950-38</x:v>
      </x:c>
      <x:c r="C169" s="26" t="str">
        <x:v>NO_TRIGGER</x:v>
      </x:c>
      <x:c r="D169" s="26" t="str">
        <x:v>tpa-batch07-20260908-J0952-3839-run01</x:v>
      </x:c>
      <x:c r="E169" s="26" t="str">
        <x:v>No qualifying signal in eligible 30–400-day cells</x:v>
      </x:c>
      <x:c r="F169" s="26" t="str">
        <x:v>Retain result; consider independent data or a separately defined new scope</x:v>
      </x:c>
      <x:c r="G169" s="26" t="str">
        <x:v>SEARCHED</x:v>
      </x:c>
      <x:c r="H169" s="27" t="n">
        <x:v>389</x:v>
      </x:c>
      <x:c r="I169" s="27" t="n">
        <x:v>53</x:v>
      </x:c>
      <x:c r="J169" s="28" t="n">
        <x:v>1290.6959064368348</x:v>
      </x:c>
      <x:c r="K169" s="26" t="str">
        <x:v>tpa-batch07-20260908</x:v>
      </x:c>
      <x:c r="L169" s="26"/>
      <x:c r="M169" s="26" t="str">
        <x:v>Absent from named inventory</x:v>
      </x:c>
      <x:c r="N169" s="26" t="str">
        <x:v>Absent from named inventory</x:v>
      </x:c>
      <x:c r="O169" s="26" t="str">
        <x:v>Absent from named inventory</x:v>
      </x:c>
      <x:c r="P169" s="26"/>
      <x:c r="Q169" s="26" t="str">
        <x:v>../Project Recherche Data/tpa-batch07-20260908/selection.json</x:v>
      </x:c>
      <x:c r="R169" s="26" t="str">
        <x:v>a0944d5da0924367a8ed78a56de7826f64b6d517eb7c66fa044c452abc4894a7</x:v>
      </x:c>
      <x:c r="S169" s="26" t="str">
        <x:v>443afd8ff19e03fc20786b5fb8ffe506eeda577c0d40dcf33062f4807af55e8e</x:v>
      </x:c>
      <x:c r="T169" s="26" t="str">
        <x:v>d222dab811624bd3ee907125c4ab83a34693f95b3ed5e8b1177e55bc88db0275</x:v>
      </x:c>
    </x:row>
    <x:row r="170" ht="60" customHeight="1">
      <x:c r="A170" s="26" t="str">
        <x:v>J0953+0755</x:v>
      </x:c>
      <x:c r="B170" s="26" t="str">
        <x:v>B0950+08</x:v>
      </x:c>
      <x:c r="C170" s="26" t="str">
        <x:v>NO_TRIGGER</x:v>
      </x:c>
      <x:c r="D170" s="26" t="str">
        <x:v>utmost-batch04-20260909-J0953+0755-run01</x:v>
      </x:c>
      <x:c r="E170" s="26" t="str">
        <x:v>No qualifying signal in eligible 30–400-day cells</x:v>
      </x:c>
      <x:c r="F170" s="26" t="str">
        <x:v>Retain result; consider independent data or a separately defined new scope</x:v>
      </x:c>
      <x:c r="G170" s="26" t="str">
        <x:v>UTMOST SEARCHED</x:v>
      </x:c>
      <x:c r="H170" s="27" t="n">
        <x:v>416</x:v>
      </x:c>
      <x:c r="I170" s="27" t="n">
        <x:v>52</x:v>
      </x:c>
      <x:c r="J170" s="28" t="n">
        <x:v>1290.6804614094508</x:v>
      </x:c>
      <x:c r="K170" s="26" t="str">
        <x:v>tpa-batch08-20260908</x:v>
      </x:c>
      <x:c r="L170" s="26"/>
      <x:c r="M170" s="26" t="str">
        <x:v>Present</x:v>
      </x:c>
      <x:c r="N170" s="26" t="str">
        <x:v>Absent from named inventory</x:v>
      </x:c>
      <x:c r="O170" s="26" t="str">
        <x:v>Absent from named inventory</x:v>
      </x:c>
      <x:c r="P170" s="26"/>
      <x:c r="Q170" s="26" t="str">
        <x:v>../Project Recherche Data/tpa-batch08-20260908/selection.json</x:v>
      </x:c>
      <x:c r="R170" s="26" t="str">
        <x:v>6fe595c0d188861ebc661368dcb361d40c70c01fd3243f0147e51a513ec4e764</x:v>
      </x:c>
      <x:c r="S170" s="26" t="str">
        <x:v>a3efadc577fa278b33e3aa67c7791bad77398268b2a3942966d763ff3d4ffbe6</x:v>
      </x:c>
      <x:c r="T170" s="26" t="str">
        <x:v>eeea082b08f95620773c99b4a53530b88de583603a768f9e6aae16ede93bca89</x:v>
      </x:c>
    </x:row>
    <x:row r="171" ht="60" customHeight="1">
      <x:c r="A171" s="26" t="str">
        <x:v>J0954-5430</x:v>
      </x:c>
      <x:c r="B171" s="26" t="str"/>
      <x:c r="C171" s="26" t="str">
        <x:v>NO_TRIGGER</x:v>
      </x:c>
      <x:c r="D171" s="26" t="str">
        <x:v>tpa-batch04-20260908-J0954-5430-run01</x:v>
      </x:c>
      <x:c r="E171" s="26" t="str">
        <x:v>No qualifying signal in eligible 30–400-day cells</x:v>
      </x:c>
      <x:c r="F171" s="26" t="str">
        <x:v>Retain result; consider independent data or a separately defined new scope</x:v>
      </x:c>
      <x:c r="G171" s="26" t="str">
        <x:v>SEARCHED</x:v>
      </x:c>
      <x:c r="H171" s="27" t="n">
        <x:v>396</x:v>
      </x:c>
      <x:c r="I171" s="27" t="n">
        <x:v>51</x:v>
      </x:c>
      <x:c r="J171" s="28" t="n">
        <x:v>1209.0530361848141</x:v>
      </x:c>
      <x:c r="K171" s="26" t="str">
        <x:v>tpa-batch04-20260908</x:v>
      </x:c>
      <x:c r="L171" s="26"/>
      <x:c r="M171" s="26" t="str">
        <x:v>Absent from named inventory</x:v>
      </x:c>
      <x:c r="N171" s="26" t="str">
        <x:v>Absent from named inventory</x:v>
      </x:c>
      <x:c r="O171" s="26" t="str">
        <x:v>Absent from named inventory</x:v>
      </x:c>
      <x:c r="P171" s="26"/>
      <x:c r="Q171" s="26" t="str">
        <x:v>../Project Recherche Data/tpa-batch04-20260908/selection.json</x:v>
      </x:c>
      <x:c r="R171" s="26" t="str">
        <x:v>88cb06482cd14a2f65e966c23ca1cdea20fdeb356fd59137885e0ec5f3b47d1a</x:v>
      </x:c>
      <x:c r="S171" s="26" t="str">
        <x:v>f494bd774cab20846eb89fe70faad03f7057e115b8321e21e94a207b9a408c1f</x:v>
      </x:c>
      <x:c r="T171" s="26" t="str">
        <x:v>81b30b8da5fb3400f78eaf7b921b3d1749b2536f6bfa99209eea44276f43c206</x:v>
      </x:c>
    </x:row>
    <x:row r="172" ht="60" customHeight="1">
      <x:c r="A172" s="26" t="str">
        <x:v>J0955-5304</x:v>
      </x:c>
      <x:c r="B172" s="26" t="str">
        <x:v>B0953-52</x:v>
      </x:c>
      <x:c r="C172" s="26" t="str">
        <x:v>NO_TRIGGER</x:v>
      </x:c>
      <x:c r="D172" s="26" t="str">
        <x:v>tpa-batch03-20260908-J0955-5304-run01</x:v>
      </x:c>
      <x:c r="E172" s="26" t="str">
        <x:v>No qualifying signal in eligible 30–400-day cells</x:v>
      </x:c>
      <x:c r="F172" s="26" t="str">
        <x:v>Retain result; consider independent data or a separately defined new scope</x:v>
      </x:c>
      <x:c r="G172" s="26" t="str">
        <x:v>SEARCHED</x:v>
      </x:c>
      <x:c r="H172" s="27" t="n">
        <x:v>424</x:v>
      </x:c>
      <x:c r="I172" s="27" t="n">
        <x:v>53</x:v>
      </x:c>
      <x:c r="J172" s="28" t="n">
        <x:v>1290.7699920901068</x:v>
      </x:c>
      <x:c r="K172" s="26" t="str">
        <x:v>tpa-batch03-20260908</x:v>
      </x:c>
      <x:c r="L172" s="26"/>
      <x:c r="M172" s="26" t="str">
        <x:v>Absent from named inventory</x:v>
      </x:c>
      <x:c r="N172" s="26" t="str">
        <x:v>Absent from named inventory</x:v>
      </x:c>
      <x:c r="O172" s="26" t="str">
        <x:v>Absent from named inventory</x:v>
      </x:c>
      <x:c r="P172" s="26"/>
      <x:c r="Q172" s="26" t="str">
        <x:v>../Project Recherche Data/tpa-batch03-20260908/selection.json</x:v>
      </x:c>
      <x:c r="R172" s="26" t="str">
        <x:v>1cf7dc46e02f8f80971416baec3f4bb7357340d0174269b7b50fc11887c0df28</x:v>
      </x:c>
      <x:c r="S172" s="26" t="str">
        <x:v>62bd55713d9ac89dd878a81afebdfb702f3021b91a79f0cc2020c86884ce246e</x:v>
      </x:c>
      <x:c r="T172" s="26" t="str">
        <x:v>7c38f070d65f2cb9cef31b8e6d409826f4ebb4f0ef68eef9cafeb4de94e7ee6e</x:v>
      </x:c>
    </x:row>
    <x:row r="173" ht="60" customHeight="1">
      <x:c r="A173" s="26" t="str">
        <x:v>J0959-4809</x:v>
      </x:c>
      <x:c r="B173" s="26" t="str">
        <x:v>B0957-47</x:v>
      </x:c>
      <x:c r="C173" s="26" t="str">
        <x:v>NO_TRIGGER</x:v>
      </x:c>
      <x:c r="D173" s="26" t="str">
        <x:v>tpa-batch06-20260908-J0959-4809-run01</x:v>
      </x:c>
      <x:c r="E173" s="26" t="str">
        <x:v>No qualifying signal in eligible 30–400-day cells</x:v>
      </x:c>
      <x:c r="F173" s="26" t="str">
        <x:v>Retain result; consider independent data or a separately defined new scope</x:v>
      </x:c>
      <x:c r="G173" s="26" t="str">
        <x:v>SEARCHED</x:v>
      </x:c>
      <x:c r="H173" s="27" t="n">
        <x:v>408</x:v>
      </x:c>
      <x:c r="I173" s="27" t="n">
        <x:v>51</x:v>
      </x:c>
      <x:c r="J173" s="28" t="n">
        <x:v>1270.6397964002535</x:v>
      </x:c>
      <x:c r="K173" s="26" t="str">
        <x:v>tpa-batch06-20260908</x:v>
      </x:c>
      <x:c r="L173" s="26"/>
      <x:c r="M173" s="26" t="str">
        <x:v>Absent from named inventory</x:v>
      </x:c>
      <x:c r="N173" s="26" t="str">
        <x:v>Absent from named inventory</x:v>
      </x:c>
      <x:c r="O173" s="26" t="str">
        <x:v>Absent from named inventory</x:v>
      </x:c>
      <x:c r="P173" s="26"/>
      <x:c r="Q173" s="26" t="str">
        <x:v>../Project Recherche Data/tpa-batch06-20260908/selection.json</x:v>
      </x:c>
      <x:c r="R173" s="26" t="str">
        <x:v>aa7dc82ae2f0aa7f4ad390810d65a59ea2811f4802deb69c9130205b6466f356</x:v>
      </x:c>
      <x:c r="S173" s="26" t="str">
        <x:v>dc53d135bda5552eda847383c1925f503d9db1cf00401478fb44c28f286cf43a</x:v>
      </x:c>
      <x:c r="T173" s="26" t="str">
        <x:v>333f9639c8423f370a8510ffe1beb09963c971f2b7595831556594d97ae4b500</x:v>
      </x:c>
    </x:row>
    <x:row r="174" ht="60" customHeight="1">
      <x:c r="A174" s="26" t="str">
        <x:v>J1001-5507</x:v>
      </x:c>
      <x:c r="B174" s="26" t="str">
        <x:v>B0959-54</x:v>
      </x:c>
      <x:c r="C174" s="26" t="str">
        <x:v>NO_TRIGGER</x:v>
      </x:c>
      <x:c r="D174" s="26" t="str">
        <x:v>utmost-batch02-20260909-J1001-5507-run01</x:v>
      </x:c>
      <x:c r="E174" s="26" t="str">
        <x:v>No qualifying signal in eligible 30–400-day cells</x:v>
      </x:c>
      <x:c r="F174" s="26" t="str">
        <x:v>Retain result; consider independent data or a separately defined new scope</x:v>
      </x:c>
      <x:c r="G174" s="26" t="str">
        <x:v>UTMOST SEARCHED</x:v>
      </x:c>
      <x:c r="H174" s="27" t="n">
        <x:v>224</x:v>
      </x:c>
      <x:c r="I174" s="27" t="n">
        <x:v>28</x:v>
      </x:c>
      <x:c r="J174" s="28" t="n">
        <x:v>1258.5090153277997</x:v>
      </x:c>
      <x:c r="K174" s="26"/>
      <x:c r="L174" s="26" t="str">
        <x:v>insufficient_span_or_epochs</x:v>
      </x:c>
      <x:c r="M174" s="26" t="str">
        <x:v>Absent from named inventory</x:v>
      </x:c>
      <x:c r="N174" s="26" t="str">
        <x:v>Absent from named inventory</x:v>
      </x:c>
      <x:c r="O174" s="26" t="str">
        <x:v>Absent from named inventory</x:v>
      </x:c>
      <x:c r="P174" s="26"/>
      <x:c r="Q174" s="26" t="str">
        <x:v>../Project Recherche Data/tpa-batch01-20260908/selection.json</x:v>
      </x:c>
      <x:c r="R174" s="26" t="str">
        <x:v>047722e4dca24e16c44c810f43990492b2f988012ca2b4bab47826ff4c95f1db</x:v>
      </x:c>
      <x:c r="S174" s="26" t="str">
        <x:v>130e5a00dd1006db86b6248fc421c83f801c2f6d7cab101a6b8198fb63169093</x:v>
      </x:c>
      <x:c r="T174" s="26" t="str">
        <x:v>cf89b7478e4f4d3f670c3253c762972a06b3531f92e10421a5086b96870d3231</x:v>
      </x:c>
    </x:row>
    <x:row r="175" ht="60" customHeight="1">
      <x:c r="A175" s="26" t="str">
        <x:v>J1001-5559</x:v>
      </x:c>
      <x:c r="B175" s="26" t="str"/>
      <x:c r="C175" s="26" t="str">
        <x:v>NOT_SEARCHED</x:v>
      </x:c>
      <x:c r="D175" s="26"/>
      <x:c r="E175" s="26" t="str">
        <x:v>No observed search</x:v>
      </x:c>
      <x:c r="F175" s="26" t="str">
        <x:v>Retain exclusion for current scope</x:v>
      </x:c>
      <x:c r="G175" s="26" t="str">
        <x:v>TPA EXCLUDED</x:v>
      </x:c>
      <x:c r="H175" s="27" t="n">
        <x:v>224</x:v>
      </x:c>
      <x:c r="I175" s="27" t="n">
        <x:v>28</x:v>
      </x:c>
      <x:c r="J175" s="28" t="n">
        <x:v>1278.6862320216605</x:v>
      </x:c>
      <x:c r="K175" s="26"/>
      <x:c r="L175" s="26" t="str">
        <x:v>insufficient_span_or_epochs</x:v>
      </x:c>
      <x:c r="M175" s="26" t="str">
        <x:v>Absent from named inventory</x:v>
      </x:c>
      <x:c r="N175" s="26" t="str">
        <x:v>Absent from named inventory</x:v>
      </x:c>
      <x:c r="O175" s="26" t="str">
        <x:v>Absent from named inventory</x:v>
      </x:c>
      <x:c r="P175" s="26"/>
      <x:c r="Q175" s="26" t="str">
        <x:v>../Project Recherche Data/tpa-batch01-20260908/selection.json</x:v>
      </x:c>
      <x:c r="R175" s="26" t="str">
        <x:v>047722e4dca24e16c44c810f43990492b2f988012ca2b4bab47826ff4c95f1db</x:v>
      </x:c>
      <x:c r="S175" s="26" t="str">
        <x:v>dad96cdd2260392be29a68faadbc989e1b35d11098bce605e262a4ec32643635</x:v>
      </x:c>
      <x:c r="T175" s="26" t="str">
        <x:v>db982c1cbe11751afa91dd00d2c26a9b333f72c8cc2194073548945b10d71059</x:v>
      </x:c>
    </x:row>
    <x:row r="176" ht="60" customHeight="1">
      <x:c r="A176" s="26" t="str">
        <x:v>J1003-4747</x:v>
      </x:c>
      <x:c r="B176" s="26" t="str">
        <x:v>B1001-47</x:v>
      </x:c>
      <x:c r="C176" s="26" t="str">
        <x:v>NOT_SEARCHED</x:v>
      </x:c>
      <x:c r="D176" s="26"/>
      <x:c r="E176" s="26" t="str">
        <x:v>No observed search</x:v>
      </x:c>
      <x:c r="F176" s="26" t="str">
        <x:v>Retain exclusion for current scope</x:v>
      </x:c>
      <x:c r="G176" s="26" t="str">
        <x:v>TPA EXCLUDED</x:v>
      </x:c>
      <x:c r="H176" s="27" t="n">
        <x:v>96</x:v>
      </x:c>
      <x:c r="I176" s="27" t="n">
        <x:v>12</x:v>
      </x:c>
      <x:c r="J176" s="28" t="n">
        <x:v>458.844233940079</x:v>
      </x:c>
      <x:c r="K176" s="26"/>
      <x:c r="L176" s="26" t="str">
        <x:v>insufficient_span_or_epochs</x:v>
      </x:c>
      <x:c r="M176" s="26" t="str">
        <x:v>Absent from named inventory</x:v>
      </x:c>
      <x:c r="N176" s="26" t="str">
        <x:v>Absent from named inventory</x:v>
      </x:c>
      <x:c r="O176" s="26" t="str">
        <x:v>Absent from named inventory</x:v>
      </x:c>
      <x:c r="P176" s="26"/>
      <x:c r="Q176" s="26" t="str">
        <x:v>../Project Recherche Data/tpa-batch01-20260908/selection.json</x:v>
      </x:c>
      <x:c r="R176" s="26" t="str">
        <x:v>047722e4dca24e16c44c810f43990492b2f988012ca2b4bab47826ff4c95f1db</x:v>
      </x:c>
      <x:c r="S176" s="26" t="str">
        <x:v>de870e102bb22d112a42e7c34830cb1bc99357a3665e687386cacefd482719e7</x:v>
      </x:c>
      <x:c r="T176" s="26" t="str">
        <x:v>fa020b47756c04cec861e211a84e8cf7efb00077f94bcd8e9e49c6ebd515cddc</x:v>
      </x:c>
    </x:row>
    <x:row r="177" ht="60" customHeight="1">
      <x:c r="A177" s="26" t="str">
        <x:v>J1012-5857</x:v>
      </x:c>
      <x:c r="B177" s="26" t="str">
        <x:v>B1011-58</x:v>
      </x:c>
      <x:c r="C177" s="26" t="str">
        <x:v>NO_TRIGGER</x:v>
      </x:c>
      <x:c r="D177" s="26" t="str">
        <x:v>utmost-batch04-20260909-J1012-5857-run01</x:v>
      </x:c>
      <x:c r="E177" s="26" t="str">
        <x:v>No qualifying signal in eligible 30–400-day cells</x:v>
      </x:c>
      <x:c r="F177" s="26" t="str">
        <x:v>Retain result; consider independent data or a separately defined new scope</x:v>
      </x:c>
      <x:c r="G177" s="26" t="str">
        <x:v>UTMOST SEARCHED</x:v>
      </x:c>
      <x:c r="H177" s="27" t="n">
        <x:v>400</x:v>
      </x:c>
      <x:c r="I177" s="27" t="n">
        <x:v>50</x:v>
      </x:c>
      <x:c r="J177" s="28" t="n">
        <x:v>1270.634636811359</x:v>
      </x:c>
      <x:c r="K177" s="26" t="str">
        <x:v>tpa-batch04-20260908</x:v>
      </x:c>
      <x:c r="L177" s="26"/>
      <x:c r="M177" s="26" t="str">
        <x:v>Absent from named inventory</x:v>
      </x:c>
      <x:c r="N177" s="26" t="str">
        <x:v>Absent from named inventory</x:v>
      </x:c>
      <x:c r="O177" s="26" t="str">
        <x:v>Absent from named inventory</x:v>
      </x:c>
      <x:c r="P177" s="26"/>
      <x:c r="Q177" s="26" t="str">
        <x:v>../Project Recherche Data/tpa-batch04-20260908/selection.json</x:v>
      </x:c>
      <x:c r="R177" s="26" t="str">
        <x:v>88cb06482cd14a2f65e966c23ca1cdea20fdeb356fd59137885e0ec5f3b47d1a</x:v>
      </x:c>
      <x:c r="S177" s="26" t="str">
        <x:v>a551d09496f5c7906ecfea805e054ccda93c00fac0500b9e315624b503162dcd</x:v>
      </x:c>
      <x:c r="T177" s="26" t="str">
        <x:v>281af02cd64342f30efe8350b369735aa1715a7f813af5e10aaca6821b0f4bc7</x:v>
      </x:c>
    </x:row>
    <x:row r="178" ht="60" customHeight="1">
      <x:c r="A178" s="26" t="str">
        <x:v>J1013-5934</x:v>
      </x:c>
      <x:c r="B178" s="26" t="str"/>
      <x:c r="C178" s="26" t="str">
        <x:v>NO_TRIGGER</x:v>
      </x:c>
      <x:c r="D178" s="26" t="str">
        <x:v>utmost-batch04-20260909-J1013-5934-run01</x:v>
      </x:c>
      <x:c r="E178" s="26" t="str">
        <x:v>No qualifying signal in eligible 30–400-day cells</x:v>
      </x:c>
      <x:c r="F178" s="26" t="str">
        <x:v>Retain result; consider independent data or a separately defined new scope</x:v>
      </x:c>
      <x:c r="G178" s="26" t="str">
        <x:v>UTMOST SEARCHED</x:v>
      </x:c>
      <x:c r="H178" s="27" t="n">
        <x:v>423</x:v>
      </x:c>
      <x:c r="I178" s="27" t="n">
        <x:v>53</x:v>
      </x:c>
      <x:c r="J178" s="28" t="n">
        <x:v>1290.768325560508</x:v>
      </x:c>
      <x:c r="K178" s="26" t="str">
        <x:v>tpa-batch02-20260908</x:v>
      </x:c>
      <x:c r="L178" s="26"/>
      <x:c r="M178" s="26" t="str">
        <x:v>Absent from named inventory</x:v>
      </x:c>
      <x:c r="N178" s="26" t="str">
        <x:v>Absent from named inventory</x:v>
      </x:c>
      <x:c r="O178" s="26" t="str">
        <x:v>Absent from named inventory</x:v>
      </x:c>
      <x:c r="P178" s="26"/>
      <x:c r="Q178" s="26" t="str">
        <x:v>../Project Recherche Data/tpa-batch02-20260908/selection.json</x:v>
      </x:c>
      <x:c r="R178" s="26" t="str">
        <x:v>eafdf9d3c8016443c502ba19ffd89257148144d3a88befddff9c95b47674d326</x:v>
      </x:c>
      <x:c r="S178" s="26" t="str">
        <x:v>580082c645b2381c8637d3b0cfa53606e7335e431a283c302e4f7f4098384efb</x:v>
      </x:c>
      <x:c r="T178" s="26" t="str">
        <x:v>ef0fa95ada0c7d06001ebab9f8b09e11a3aae890ee22a2f7f491ecb629821589</x:v>
      </x:c>
    </x:row>
    <x:row r="179" ht="60" customHeight="1">
      <x:c r="A179" s="26" t="str">
        <x:v>J1015-5719</x:v>
      </x:c>
      <x:c r="B179" s="26" t="str"/>
      <x:c r="C179" s="26" t="str">
        <x:v>NOT_SEARCHED</x:v>
      </x:c>
      <x:c r="D179" s="26"/>
      <x:c r="E179" s="26" t="str">
        <x:v>No observed search</x:v>
      </x:c>
      <x:c r="F179" s="26" t="str">
        <x:v>Retain exclusion for current scope</x:v>
      </x:c>
      <x:c r="G179" s="26" t="str">
        <x:v>TPA EXCLUDED</x:v>
      </x:c>
      <x:c r="H179" s="27" t="n">
        <x:v>208</x:v>
      </x:c>
      <x:c r="I179" s="27" t="n">
        <x:v>26</x:v>
      </x:c>
      <x:c r="J179" s="28" t="n">
        <x:v>1258.492667104365</x:v>
      </x:c>
      <x:c r="K179" s="26"/>
      <x:c r="L179" s="26" t="str">
        <x:v>insufficient_span_or_epochs</x:v>
      </x:c>
      <x:c r="M179" s="26" t="str">
        <x:v>Absent from named inventory</x:v>
      </x:c>
      <x:c r="N179" s="26" t="str">
        <x:v>Absent from named inventory</x:v>
      </x:c>
      <x:c r="O179" s="26" t="str">
        <x:v>Absent from named inventory</x:v>
      </x:c>
      <x:c r="P179" s="26"/>
      <x:c r="Q179" s="26" t="str">
        <x:v>../Project Recherche Data/tpa-batch01-20260908/selection.json</x:v>
      </x:c>
      <x:c r="R179" s="26" t="str">
        <x:v>047722e4dca24e16c44c810f43990492b2f988012ca2b4bab47826ff4c95f1db</x:v>
      </x:c>
      <x:c r="S179" s="26" t="str">
        <x:v>97ab7aa1f5fdaf980e4e05cf0ca7aa566556489ea09ef3e3a70d118e955d42e0</x:v>
      </x:c>
      <x:c r="T179" s="26" t="str">
        <x:v>6ae8803dedf3c8cc6df98e7c0ce28e3ff6c88bd7b28f609efac6c84cf2e402b7</x:v>
      </x:c>
    </x:row>
    <x:row r="180" ht="60" customHeight="1">
      <x:c r="A180" s="26" t="str">
        <x:v>J1016-5345</x:v>
      </x:c>
      <x:c r="B180" s="26" t="str">
        <x:v>B1014-53</x:v>
      </x:c>
      <x:c r="C180" s="26" t="str">
        <x:v>NOT_SEARCHED</x:v>
      </x:c>
      <x:c r="D180" s="26"/>
      <x:c r="E180" s="26" t="str">
        <x:v>No observed search</x:v>
      </x:c>
      <x:c r="F180" s="26" t="str">
        <x:v>Retain exclusion for current scope</x:v>
      </x:c>
      <x:c r="G180" s="26" t="str">
        <x:v>TPA EXCLUDED</x:v>
      </x:c>
      <x:c r="H180" s="27" t="n">
        <x:v>224</x:v>
      </x:c>
      <x:c r="I180" s="27" t="n">
        <x:v>28</x:v>
      </x:c>
      <x:c r="J180" s="28" t="n">
        <x:v>1278.6841944935659</x:v>
      </x:c>
      <x:c r="K180" s="26"/>
      <x:c r="L180" s="26" t="str">
        <x:v>insufficient_span_or_epochs</x:v>
      </x:c>
      <x:c r="M180" s="26" t="str">
        <x:v>Absent from named inventory</x:v>
      </x:c>
      <x:c r="N180" s="26" t="str">
        <x:v>Absent from named inventory</x:v>
      </x:c>
      <x:c r="O180" s="26" t="str">
        <x:v>Absent from named inventory</x:v>
      </x:c>
      <x:c r="P180" s="26"/>
      <x:c r="Q180" s="26" t="str">
        <x:v>../Project Recherche Data/tpa-batch01-20260908/selection.json</x:v>
      </x:c>
      <x:c r="R180" s="26" t="str">
        <x:v>047722e4dca24e16c44c810f43990492b2f988012ca2b4bab47826ff4c95f1db</x:v>
      </x:c>
      <x:c r="S180" s="26" t="str">
        <x:v>11d0cdc85bd8a2613e1cead74dc3cda9b065da69085ea337c7ac10eaa2128ae3</x:v>
      </x:c>
      <x:c r="T180" s="26" t="str">
        <x:v>382db6d021fbf08563cd76d274e49f2f84258843d62ab52c2b86ff1cb180b114</x:v>
      </x:c>
    </x:row>
    <x:row r="181" ht="60" customHeight="1">
      <x:c r="A181" s="26" t="str">
        <x:v>J1016-5857</x:v>
      </x:c>
      <x:c r="B181" s="26" t="str"/>
      <x:c r="C181" s="26" t="str">
        <x:v>NOT_SEARCHED</x:v>
      </x:c>
      <x:c r="D181" s="26"/>
      <x:c r="E181" s="26" t="str">
        <x:v>No observed search</x:v>
      </x:c>
      <x:c r="F181" s="26" t="str">
        <x:v>Retain exclusion for current scope</x:v>
      </x:c>
      <x:c r="G181" s="26" t="str">
        <x:v>TPA EXCLUDED</x:v>
      </x:c>
      <x:c r="H181" s="27" t="n">
        <x:v>202</x:v>
      </x:c>
      <x:c r="I181" s="27" t="n">
        <x:v>26</x:v>
      </x:c>
      <x:c r="J181" s="28" t="n">
        <x:v>1227.8297429086597</x:v>
      </x:c>
      <x:c r="K181" s="26"/>
      <x:c r="L181" s="26" t="str">
        <x:v>insufficient_span_or_epochs</x:v>
      </x:c>
      <x:c r="M181" s="26" t="str">
        <x:v>Absent from named inventory</x:v>
      </x:c>
      <x:c r="N181" s="26" t="str">
        <x:v>Absent from named inventory</x:v>
      </x:c>
      <x:c r="O181" s="26" t="str">
        <x:v>Absent from named inventory</x:v>
      </x:c>
      <x:c r="P181" s="26"/>
      <x:c r="Q181" s="26" t="str">
        <x:v>../Project Recherche Data/tpa-batch01-20260908/selection.json</x:v>
      </x:c>
      <x:c r="R181" s="26" t="str">
        <x:v>047722e4dca24e16c44c810f43990492b2f988012ca2b4bab47826ff4c95f1db</x:v>
      </x:c>
      <x:c r="S181" s="26" t="str">
        <x:v>701806364ac975e6d640412609c57aaaa0f767b35906c8f0c30cddfa00e21b1d</x:v>
      </x:c>
      <x:c r="T181" s="26" t="str">
        <x:v>30db185f164a4eceaaaf743c51f3d16901bc68c15071da2a660085985dfcf449</x:v>
      </x:c>
    </x:row>
    <x:row r="182" ht="60" customHeight="1">
      <x:c r="A182" s="26" t="str">
        <x:v>J1017-5621</x:v>
      </x:c>
      <x:c r="B182" s="26" t="str">
        <x:v>B1015-56</x:v>
      </x:c>
      <x:c r="C182" s="26" t="str">
        <x:v>NOT_SEARCHED</x:v>
      </x:c>
      <x:c r="D182" s="26"/>
      <x:c r="E182" s="26" t="str">
        <x:v>No observed search</x:v>
      </x:c>
      <x:c r="F182" s="26" t="str">
        <x:v>Retain exclusion for current scope</x:v>
      </x:c>
      <x:c r="G182" s="26" t="str">
        <x:v>TPA EXCLUDED</x:v>
      </x:c>
      <x:c r="H182" s="27" t="n">
        <x:v>96</x:v>
      </x:c>
      <x:c r="I182" s="27" t="n">
        <x:v>12</x:v>
      </x:c>
      <x:c r="J182" s="28" t="n">
        <x:v>489.50620572335174</x:v>
      </x:c>
      <x:c r="K182" s="26"/>
      <x:c r="L182" s="26" t="str">
        <x:v>insufficient_span_or_epochs</x:v>
      </x:c>
      <x:c r="M182" s="26" t="str">
        <x:v>Absent from named inventory</x:v>
      </x:c>
      <x:c r="N182" s="26" t="str">
        <x:v>Absent from named inventory</x:v>
      </x:c>
      <x:c r="O182" s="26" t="str">
        <x:v>Absent from named inventory</x:v>
      </x:c>
      <x:c r="P182" s="26"/>
      <x:c r="Q182" s="26" t="str">
        <x:v>../Project Recherche Data/tpa-batch01-20260908/selection.json</x:v>
      </x:c>
      <x:c r="R182" s="26" t="str">
        <x:v>047722e4dca24e16c44c810f43990492b2f988012ca2b4bab47826ff4c95f1db</x:v>
      </x:c>
      <x:c r="S182" s="26" t="str">
        <x:v>95bf6f6f72fede03c4493e7f398c84f90c32348f325475e813d764012dd6a6ee</x:v>
      </x:c>
      <x:c r="T182" s="26" t="str">
        <x:v>37b551551c9c34a14a8cf5e60320b7737eed0a8e011c41ccfe004523063217b9</x:v>
      </x:c>
    </x:row>
    <x:row r="183" ht="60" customHeight="1">
      <x:c r="A183" s="26" t="str">
        <x:v>J1018-1642</x:v>
      </x:c>
      <x:c r="B183" s="26" t="str">
        <x:v>B1016-16</x:v>
      </x:c>
      <x:c r="C183" s="26" t="str">
        <x:v>NOT_SEARCHED</x:v>
      </x:c>
      <x:c r="D183" s="26"/>
      <x:c r="E183" s="26" t="str">
        <x:v>No observed search</x:v>
      </x:c>
      <x:c r="F183" s="26" t="str">
        <x:v>Retain exclusion for current scope</x:v>
      </x:c>
      <x:c r="G183" s="26" t="str">
        <x:v>TPA EXCLUDED</x:v>
      </x:c>
      <x:c r="H183" s="27" t="n">
        <x:v>212</x:v>
      </x:c>
      <x:c r="I183" s="27" t="n">
        <x:v>27</x:v>
      </x:c>
      <x:c r="J183" s="28" t="n">
        <x:v>1278.6067797075957</x:v>
      </x:c>
      <x:c r="K183" s="26"/>
      <x:c r="L183" s="26" t="str">
        <x:v>insufficient_span_or_epochs</x:v>
      </x:c>
      <x:c r="M183" s="26" t="str">
        <x:v>Present</x:v>
      </x:c>
      <x:c r="N183" s="26" t="str">
        <x:v>Absent from named inventory</x:v>
      </x:c>
      <x:c r="O183" s="26" t="str">
        <x:v>Absent from named inventory</x:v>
      </x:c>
      <x:c r="P183" s="26"/>
      <x:c r="Q183" s="26" t="str">
        <x:v>../Project Recherche Data/tpa-batch01-20260908/selection.json</x:v>
      </x:c>
      <x:c r="R183" s="26" t="str">
        <x:v>047722e4dca24e16c44c810f43990492b2f988012ca2b4bab47826ff4c95f1db</x:v>
      </x:c>
      <x:c r="S183" s="26" t="str">
        <x:v>7a031db8fd4b2c11846b3f6d75f73b2453cb8427f3204992c2298447c82d1897</x:v>
      </x:c>
      <x:c r="T183" s="26" t="str">
        <x:v>a585115c09ebf3e0f432aab906cd6a45c3ba6b8aa43234796f4de72a59ea6d7e</x:v>
      </x:c>
    </x:row>
    <x:row r="184" ht="60" customHeight="1">
      <x:c r="A184" s="26" t="str">
        <x:v>J1019-5749</x:v>
      </x:c>
      <x:c r="B184" s="26" t="str"/>
      <x:c r="C184" s="26" t="str">
        <x:v>NOT_SEARCHED</x:v>
      </x:c>
      <x:c r="D184" s="26"/>
      <x:c r="E184" s="26" t="str">
        <x:v>No observed search</x:v>
      </x:c>
      <x:c r="F184" s="26" t="str">
        <x:v>Retain exclusion for current scope</x:v>
      </x:c>
      <x:c r="G184" s="26" t="str">
        <x:v>TPA EXCLUDED</x:v>
      </x:c>
      <x:c r="H184" s="27" t="n">
        <x:v>192</x:v>
      </x:c>
      <x:c r="I184" s="27" t="n">
        <x:v>24</x:v>
      </x:c>
      <x:c r="J184" s="28" t="n">
        <x:v>1258.4872282185024</x:v>
      </x:c>
      <x:c r="K184" s="26"/>
      <x:c r="L184" s="26" t="str">
        <x:v>published_glitch, insufficient_span_or_epochs</x:v>
      </x:c>
      <x:c r="M184" s="26" t="str">
        <x:v>Absent from named inventory</x:v>
      </x:c>
      <x:c r="N184" s="26" t="str">
        <x:v>Absent from named inventory</x:v>
      </x:c>
      <x:c r="O184" s="26" t="str">
        <x:v>Absent from named inventory</x:v>
      </x:c>
      <x:c r="P184" s="26"/>
      <x:c r="Q184" s="26" t="str">
        <x:v>../Project Recherche Data/tpa-batch01-20260908/selection.json</x:v>
      </x:c>
      <x:c r="R184" s="26" t="str">
        <x:v>047722e4dca24e16c44c810f43990492b2f988012ca2b4bab47826ff4c95f1db</x:v>
      </x:c>
      <x:c r="S184" s="26" t="str">
        <x:v>77470a7c2c4959c9897c701a2e00bb1a24b5055e13e4c4eae1b55947edf6577b</x:v>
      </x:c>
      <x:c r="T184" s="26" t="str">
        <x:v>3df9dd7000768bdcef9823f78637b2f8bd4fcc8f9617aafe30650fea64b88899</x:v>
      </x:c>
    </x:row>
    <x:row r="185" ht="60" customHeight="1">
      <x:c r="A185" s="26" t="str">
        <x:v>J1034-3224</x:v>
      </x:c>
      <x:c r="B185" s="26" t="str"/>
      <x:c r="C185" s="26" t="str">
        <x:v>NO_TRIGGER</x:v>
      </x:c>
      <x:c r="D185" s="26" t="str">
        <x:v>utmost-batch04-20260909-J1034-3224-run01</x:v>
      </x:c>
      <x:c r="E185" s="26" t="str">
        <x:v>No qualifying signal in eligible 30–400-day cells</x:v>
      </x:c>
      <x:c r="F185" s="26" t="str">
        <x:v>Retain result; consider independent data or a separately defined new scope</x:v>
      </x:c>
      <x:c r="G185" s="26" t="str">
        <x:v>UTMOST SEARCHED</x:v>
      </x:c>
      <x:c r="H185" s="27" t="n">
        <x:v>214</x:v>
      </x:c>
      <x:c r="I185" s="27" t="n">
        <x:v>27</x:v>
      </x:c>
      <x:c r="J185" s="28" t="n">
        <x:v>1258.51646434563</x:v>
      </x:c>
      <x:c r="K185" s="26"/>
      <x:c r="L185" s="26" t="str">
        <x:v>insufficient_span_or_epochs</x:v>
      </x:c>
      <x:c r="M185" s="26" t="str">
        <x:v>Present</x:v>
      </x:c>
      <x:c r="N185" s="26" t="str">
        <x:v>Absent from named inventory</x:v>
      </x:c>
      <x:c r="O185" s="26" t="str">
        <x:v>Absent from named inventory</x:v>
      </x:c>
      <x:c r="P185" s="26"/>
      <x:c r="Q185" s="26" t="str">
        <x:v>../Project Recherche Data/tpa-batch01-20260908/selection.json</x:v>
      </x:c>
      <x:c r="R185" s="26" t="str">
        <x:v>047722e4dca24e16c44c810f43990492b2f988012ca2b4bab47826ff4c95f1db</x:v>
      </x:c>
      <x:c r="S185" s="26" t="str">
        <x:v>1387dd6d8513076c9f50e1489b1722c6f8a353773d576c623e5e7b9f5eb99c04</x:v>
      </x:c>
      <x:c r="T185" s="26" t="str">
        <x:v>a520498488cf0e35696d005c20641f118c52a0e8966a63811fa623e1753688fe</x:v>
      </x:c>
    </x:row>
    <x:row r="186" ht="60" customHeight="1">
      <x:c r="A186" s="26" t="str">
        <x:v>J1036-4926</x:v>
      </x:c>
      <x:c r="B186" s="26" t="str"/>
      <x:c r="C186" s="26" t="str">
        <x:v>NO_TRIGGER</x:v>
      </x:c>
      <x:c r="D186" s="26" t="str">
        <x:v>tpa-batch03-20260908-J1036-4926-run01</x:v>
      </x:c>
      <x:c r="E186" s="26" t="str">
        <x:v>No qualifying signal in eligible 30–400-day cells</x:v>
      </x:c>
      <x:c r="F186" s="26" t="str">
        <x:v>Retain result; consider independent data or a separately defined new scope</x:v>
      </x:c>
      <x:c r="G186" s="26" t="str">
        <x:v>SEARCHED</x:v>
      </x:c>
      <x:c r="H186" s="27" t="n">
        <x:v>416</x:v>
      </x:c>
      <x:c r="I186" s="27" t="n">
        <x:v>52</x:v>
      </x:c>
      <x:c r="J186" s="28" t="n">
        <x:v>1290.7846796983576</x:v>
      </x:c>
      <x:c r="K186" s="26" t="str">
        <x:v>tpa-batch03-20260908</x:v>
      </x:c>
      <x:c r="L186" s="26"/>
      <x:c r="M186" s="26" t="str">
        <x:v>Absent from named inventory</x:v>
      </x:c>
      <x:c r="N186" s="26" t="str">
        <x:v>Absent from named inventory</x:v>
      </x:c>
      <x:c r="O186" s="26" t="str">
        <x:v>Absent from named inventory</x:v>
      </x:c>
      <x:c r="P186" s="26"/>
      <x:c r="Q186" s="26" t="str">
        <x:v>../Project Recherche Data/tpa-batch03-20260908/selection.json</x:v>
      </x:c>
      <x:c r="R186" s="26" t="str">
        <x:v>1cf7dc46e02f8f80971416baec3f4bb7357340d0174269b7b50fc11887c0df28</x:v>
      </x:c>
      <x:c r="S186" s="26" t="str">
        <x:v>2f65dbb968f5bf52d89934a70d076db3aae51a08cac29688f967d696a768194c</x:v>
      </x:c>
      <x:c r="T186" s="26" t="str">
        <x:v>13409bf32c99de4068e35a887d3edb62764823fec5dc08e8f0198b14e6e4c480</x:v>
      </x:c>
    </x:row>
    <x:row r="187" ht="60" customHeight="1">
      <x:c r="A187" s="26" t="str">
        <x:v>J1038-5831</x:v>
      </x:c>
      <x:c r="B187" s="26" t="str">
        <x:v>B1036-58</x:v>
      </x:c>
      <x:c r="C187" s="26" t="str">
        <x:v>NOT_SEARCHED</x:v>
      </x:c>
      <x:c r="D187" s="26"/>
      <x:c r="E187" s="26" t="str">
        <x:v>No observed search</x:v>
      </x:c>
      <x:c r="F187" s="26" t="str">
        <x:v>Retain exclusion for current scope</x:v>
      </x:c>
      <x:c r="G187" s="26" t="str">
        <x:v>TPA EXCLUDED</x:v>
      </x:c>
      <x:c r="H187" s="27" t="n">
        <x:v>196</x:v>
      </x:c>
      <x:c r="I187" s="27" t="n">
        <x:v>27</x:v>
      </x:c>
      <x:c r="J187" s="28" t="n">
        <x:v>1258.5003665557524</x:v>
      </x:c>
      <x:c r="K187" s="26"/>
      <x:c r="L187" s="26" t="str">
        <x:v>insufficient_span_or_epochs</x:v>
      </x:c>
      <x:c r="M187" s="26" t="str">
        <x:v>Absent from named inventory</x:v>
      </x:c>
      <x:c r="N187" s="26" t="str">
        <x:v>Absent from named inventory</x:v>
      </x:c>
      <x:c r="O187" s="26" t="str">
        <x:v>Absent from named inventory</x:v>
      </x:c>
      <x:c r="P187" s="26"/>
      <x:c r="Q187" s="26" t="str">
        <x:v>../Project Recherche Data/tpa-batch01-20260908/selection.json</x:v>
      </x:c>
      <x:c r="R187" s="26" t="str">
        <x:v>047722e4dca24e16c44c810f43990492b2f988012ca2b4bab47826ff4c95f1db</x:v>
      </x:c>
      <x:c r="S187" s="26" t="str">
        <x:v>0bf23e6511f6899fb4f33540a3ce0c675b3c34e0e4b661e190c13155bbdb19bb</x:v>
      </x:c>
      <x:c r="T187" s="26" t="str">
        <x:v>fbc0ca894533ff41b41c5368e477f8f86498ce9cce615f4ebc9690ab29d64a23</x:v>
      </x:c>
    </x:row>
    <x:row r="188" ht="60" customHeight="1">
      <x:c r="A188" s="26" t="str">
        <x:v>J1041-1942</x:v>
      </x:c>
      <x:c r="B188" s="26" t="str">
        <x:v>B1039-19</x:v>
      </x:c>
      <x:c r="C188" s="26" t="str">
        <x:v>NO_TRIGGER</x:v>
      </x:c>
      <x:c r="D188" s="26" t="str">
        <x:v>tpa-batch08-20260908-J1041-1942-run01</x:v>
      </x:c>
      <x:c r="E188" s="26" t="str">
        <x:v>No qualifying signal in eligible 30–400-day cells</x:v>
      </x:c>
      <x:c r="F188" s="26" t="str">
        <x:v>Retain result; consider independent data or a separately defined new scope</x:v>
      </x:c>
      <x:c r="G188" s="26" t="str">
        <x:v>SEARCHED</x:v>
      </x:c>
      <x:c r="H188" s="27" t="n">
        <x:v>387</x:v>
      </x:c>
      <x:c r="I188" s="27" t="n">
        <x:v>52</x:v>
      </x:c>
      <x:c r="J188" s="28" t="n">
        <x:v>1290.7144028339899</x:v>
      </x:c>
      <x:c r="K188" s="26" t="str">
        <x:v>tpa-batch08-20260908</x:v>
      </x:c>
      <x:c r="L188" s="26"/>
      <x:c r="M188" s="26" t="str">
        <x:v>Present</x:v>
      </x:c>
      <x:c r="N188" s="26" t="str">
        <x:v>Absent from named inventory</x:v>
      </x:c>
      <x:c r="O188" s="26" t="str">
        <x:v>Absent from named inventory</x:v>
      </x:c>
      <x:c r="P188" s="26"/>
      <x:c r="Q188" s="26" t="str">
        <x:v>../Project Recherche Data/tpa-batch08-20260908/selection.json</x:v>
      </x:c>
      <x:c r="R188" s="26" t="str">
        <x:v>6fe595c0d188861ebc661368dcb361d40c70c01fd3243f0147e51a513ec4e764</x:v>
      </x:c>
      <x:c r="S188" s="26" t="str">
        <x:v>50aea4fe8b0b2dcbd63fcc97efff551755c4e09a66469b35a0d5272f487c98bf</x:v>
      </x:c>
      <x:c r="T188" s="26" t="str">
        <x:v>82bebaeffc7c716c557f41057b6b99b39e762692bdca371ad5d4050ad884cfaf</x:v>
      </x:c>
    </x:row>
    <x:row r="189" ht="60" customHeight="1">
      <x:c r="A189" s="26" t="str">
        <x:v>J1042-5521</x:v>
      </x:c>
      <x:c r="B189" s="26" t="str">
        <x:v>B1039-55</x:v>
      </x:c>
      <x:c r="C189" s="26" t="str">
        <x:v>NO_TRIGGER</x:v>
      </x:c>
      <x:c r="D189" s="26" t="str">
        <x:v>tpa-batch05-20260908-J1042-5521-run01</x:v>
      </x:c>
      <x:c r="E189" s="26" t="str">
        <x:v>No qualifying signal in eligible 30–400-day cells</x:v>
      </x:c>
      <x:c r="F189" s="26" t="str">
        <x:v>Retain result; consider independent data or a separately defined new scope</x:v>
      </x:c>
      <x:c r="G189" s="26" t="str">
        <x:v>SEARCHED</x:v>
      </x:c>
      <x:c r="H189" s="27" t="n">
        <x:v>432</x:v>
      </x:c>
      <x:c r="I189" s="27" t="n">
        <x:v>54</x:v>
      </x:c>
      <x:c r="J189" s="28" t="n">
        <x:v>1367.25813869157</x:v>
      </x:c>
      <x:c r="K189" s="26" t="str">
        <x:v>tpa-batch05-20260908</x:v>
      </x:c>
      <x:c r="L189" s="26"/>
      <x:c r="M189" s="26" t="str">
        <x:v>Absent from named inventory</x:v>
      </x:c>
      <x:c r="N189" s="26" t="str">
        <x:v>Absent from named inventory</x:v>
      </x:c>
      <x:c r="O189" s="26" t="str">
        <x:v>Absent from named inventory</x:v>
      </x:c>
      <x:c r="P189" s="26"/>
      <x:c r="Q189" s="26" t="str">
        <x:v>../Project Recherche Data/tpa-batch05-20260908/selection.json</x:v>
      </x:c>
      <x:c r="R189" s="26" t="str">
        <x:v>1212bfb743fa2d3f16f95056ab4d3c2b52ec5dd997358fe385b8fd00313b3907</x:v>
      </x:c>
      <x:c r="S189" s="26" t="str">
        <x:v>6be216aecf39e6aef427a4b37c22a3b177cd8c0fe80acc9e30648f80f496adb3</x:v>
      </x:c>
      <x:c r="T189" s="26" t="str">
        <x:v>b01d6cc7da6e5619cde0627e5f2836e9765a0e300b6310cf82fa9cfb34130d3e</x:v>
      </x:c>
    </x:row>
    <x:row r="190" ht="60" customHeight="1">
      <x:c r="A190" s="26" t="str">
        <x:v>J1043-6116</x:v>
      </x:c>
      <x:c r="B190" s="26" t="str"/>
      <x:c r="C190" s="26" t="str">
        <x:v>NOT_SEARCHED</x:v>
      </x:c>
      <x:c r="D190" s="26"/>
      <x:c r="E190" s="26" t="str">
        <x:v>No observed search</x:v>
      </x:c>
      <x:c r="F190" s="26" t="str">
        <x:v>Retain exclusion for current scope</x:v>
      </x:c>
      <x:c r="G190" s="26" t="str">
        <x:v>TPA EXCLUDED</x:v>
      </x:c>
      <x:c r="H190" s="27" t="n">
        <x:v>96</x:v>
      </x:c>
      <x:c r="I190" s="27" t="n">
        <x:v>12</x:v>
      </x:c>
      <x:c r="J190" s="28" t="n">
        <x:v>454.35897016042145</x:v>
      </x:c>
      <x:c r="K190" s="26"/>
      <x:c r="L190" s="26" t="str">
        <x:v>insufficient_span_or_epochs</x:v>
      </x:c>
      <x:c r="M190" s="26" t="str">
        <x:v>Absent from named inventory</x:v>
      </x:c>
      <x:c r="N190" s="26" t="str">
        <x:v>Absent from named inventory</x:v>
      </x:c>
      <x:c r="O190" s="26" t="str">
        <x:v>Absent from named inventory</x:v>
      </x:c>
      <x:c r="P190" s="26"/>
      <x:c r="Q190" s="26" t="str">
        <x:v>../Project Recherche Data/tpa-batch01-20260908/selection.json</x:v>
      </x:c>
      <x:c r="R190" s="26" t="str">
        <x:v>047722e4dca24e16c44c810f43990492b2f988012ca2b4bab47826ff4c95f1db</x:v>
      </x:c>
      <x:c r="S190" s="26" t="str">
        <x:v>1fa04755e942b97aeac6a3d3ef270701a1fa499b9852ed969f84e64130dbd885</x:v>
      </x:c>
      <x:c r="T190" s="26" t="str">
        <x:v>5fe66b5bebbd9d3507e60d45e4b1d63c411631ee32ec1612297da3cb789b873e</x:v>
      </x:c>
    </x:row>
    <x:row r="191" ht="60" customHeight="1">
      <x:c r="A191" s="26" t="str">
        <x:v>J1046-5813</x:v>
      </x:c>
      <x:c r="B191" s="26" t="str">
        <x:v>B1044-57</x:v>
      </x:c>
      <x:c r="C191" s="26" t="str">
        <x:v>NOT_SEARCHED</x:v>
      </x:c>
      <x:c r="D191" s="26"/>
      <x:c r="E191" s="26" t="str">
        <x:v>No observed search</x:v>
      </x:c>
      <x:c r="F191" s="26" t="str">
        <x:v>Retain exclusion for current scope</x:v>
      </x:c>
      <x:c r="G191" s="26" t="str">
        <x:v>TPA EXCLUDED</x:v>
      </x:c>
      <x:c r="H191" s="27" t="n">
        <x:v>205</x:v>
      </x:c>
      <x:c r="I191" s="27" t="n">
        <x:v>26</x:v>
      </x:c>
      <x:c r="J191" s="28" t="n">
        <x:v>1223.3371321480226</x:v>
      </x:c>
      <x:c r="K191" s="26"/>
      <x:c r="L191" s="26" t="str">
        <x:v>insufficient_span_or_epochs</x:v>
      </x:c>
      <x:c r="M191" s="26" t="str">
        <x:v>Absent from named inventory</x:v>
      </x:c>
      <x:c r="N191" s="26" t="str">
        <x:v>Absent from named inventory</x:v>
      </x:c>
      <x:c r="O191" s="26" t="str">
        <x:v>Absent from named inventory</x:v>
      </x:c>
      <x:c r="P191" s="26"/>
      <x:c r="Q191" s="26" t="str">
        <x:v>../Project Recherche Data/tpa-batch01-20260908/selection.json</x:v>
      </x:c>
      <x:c r="R191" s="26" t="str">
        <x:v>047722e4dca24e16c44c810f43990492b2f988012ca2b4bab47826ff4c95f1db</x:v>
      </x:c>
      <x:c r="S191" s="26" t="str">
        <x:v>46dd000424588ecf6a76914e67cc26ac6ca3ef75c206cfd82ef8c67b95ae6dfd</x:v>
      </x:c>
      <x:c r="T191" s="26" t="str">
        <x:v>829b4b08d103f11dfd89903f7ad0fe75760c53305553f9a4195b85ff1b7e8537</x:v>
      </x:c>
    </x:row>
    <x:row r="192" ht="60" customHeight="1">
      <x:c r="A192" s="26" t="str">
        <x:v>J1047-3032</x:v>
      </x:c>
      <x:c r="B192" s="26" t="str"/>
      <x:c r="C192" s="26" t="str">
        <x:v>NOT_SEARCHED</x:v>
      </x:c>
      <x:c r="D192" s="26"/>
      <x:c r="E192" s="26" t="str">
        <x:v>No observed search</x:v>
      </x:c>
      <x:c r="F192" s="26" t="str">
        <x:v>Retain exclusion for current scope</x:v>
      </x:c>
      <x:c r="G192" s="26" t="str">
        <x:v>TPA EXCLUDED</x:v>
      </x:c>
      <x:c r="H192" s="27" t="n">
        <x:v>224</x:v>
      </x:c>
      <x:c r="I192" s="27" t="n">
        <x:v>28</x:v>
      </x:c>
      <x:c r="J192" s="28" t="n">
        <x:v>1278.6631231256906</x:v>
      </x:c>
      <x:c r="K192" s="26"/>
      <x:c r="L192" s="26" t="str">
        <x:v>insufficient_span_or_epochs</x:v>
      </x:c>
      <x:c r="M192" s="26" t="str">
        <x:v>Present</x:v>
      </x:c>
      <x:c r="N192" s="26" t="str">
        <x:v>Absent from named inventory</x:v>
      </x:c>
      <x:c r="O192" s="26" t="str">
        <x:v>Absent from named inventory</x:v>
      </x:c>
      <x:c r="P192" s="26"/>
      <x:c r="Q192" s="26" t="str">
        <x:v>../Project Recherche Data/tpa-batch01-20260908/selection.json</x:v>
      </x:c>
      <x:c r="R192" s="26" t="str">
        <x:v>047722e4dca24e16c44c810f43990492b2f988012ca2b4bab47826ff4c95f1db</x:v>
      </x:c>
      <x:c r="S192" s="26" t="str">
        <x:v>dd47a515b92722187a5c606dccd1679b6aa20c27fee77e1a3747d927ea0a427c</x:v>
      </x:c>
      <x:c r="T192" s="26" t="str">
        <x:v>c89c229a9cdf202e9ac8c2f8befe91cf7ec5181d41754f0a80c3cab31a1ba8d2</x:v>
      </x:c>
    </x:row>
    <x:row r="193" ht="60" customHeight="1">
      <x:c r="A193" s="26" t="str">
        <x:v>J1047-6709</x:v>
      </x:c>
      <x:c r="B193" s="26" t="str"/>
      <x:c r="C193" s="26" t="str">
        <x:v>NO_TRIGGER</x:v>
      </x:c>
      <x:c r="D193" s="26" t="str">
        <x:v>tpa-batch03-20260908-J1047-6709-run01</x:v>
      </x:c>
      <x:c r="E193" s="26" t="str">
        <x:v>No qualifying signal in eligible 30–400-day cells</x:v>
      </x:c>
      <x:c r="F193" s="26" t="str">
        <x:v>Retain result; consider independent data or a separately defined new scope</x:v>
      </x:c>
      <x:c r="G193" s="26" t="str">
        <x:v>SEARCHED</x:v>
      </x:c>
      <x:c r="H193" s="27" t="n">
        <x:v>408</x:v>
      </x:c>
      <x:c r="I193" s="27" t="n">
        <x:v>51</x:v>
      </x:c>
      <x:c r="J193" s="28" t="n">
        <x:v>1270.5758789846222</x:v>
      </x:c>
      <x:c r="K193" s="26" t="str">
        <x:v>tpa-batch03-20260908</x:v>
      </x:c>
      <x:c r="L193" s="26"/>
      <x:c r="M193" s="26" t="str">
        <x:v>Absent from named inventory</x:v>
      </x:c>
      <x:c r="N193" s="26" t="str">
        <x:v>Absent from named inventory</x:v>
      </x:c>
      <x:c r="O193" s="26" t="str">
        <x:v>Absent from named inventory</x:v>
      </x:c>
      <x:c r="P193" s="26"/>
      <x:c r="Q193" s="26" t="str">
        <x:v>../Project Recherche Data/tpa-batch03-20260908/selection.json</x:v>
      </x:c>
      <x:c r="R193" s="26" t="str">
        <x:v>1cf7dc46e02f8f80971416baec3f4bb7357340d0174269b7b50fc11887c0df28</x:v>
      </x:c>
      <x:c r="S193" s="26" t="str">
        <x:v>16336489d7a1a26ff2906bee2f66013943b6fc1a0279809298ec8caeaf5fa5c1</x:v>
      </x:c>
      <x:c r="T193" s="26" t="str">
        <x:v>c4b2ad4fad3192623f6c5db53284ca4fbfec081e86722f139952c0ca577620d8</x:v>
      </x:c>
    </x:row>
    <x:row r="194" ht="26.399999618530273" hidden="0" customHeight="1">
      <x:c r="A194" s="26" t="str">
        <x:v>J1048-5832</x:v>
      </x:c>
      <x:c r="B194" s="26" t="str">
        <x:v>B1046-58</x:v>
      </x:c>
      <x:c r="C194" s="26" t="str">
        <x:v>PERIODIC_SIGNAL_CANDIDATE</x:v>
      </x:c>
      <x:c r="D194" s="26" t="str">
        <x:v>utmost-batch04-20260909-J1048-5832-run01</x:v>
      </x:c>
      <x:c r="E194" s="26" t="str">
        <x:v>Threshold-crossing periodic candidate; not a confirmed planet</x:v>
      </x:c>
      <x:c r="F194" s="26" t="str">
        <x:v>Bounded review complete; preserve noise-sensitive candidate. Await informative independent data and owner-directed follow-up.</x:v>
      </x:c>
      <x:c r="G194" s="26" t="str">
        <x:v>UTMOST SEARCHED</x:v>
      </x:c>
      <x:c r="H194" s="27" t="n">
        <x:v>429</x:v>
      </x:c>
      <x:c r="I194" s="27" t="n">
        <x:v>54</x:v>
      </x:c>
      <x:c r="J194" s="28" t="n">
        <x:v>1270.5982934961357</x:v>
      </x:c>
      <x:c r="K194" s="26" t="str">
        <x:v>tpa-batch06-20260908</x:v>
      </x:c>
      <x:c r="L194" s="26"/>
      <x:c r="M194" s="26" t="str">
        <x:v>Absent from named inventory</x:v>
      </x:c>
      <x:c r="N194" s="26" t="str">
        <x:v>Absent from named inventory</x:v>
      </x:c>
      <x:c r="O194" s="26" t="str">
        <x:v>Absent from named inventory</x:v>
      </x:c>
      <x:c r="P194" s="26"/>
      <x:c r="Q194" s="26" t="str">
        <x:v>../Project Recherche Data/tpa-batch06-20260908/selection.json</x:v>
      </x:c>
      <x:c r="R194" s="26" t="str">
        <x:v>aa7dc82ae2f0aa7f4ad390810d65a59ea2811f4802deb69c9130205b6466f356</x:v>
      </x:c>
      <x:c r="S194" s="26" t="str">
        <x:v>c1de2684d1b222f247d210fc43e33c38deedbd73ed7709711ad194bba7535b46</x:v>
      </x:c>
      <x:c r="T194" s="26" t="str">
        <x:v>c256b714ef57a1099dc7b0d0c51a68ecbdda10fcaaf019f19ee7ad815355943f</x:v>
      </x:c>
    </x:row>
    <x:row r="195" ht="60" customHeight="1">
      <x:c r="A195" s="26" t="str">
        <x:v>J1049-5833</x:v>
      </x:c>
      <x:c r="B195" s="26" t="str"/>
      <x:c r="C195" s="26" t="str">
        <x:v>NOT_SEARCHED</x:v>
      </x:c>
      <x:c r="D195" s="26"/>
      <x:c r="E195" s="26" t="str">
        <x:v>No observed search</x:v>
      </x:c>
      <x:c r="F195" s="26" t="str">
        <x:v>Retain exclusion for current scope</x:v>
      </x:c>
      <x:c r="G195" s="26" t="str">
        <x:v>TPA EXCLUDED</x:v>
      </x:c>
      <x:c r="H195" s="27" t="n">
        <x:v>152</x:v>
      </x:c>
      <x:c r="I195" s="27" t="n">
        <x:v>21</x:v>
      </x:c>
      <x:c r="J195" s="28" t="n">
        <x:v>1227.8234895245696</x:v>
      </x:c>
      <x:c r="K195" s="26"/>
      <x:c r="L195" s="26" t="str">
        <x:v>insufficient_span_or_epochs</x:v>
      </x:c>
      <x:c r="M195" s="26" t="str">
        <x:v>Absent from named inventory</x:v>
      </x:c>
      <x:c r="N195" s="26" t="str">
        <x:v>Absent from named inventory</x:v>
      </x:c>
      <x:c r="O195" s="26" t="str">
        <x:v>Absent from named inventory</x:v>
      </x:c>
      <x:c r="P195" s="26"/>
      <x:c r="Q195" s="26" t="str">
        <x:v>../Project Recherche Data/tpa-batch01-20260908/selection.json</x:v>
      </x:c>
      <x:c r="R195" s="26" t="str">
        <x:v>047722e4dca24e16c44c810f43990492b2f988012ca2b4bab47826ff4c95f1db</x:v>
      </x:c>
      <x:c r="S195" s="26" t="str">
        <x:v>485dcc33ea38dab38824e5bb93d2db8e9775907187d3ad2040a3f6c5ac6ab4fd</x:v>
      </x:c>
      <x:c r="T195" s="26" t="str">
        <x:v>548176765a4f3e3874c7e69d2a42cae730517a96ca2d67f119fc1a5f37f3a88d</x:v>
      </x:c>
    </x:row>
    <x:row r="196" ht="60" customHeight="1">
      <x:c r="A196" s="26" t="str">
        <x:v>J1056-6258</x:v>
      </x:c>
      <x:c r="B196" s="26" t="str">
        <x:v>B1054-62</x:v>
      </x:c>
      <x:c r="C196" s="26" t="str">
        <x:v>NO_TRIGGER</x:v>
      </x:c>
      <x:c r="D196" s="26" t="str">
        <x:v>utmost-batch04-20260909-J1056-6258-run01</x:v>
      </x:c>
      <x:c r="E196" s="26" t="str">
        <x:v>No qualifying signal in eligible 30–400-day cells</x:v>
      </x:c>
      <x:c r="F196" s="26" t="str">
        <x:v>Retain result; consider independent data or a separately defined new scope</x:v>
      </x:c>
      <x:c r="G196" s="26" t="str">
        <x:v>UTMOST SEARCHED</x:v>
      </x:c>
      <x:c r="H196" s="27" t="n">
        <x:v>416</x:v>
      </x:c>
      <x:c r="I196" s="27" t="n">
        <x:v>52</x:v>
      </x:c>
      <x:c r="J196" s="28" t="n">
        <x:v>1270.5711822028752</x:v>
      </x:c>
      <x:c r="K196" s="26" t="str">
        <x:v>tpa-batch05-20260908</x:v>
      </x:c>
      <x:c r="L196" s="26"/>
      <x:c r="M196" s="26" t="str">
        <x:v>Absent from named inventory</x:v>
      </x:c>
      <x:c r="N196" s="26" t="str">
        <x:v>Absent from named inventory</x:v>
      </x:c>
      <x:c r="O196" s="26" t="str">
        <x:v>Absent from named inventory</x:v>
      </x:c>
      <x:c r="P196" s="26"/>
      <x:c r="Q196" s="26" t="str">
        <x:v>../Project Recherche Data/tpa-batch05-20260908/selection.json</x:v>
      </x:c>
      <x:c r="R196" s="26" t="str">
        <x:v>1212bfb743fa2d3f16f95056ab4d3c2b52ec5dd997358fe385b8fd00313b3907</x:v>
      </x:c>
      <x:c r="S196" s="26" t="str">
        <x:v>5eecb86c2c2f63705bfd15da2623c28c93b7dc7257a8ca2ddcd74dae38cf30cb</x:v>
      </x:c>
      <x:c r="T196" s="26" t="str">
        <x:v>1a50c494095a652f12e4cca78141c6a5387cea53382eaa84072b63976c0c6243</x:v>
      </x:c>
    </x:row>
    <x:row r="197" ht="60" customHeight="1">
      <x:c r="A197" s="26" t="str">
        <x:v>J1057-5226</x:v>
      </x:c>
      <x:c r="B197" s="26" t="str">
        <x:v>B1055-52</x:v>
      </x:c>
      <x:c r="C197" s="26" t="str">
        <x:v>NO_TRIGGER</x:v>
      </x:c>
      <x:c r="D197" s="26" t="str">
        <x:v>utmost-batch04-20260909-J1057-5226-run01</x:v>
      </x:c>
      <x:c r="E197" s="26" t="str">
        <x:v>No qualifying signal in eligible 30–400-day cells</x:v>
      </x:c>
      <x:c r="F197" s="26" t="str">
        <x:v>Retain result; consider independent data or a separately defined new scope</x:v>
      </x:c>
      <x:c r="G197" s="26" t="str">
        <x:v>UTMOST SEARCHED</x:v>
      </x:c>
      <x:c r="H197" s="27" t="n">
        <x:v>464</x:v>
      </x:c>
      <x:c r="I197" s="27" t="n">
        <x:v>58</x:v>
      </x:c>
      <x:c r="J197" s="28" t="n">
        <x:v>1469.9767703881953</x:v>
      </x:c>
      <x:c r="K197" s="26" t="str">
        <x:v>TPA batch 01</x:v>
      </x:c>
      <x:c r="L197" s="26"/>
      <x:c r="M197" s="26" t="str">
        <x:v>Absent from named inventory</x:v>
      </x:c>
      <x:c r="N197" s="26" t="str">
        <x:v>Absent from named inventory</x:v>
      </x:c>
      <x:c r="O197" s="26" t="str">
        <x:v>Absent from named inventory</x:v>
      </x:c>
      <x:c r="P197" s="26"/>
      <x:c r="Q197" s="26" t="str">
        <x:v>../Project Recherche Data/tpa-batch01-20260908/selection.json</x:v>
      </x:c>
      <x:c r="R197" s="26" t="str">
        <x:v>047722e4dca24e16c44c810f43990492b2f988012ca2b4bab47826ff4c95f1db</x:v>
      </x:c>
      <x:c r="S197" s="26" t="str">
        <x:v>5602e560eecd0b1bbabc0238d43a1517dd28649f629c62e8efd27bca579cf7d8</x:v>
      </x:c>
      <x:c r="T197" s="26" t="str">
        <x:v>214218679c7e17913b84b4d9cbb3c1275cb02aee7e764e0eced89a4929940f9a</x:v>
      </x:c>
    </x:row>
    <x:row r="198" ht="60" customHeight="1">
      <x:c r="A198" s="26" t="str">
        <x:v>J1057-7914</x:v>
      </x:c>
      <x:c r="B198" s="26" t="str">
        <x:v>B1056-78</x:v>
      </x:c>
      <x:c r="C198" s="26" t="str">
        <x:v>NOT_SEARCHED</x:v>
      </x:c>
      <x:c r="D198" s="26"/>
      <x:c r="E198" s="26" t="str">
        <x:v>No observed search</x:v>
      </x:c>
      <x:c r="F198" s="26" t="str">
        <x:v>Retain exclusion for current scope</x:v>
      </x:c>
      <x:c r="G198" s="26" t="str">
        <x:v>TPA EXCLUDED</x:v>
      </x:c>
      <x:c r="H198" s="27" t="n">
        <x:v>136</x:v>
      </x:c>
      <x:c r="I198" s="27" t="n">
        <x:v>26</x:v>
      </x:c>
      <x:c r="J198" s="28" t="n">
        <x:v>1223.37076955683</x:v>
      </x:c>
      <x:c r="K198" s="26"/>
      <x:c r="L198" s="26" t="str">
        <x:v>insufficient_span_or_epochs</x:v>
      </x:c>
      <x:c r="M198" s="26" t="str">
        <x:v>Absent from named inventory</x:v>
      </x:c>
      <x:c r="N198" s="26" t="str">
        <x:v>Absent from named inventory</x:v>
      </x:c>
      <x:c r="O198" s="26" t="str">
        <x:v>Absent from named inventory</x:v>
      </x:c>
      <x:c r="P198" s="26"/>
      <x:c r="Q198" s="26" t="str">
        <x:v>../Project Recherche Data/tpa-batch01-20260908/selection.json</x:v>
      </x:c>
      <x:c r="R198" s="26" t="str">
        <x:v>047722e4dca24e16c44c810f43990492b2f988012ca2b4bab47826ff4c95f1db</x:v>
      </x:c>
      <x:c r="S198" s="26" t="str">
        <x:v>e032df00b75f29e6c17725e5e942fb0aaa19c5f52655a2c88b53715dba7f5234</x:v>
      </x:c>
      <x:c r="T198" s="26" t="str">
        <x:v>38bdf38f1ef96869e2512d51641b938e21de8b8780f82a735ec88a28e549173a</x:v>
      </x:c>
    </x:row>
    <x:row r="199" ht="60" customHeight="1">
      <x:c r="A199" s="26" t="str">
        <x:v>J1058-5957</x:v>
      </x:c>
      <x:c r="B199" s="26" t="str"/>
      <x:c r="C199" s="26" t="str">
        <x:v>NOT_SEARCHED</x:v>
      </x:c>
      <x:c r="D199" s="26"/>
      <x:c r="E199" s="26" t="str">
        <x:v>No observed search</x:v>
      </x:c>
      <x:c r="F199" s="26" t="str">
        <x:v>Retain exclusion for current scope</x:v>
      </x:c>
      <x:c r="G199" s="26" t="str">
        <x:v>TPA EXCLUDED</x:v>
      </x:c>
      <x:c r="H199" s="27" t="n">
        <x:v>208</x:v>
      </x:c>
      <x:c r="I199" s="27" t="n">
        <x:v>26</x:v>
      </x:c>
      <x:c r="J199" s="28" t="n">
        <x:v>1223.3192437638572</x:v>
      </x:c>
      <x:c r="K199" s="26"/>
      <x:c r="L199" s="26" t="str">
        <x:v>insufficient_span_or_epochs</x:v>
      </x:c>
      <x:c r="M199" s="26" t="str">
        <x:v>Absent from named inventory</x:v>
      </x:c>
      <x:c r="N199" s="26" t="str">
        <x:v>Absent from named inventory</x:v>
      </x:c>
      <x:c r="O199" s="26" t="str">
        <x:v>Absent from named inventory</x:v>
      </x:c>
      <x:c r="P199" s="26"/>
      <x:c r="Q199" s="26" t="str">
        <x:v>../Project Recherche Data/tpa-batch01-20260908/selection.json</x:v>
      </x:c>
      <x:c r="R199" s="26" t="str">
        <x:v>047722e4dca24e16c44c810f43990492b2f988012ca2b4bab47826ff4c95f1db</x:v>
      </x:c>
      <x:c r="S199" s="26" t="str">
        <x:v>3a86adc95bc9eefcbececbfa22bcd10eedb1dcb9f5616f09602c717fd9e15e57</x:v>
      </x:c>
      <x:c r="T199" s="26" t="str">
        <x:v>623c1253d584ec0b09b346b7b02b073bf259c76bc3167534dea9b338122a8ea2</x:v>
      </x:c>
    </x:row>
    <x:row r="200" ht="60" customHeight="1">
      <x:c r="A200" s="26" t="str">
        <x:v>J1059-5742</x:v>
      </x:c>
      <x:c r="B200" s="26" t="str">
        <x:v>B1056-57</x:v>
      </x:c>
      <x:c r="C200" s="26" t="str">
        <x:v>NO_TRIGGER</x:v>
      </x:c>
      <x:c r="D200" s="26" t="str">
        <x:v>tpa-batch06-20260908-J1059-5742-run01</x:v>
      </x:c>
      <x:c r="E200" s="26" t="str">
        <x:v>No qualifying signal in eligible 30–400-day cells</x:v>
      </x:c>
      <x:c r="F200" s="26" t="str">
        <x:v>Retain result; consider independent data or a separately defined new scope</x:v>
      </x:c>
      <x:c r="G200" s="26" t="str">
        <x:v>SEARCHED</x:v>
      </x:c>
      <x:c r="H200" s="27" t="n">
        <x:v>403</x:v>
      </x:c>
      <x:c r="I200" s="27" t="n">
        <x:v>52</x:v>
      </x:c>
      <x:c r="J200" s="28" t="n">
        <x:v>1290.724634095226</x:v>
      </x:c>
      <x:c r="K200" s="26" t="str">
        <x:v>tpa-batch06-20260908</x:v>
      </x:c>
      <x:c r="L200" s="26"/>
      <x:c r="M200" s="26" t="str">
        <x:v>Absent from named inventory</x:v>
      </x:c>
      <x:c r="N200" s="26" t="str">
        <x:v>Absent from named inventory</x:v>
      </x:c>
      <x:c r="O200" s="26" t="str">
        <x:v>Absent from named inventory</x:v>
      </x:c>
      <x:c r="P200" s="26"/>
      <x:c r="Q200" s="26" t="str">
        <x:v>../Project Recherche Data/tpa-batch06-20260908/selection.json</x:v>
      </x:c>
      <x:c r="R200" s="26" t="str">
        <x:v>aa7dc82ae2f0aa7f4ad390810d65a59ea2811f4802deb69c9130205b6466f356</x:v>
      </x:c>
      <x:c r="S200" s="26" t="str">
        <x:v>0808f37aa18289e677edf0101fdcb9f471b0aefb7518f798f092183cdd7bc060</x:v>
      </x:c>
      <x:c r="T200" s="26" t="str">
        <x:v>f4636ca82cee893a5e67718198cf97f38d0da73fbb65b5fdd3d66c35d64efbf3</x:v>
      </x:c>
    </x:row>
    <x:row r="201" ht="60" customHeight="1">
      <x:c r="A201" s="26" t="str">
        <x:v>J1105-6107</x:v>
      </x:c>
      <x:c r="B201" s="26" t="str"/>
      <x:c r="C201" s="26" t="str">
        <x:v>NO_TRIGGER</x:v>
      </x:c>
      <x:c r="D201" s="26" t="str">
        <x:v>tpa-batch05-20260908-J1105-6107-run01</x:v>
      </x:c>
      <x:c r="E201" s="26" t="str">
        <x:v>No qualifying signal in eligible 30–400-day cells</x:v>
      </x:c>
      <x:c r="F201" s="26" t="str">
        <x:v>Retain result; consider independent data or a separately defined new scope</x:v>
      </x:c>
      <x:c r="G201" s="26" t="str">
        <x:v>SEARCHED</x:v>
      </x:c>
      <x:c r="H201" s="27" t="n">
        <x:v>400</x:v>
      </x:c>
      <x:c r="I201" s="27" t="n">
        <x:v>50</x:v>
      </x:c>
      <x:c r="J201" s="28" t="n">
        <x:v>1235.4465161185071</x:v>
      </x:c>
      <x:c r="K201" s="26" t="str">
        <x:v>tpa-batch05-20260908</x:v>
      </x:c>
      <x:c r="L201" s="26"/>
      <x:c r="M201" s="26" t="str">
        <x:v>Absent from named inventory</x:v>
      </x:c>
      <x:c r="N201" s="26" t="str">
        <x:v>Absent from named inventory</x:v>
      </x:c>
      <x:c r="O201" s="26" t="str">
        <x:v>Absent from named inventory</x:v>
      </x:c>
      <x:c r="P201" s="26"/>
      <x:c r="Q201" s="26" t="str">
        <x:v>../Project Recherche Data/tpa-batch05-20260908/selection.json</x:v>
      </x:c>
      <x:c r="R201" s="26" t="str">
        <x:v>1212bfb743fa2d3f16f95056ab4d3c2b52ec5dd997358fe385b8fd00313b3907</x:v>
      </x:c>
      <x:c r="S201" s="26" t="str">
        <x:v>12f0b0c63af190d2bbf3684e5885eb9cd3d27e8be6cb71e6028406ee802c0e58</x:v>
      </x:c>
      <x:c r="T201" s="26" t="str">
        <x:v>cdbfda086ad3245896167c0837bfa57cd5e1df2dd2e1e21ced76940eea3a8210</x:v>
      </x:c>
    </x:row>
    <x:row r="202" ht="60" customHeight="1">
      <x:c r="A202" s="26" t="str">
        <x:v>J1110-5637</x:v>
      </x:c>
      <x:c r="B202" s="26" t="str">
        <x:v>B1107-56</x:v>
      </x:c>
      <x:c r="C202" s="26" t="str">
        <x:v>NOT_SEARCHED</x:v>
      </x:c>
      <x:c r="D202" s="26"/>
      <x:c r="E202" s="26" t="str">
        <x:v>No observed search</x:v>
      </x:c>
      <x:c r="F202" s="26" t="str">
        <x:v>Retain exclusion for current scope</x:v>
      </x:c>
      <x:c r="G202" s="26" t="str">
        <x:v>TPA EXCLUDED</x:v>
      </x:c>
      <x:c r="H202" s="27" t="n">
        <x:v>92</x:v>
      </x:c>
      <x:c r="I202" s="27" t="n">
        <x:v>12</x:v>
      </x:c>
      <x:c r="J202" s="28" t="n">
        <x:v>489.4827231139716</x:v>
      </x:c>
      <x:c r="K202" s="26"/>
      <x:c r="L202" s="26" t="str">
        <x:v>insufficient_span_or_epochs</x:v>
      </x:c>
      <x:c r="M202" s="26" t="str">
        <x:v>Absent from named inventory</x:v>
      </x:c>
      <x:c r="N202" s="26" t="str">
        <x:v>Absent from named inventory</x:v>
      </x:c>
      <x:c r="O202" s="26" t="str">
        <x:v>Absent from named inventory</x:v>
      </x:c>
      <x:c r="P202" s="26"/>
      <x:c r="Q202" s="26" t="str">
        <x:v>../Project Recherche Data/tpa-batch01-20260908/selection.json</x:v>
      </x:c>
      <x:c r="R202" s="26" t="str">
        <x:v>047722e4dca24e16c44c810f43990492b2f988012ca2b4bab47826ff4c95f1db</x:v>
      </x:c>
      <x:c r="S202" s="26" t="str">
        <x:v>2cde244dcc96dc4a01aaff10307f7e9127d77e41d60710123794c2fcb2a2eed5</x:v>
      </x:c>
      <x:c r="T202" s="26" t="str">
        <x:v>4fb1a7a58230220b276175b7dab60ca77fabbaa232918ba2cf97cb3d967d77c8</x:v>
      </x:c>
    </x:row>
    <x:row r="203" ht="60" customHeight="1">
      <x:c r="A203" s="26" t="str">
        <x:v>J1112-6613</x:v>
      </x:c>
      <x:c r="B203" s="26" t="str">
        <x:v>B1110-65</x:v>
      </x:c>
      <x:c r="C203" s="26" t="str">
        <x:v>NO_TRIGGER</x:v>
      </x:c>
      <x:c r="D203" s="26" t="str">
        <x:v>tpa-batch03-20260908-J1112-6613-run01</x:v>
      </x:c>
      <x:c r="E203" s="26" t="str">
        <x:v>No qualifying signal in eligible 30–400-day cells</x:v>
      </x:c>
      <x:c r="F203" s="26" t="str">
        <x:v>Retain result; consider independent data or a separately defined new scope</x:v>
      </x:c>
      <x:c r="G203" s="26" t="str">
        <x:v>SEARCHED</x:v>
      </x:c>
      <x:c r="H203" s="27" t="n">
        <x:v>616</x:v>
      </x:c>
      <x:c r="I203" s="27" t="n">
        <x:v>77</x:v>
      </x:c>
      <x:c r="J203" s="28" t="n">
        <x:v>1290.7471187857664</x:v>
      </x:c>
      <x:c r="K203" s="26" t="str">
        <x:v>tpa-batch03-20260908</x:v>
      </x:c>
      <x:c r="L203" s="26"/>
      <x:c r="M203" s="26" t="str">
        <x:v>Absent from named inventory</x:v>
      </x:c>
      <x:c r="N203" s="26" t="str">
        <x:v>Absent from named inventory</x:v>
      </x:c>
      <x:c r="O203" s="26" t="str">
        <x:v>Absent from named inventory</x:v>
      </x:c>
      <x:c r="P203" s="26"/>
      <x:c r="Q203" s="26" t="str">
        <x:v>../Project Recherche Data/tpa-batch03-20260908/selection.json</x:v>
      </x:c>
      <x:c r="R203" s="26" t="str">
        <x:v>1cf7dc46e02f8f80971416baec3f4bb7357340d0174269b7b50fc11887c0df28</x:v>
      </x:c>
      <x:c r="S203" s="26" t="str">
        <x:v>6a75963358cd6d6c71f2df44ebeeee74ef1f6d8f6a5a4f1652305c956fb6c0ee</x:v>
      </x:c>
      <x:c r="T203" s="26" t="str">
        <x:v>32a96f5feeef8f924a39a78b3681bfd9d27c3582d122b7e3e58011457ab61352</x:v>
      </x:c>
    </x:row>
    <x:row r="204" ht="60" customHeight="1">
      <x:c r="A204" s="26" t="str">
        <x:v>J1112-6926</x:v>
      </x:c>
      <x:c r="B204" s="26" t="str">
        <x:v>B1110-69</x:v>
      </x:c>
      <x:c r="C204" s="26" t="str">
        <x:v>NO_TRIGGER</x:v>
      </x:c>
      <x:c r="D204" s="26" t="str">
        <x:v>tpa-batch04-20260908-J1112-6926-run01</x:v>
      </x:c>
      <x:c r="E204" s="26" t="str">
        <x:v>No qualifying signal in eligible 30–400-day cells</x:v>
      </x:c>
      <x:c r="F204" s="26" t="str">
        <x:v>Retain result; consider independent data or a separately defined new scope</x:v>
      </x:c>
      <x:c r="G204" s="26" t="str">
        <x:v>SEARCHED</x:v>
      </x:c>
      <x:c r="H204" s="27" t="n">
        <x:v>387</x:v>
      </x:c>
      <x:c r="I204" s="27" t="n">
        <x:v>52</x:v>
      </x:c>
      <x:c r="J204" s="28" t="n">
        <x:v>1207.6616553265121</x:v>
      </x:c>
      <x:c r="K204" s="26" t="str">
        <x:v>tpa-batch04-20260908</x:v>
      </x:c>
      <x:c r="L204" s="26"/>
      <x:c r="M204" s="26" t="str">
        <x:v>Absent from named inventory</x:v>
      </x:c>
      <x:c r="N204" s="26" t="str">
        <x:v>Absent from named inventory</x:v>
      </x:c>
      <x:c r="O204" s="26" t="str">
        <x:v>Absent from named inventory</x:v>
      </x:c>
      <x:c r="P204" s="26"/>
      <x:c r="Q204" s="26" t="str">
        <x:v>../Project Recherche Data/tpa-batch04-20260908/selection.json</x:v>
      </x:c>
      <x:c r="R204" s="26" t="str">
        <x:v>88cb06482cd14a2f65e966c23ca1cdea20fdeb356fd59137885e0ec5f3b47d1a</x:v>
      </x:c>
      <x:c r="S204" s="26" t="str">
        <x:v>ab24585374e537108dbc960e41c56f295bc2e0b0a3a1d793aaf48a931cf845a9</x:v>
      </x:c>
      <x:c r="T204" s="26" t="str">
        <x:v>01b4b8b51292887bd16b961304c57b1b274c2a58d0cacf8c0bcf2b1ac9841cd9</x:v>
      </x:c>
    </x:row>
    <x:row r="205" ht="60" customHeight="1">
      <x:c r="A205" s="26" t="str">
        <x:v>J1114-6100</x:v>
      </x:c>
      <x:c r="B205" s="26" t="str">
        <x:v>B1112-60</x:v>
      </x:c>
      <x:c r="C205" s="26" t="str">
        <x:v>NO_TRIGGER</x:v>
      </x:c>
      <x:c r="D205" s="26" t="str">
        <x:v>tpa-batch06-20260908-J1114-6100-run01</x:v>
      </x:c>
      <x:c r="E205" s="26" t="str">
        <x:v>No qualifying signal in eligible 30–400-day cells</x:v>
      </x:c>
      <x:c r="F205" s="26" t="str">
        <x:v>Retain result; consider independent data or a separately defined new scope</x:v>
      </x:c>
      <x:c r="G205" s="26" t="str">
        <x:v>SEARCHED</x:v>
      </x:c>
      <x:c r="H205" s="27" t="n">
        <x:v>400</x:v>
      </x:c>
      <x:c r="I205" s="27" t="n">
        <x:v>50</x:v>
      </x:c>
      <x:c r="J205" s="28" t="n">
        <x:v>1270.5834639471213</x:v>
      </x:c>
      <x:c r="K205" s="26" t="str">
        <x:v>tpa-batch06-20260908</x:v>
      </x:c>
      <x:c r="L205" s="26"/>
      <x:c r="M205" s="26" t="str">
        <x:v>Absent from named inventory</x:v>
      </x:c>
      <x:c r="N205" s="26" t="str">
        <x:v>Absent from named inventory</x:v>
      </x:c>
      <x:c r="O205" s="26" t="str">
        <x:v>Absent from named inventory</x:v>
      </x:c>
      <x:c r="P205" s="26"/>
      <x:c r="Q205" s="26" t="str">
        <x:v>../Project Recherche Data/tpa-batch06-20260908/selection.json</x:v>
      </x:c>
      <x:c r="R205" s="26" t="str">
        <x:v>aa7dc82ae2f0aa7f4ad390810d65a59ea2811f4802deb69c9130205b6466f356</x:v>
      </x:c>
      <x:c r="S205" s="26" t="str">
        <x:v>80f4acfd6784d29883d1046660f2cc63b77c74b414ca9ce5f18a13bab601c9be</x:v>
      </x:c>
      <x:c r="T205" s="26" t="str">
        <x:v>4136f86e61b0c8fd4a959fb3fa513932efa865054ae67581bb009be1602eaf19</x:v>
      </x:c>
    </x:row>
    <x:row r="206" ht="60" customHeight="1">
      <x:c r="A206" s="26" t="str">
        <x:v>J1115-6052</x:v>
      </x:c>
      <x:c r="B206" s="26" t="str"/>
      <x:c r="C206" s="26" t="str">
        <x:v>NOT_SEARCHED</x:v>
      </x:c>
      <x:c r="D206" s="26"/>
      <x:c r="E206" s="26" t="str">
        <x:v>No observed search</x:v>
      </x:c>
      <x:c r="F206" s="26" t="str">
        <x:v>Retain exclusion for current scope</x:v>
      </x:c>
      <x:c r="G206" s="26" t="str">
        <x:v>TPA EXCLUDED</x:v>
      </x:c>
      <x:c r="H206" s="27" t="n">
        <x:v>216</x:v>
      </x:c>
      <x:c r="I206" s="27" t="n">
        <x:v>27</x:v>
      </x:c>
      <x:c r="J206" s="28" t="n">
        <x:v>1182.9661415644514</x:v>
      </x:c>
      <x:c r="K206" s="26"/>
      <x:c r="L206" s="26" t="str">
        <x:v>insufficient_span_or_epochs</x:v>
      </x:c>
      <x:c r="M206" s="26" t="str">
        <x:v>Absent from named inventory</x:v>
      </x:c>
      <x:c r="N206" s="26" t="str">
        <x:v>Absent from named inventory</x:v>
      </x:c>
      <x:c r="O206" s="26" t="str">
        <x:v>Absent from named inventory</x:v>
      </x:c>
      <x:c r="P206" s="26"/>
      <x:c r="Q206" s="26" t="str">
        <x:v>../Project Recherche Data/tpa-batch01-20260908/selection.json</x:v>
      </x:c>
      <x:c r="R206" s="26" t="str">
        <x:v>047722e4dca24e16c44c810f43990492b2f988012ca2b4bab47826ff4c95f1db</x:v>
      </x:c>
      <x:c r="S206" s="26" t="str">
        <x:v>abdb921dd091ef78b9430c600b3ef6e9f25699d749fe5196e3e3656ef762cef3</x:v>
      </x:c>
      <x:c r="T206" s="26" t="str">
        <x:v>bee2e71e6423db1e160177a9f6db93f8c534eacc3a525e977b5bd6748ffb7442</x:v>
      </x:c>
    </x:row>
    <x:row r="207" ht="60" customHeight="1">
      <x:c r="A207" s="26" t="str">
        <x:v>J1116-4122</x:v>
      </x:c>
      <x:c r="B207" s="26" t="str">
        <x:v>B1114-41</x:v>
      </x:c>
      <x:c r="C207" s="26" t="str">
        <x:v>NO_TRIGGER</x:v>
      </x:c>
      <x:c r="D207" s="26" t="str">
        <x:v>tpa-batch04-20260908-J1116-4122-run01</x:v>
      </x:c>
      <x:c r="E207" s="26" t="str">
        <x:v>No qualifying signal in eligible 30–400-day cells</x:v>
      </x:c>
      <x:c r="F207" s="26" t="str">
        <x:v>Retain result; consider independent data or a separately defined new scope</x:v>
      </x:c>
      <x:c r="G207" s="26" t="str">
        <x:v>SEARCHED</x:v>
      </x:c>
      <x:c r="H207" s="27" t="n">
        <x:v>405</x:v>
      </x:c>
      <x:c r="I207" s="27" t="n">
        <x:v>52</x:v>
      </x:c>
      <x:c r="J207" s="28" t="n">
        <x:v>1290.757652236316</x:v>
      </x:c>
      <x:c r="K207" s="26" t="str">
        <x:v>tpa-batch04-20260908</x:v>
      </x:c>
      <x:c r="L207" s="26"/>
      <x:c r="M207" s="26" t="str">
        <x:v>Absent from named inventory</x:v>
      </x:c>
      <x:c r="N207" s="26" t="str">
        <x:v>Absent from named inventory</x:v>
      </x:c>
      <x:c r="O207" s="26" t="str">
        <x:v>Absent from named inventory</x:v>
      </x:c>
      <x:c r="P207" s="26"/>
      <x:c r="Q207" s="26" t="str">
        <x:v>../Project Recherche Data/tpa-batch04-20260908/selection.json</x:v>
      </x:c>
      <x:c r="R207" s="26" t="str">
        <x:v>88cb06482cd14a2f65e966c23ca1cdea20fdeb356fd59137885e0ec5f3b47d1a</x:v>
      </x:c>
      <x:c r="S207" s="26" t="str">
        <x:v>8d93186d97babb9f674e00f1472e3a0e6d62942d61335288ff04f0dad4c1d06c</x:v>
      </x:c>
      <x:c r="T207" s="26" t="str">
        <x:v>ec4492e087dde1a45f2b30d95884999f7b94514f2c5c501dc6777c39a4b90a73</x:v>
      </x:c>
    </x:row>
    <x:row r="208" ht="60" customHeight="1">
      <x:c r="A208" s="26" t="str">
        <x:v>J1117-6154</x:v>
      </x:c>
      <x:c r="B208" s="26" t="str"/>
      <x:c r="C208" s="26" t="str">
        <x:v>NO_TRIGGER</x:v>
      </x:c>
      <x:c r="D208" s="26" t="str">
        <x:v>tpa-batch04-20260908-J1117-6154-run01</x:v>
      </x:c>
      <x:c r="E208" s="26" t="str">
        <x:v>No qualifying signal in eligible 30–400-day cells</x:v>
      </x:c>
      <x:c r="F208" s="26" t="str">
        <x:v>Retain result; consider independent data or a separately defined new scope</x:v>
      </x:c>
      <x:c r="G208" s="26" t="str">
        <x:v>SEARCHED</x:v>
      </x:c>
      <x:c r="H208" s="27" t="n">
        <x:v>416</x:v>
      </x:c>
      <x:c r="I208" s="27" t="n">
        <x:v>52</x:v>
      </x:c>
      <x:c r="J208" s="28" t="n">
        <x:v>1214.8088495537886</x:v>
      </x:c>
      <x:c r="K208" s="26" t="str">
        <x:v>tpa-batch04-20260908</x:v>
      </x:c>
      <x:c r="L208" s="26"/>
      <x:c r="M208" s="26" t="str">
        <x:v>Absent from named inventory</x:v>
      </x:c>
      <x:c r="N208" s="26" t="str">
        <x:v>Absent from named inventory</x:v>
      </x:c>
      <x:c r="O208" s="26" t="str">
        <x:v>Absent from named inventory</x:v>
      </x:c>
      <x:c r="P208" s="26"/>
      <x:c r="Q208" s="26" t="str">
        <x:v>../Project Recherche Data/tpa-batch04-20260908/selection.json</x:v>
      </x:c>
      <x:c r="R208" s="26" t="str">
        <x:v>88cb06482cd14a2f65e966c23ca1cdea20fdeb356fd59137885e0ec5f3b47d1a</x:v>
      </x:c>
      <x:c r="S208" s="26" t="str">
        <x:v>80f08641e09b13d6e34e9b0eb408726a3a78bb3b9ce1cad5428a424c8c653414</x:v>
      </x:c>
      <x:c r="T208" s="26" t="str">
        <x:v>3f72b71947912f7ae9eb501eeac7320a9ecc6c2a7d40bb8c16991490589e71ba</x:v>
      </x:c>
    </x:row>
    <x:row r="209" ht="60" customHeight="1">
      <x:c r="A209" s="26" t="str">
        <x:v>J1119-6127</x:v>
      </x:c>
      <x:c r="B209" s="26" t="str"/>
      <x:c r="C209" s="26" t="str">
        <x:v>NO_TRIGGER</x:v>
      </x:c>
      <x:c r="D209" s="26" t="str">
        <x:v>tpa-batch07-20260908-J1119-6127-run01</x:v>
      </x:c>
      <x:c r="E209" s="26" t="str">
        <x:v>No qualifying signal in eligible 30–400-day cells</x:v>
      </x:c>
      <x:c r="F209" s="26" t="str">
        <x:v>Retain result; consider independent data or a separately defined new scope</x:v>
      </x:c>
      <x:c r="G209" s="26" t="str">
        <x:v>SEARCHED</x:v>
      </x:c>
      <x:c r="H209" s="27" t="n">
        <x:v>406</x:v>
      </x:c>
      <x:c r="I209" s="27" t="n">
        <x:v>51</x:v>
      </x:c>
      <x:c r="J209" s="28" t="n">
        <x:v>1235.4240218437626</x:v>
      </x:c>
      <x:c r="K209" s="26" t="str">
        <x:v>tpa-batch07-20260908</x:v>
      </x:c>
      <x:c r="L209" s="26"/>
      <x:c r="M209" s="26" t="str">
        <x:v>Absent from named inventory</x:v>
      </x:c>
      <x:c r="N209" s="26" t="str">
        <x:v>Absent from named inventory</x:v>
      </x:c>
      <x:c r="O209" s="26" t="str">
        <x:v>Absent from named inventory</x:v>
      </x:c>
      <x:c r="P209" s="26"/>
      <x:c r="Q209" s="26" t="str">
        <x:v>../Project Recherche Data/tpa-batch07-20260908/selection.json</x:v>
      </x:c>
      <x:c r="R209" s="26" t="str">
        <x:v>a0944d5da0924367a8ed78a56de7826f64b6d517eb7c66fa044c452abc4894a7</x:v>
      </x:c>
      <x:c r="S209" s="26" t="str">
        <x:v>8fca5d8861e79b291b7302a0cd0e07f4aaa82c860a191850733adb5f29ccd31a</x:v>
      </x:c>
      <x:c r="T209" s="26" t="str">
        <x:v>bd44b2a9fb413c832a063f32a06b5e883fe275376eba81633decb80b04df3ee0</x:v>
      </x:c>
    </x:row>
    <x:row r="210" ht="60" customHeight="1">
      <x:c r="A210" s="26" t="str">
        <x:v>J1119-7936</x:v>
      </x:c>
      <x:c r="B210" s="26" t="str">
        <x:v>B1118-79</x:v>
      </x:c>
      <x:c r="C210" s="26" t="str">
        <x:v>NO_TRIGGER</x:v>
      </x:c>
      <x:c r="D210" s="26" t="str">
        <x:v>tpa-batch05-20260908-J1119-7936-run01</x:v>
      </x:c>
      <x:c r="E210" s="26" t="str">
        <x:v>No qualifying signal in eligible 30–400-day cells</x:v>
      </x:c>
      <x:c r="F210" s="26" t="str">
        <x:v>Retain result; consider independent data or a separately defined new scope</x:v>
      </x:c>
      <x:c r="G210" s="26" t="str">
        <x:v>SEARCHED</x:v>
      </x:c>
      <x:c r="H210" s="27" t="n">
        <x:v>409</x:v>
      </x:c>
      <x:c r="I210" s="27" t="n">
        <x:v>53</x:v>
      </x:c>
      <x:c r="J210" s="28" t="n">
        <x:v>1290.8629544891737</x:v>
      </x:c>
      <x:c r="K210" s="26" t="str">
        <x:v>tpa-batch05-20260908</x:v>
      </x:c>
      <x:c r="L210" s="26"/>
      <x:c r="M210" s="26" t="str">
        <x:v>Absent from named inventory</x:v>
      </x:c>
      <x:c r="N210" s="26" t="str">
        <x:v>Absent from named inventory</x:v>
      </x:c>
      <x:c r="O210" s="26" t="str">
        <x:v>Absent from named inventory</x:v>
      </x:c>
      <x:c r="P210" s="26"/>
      <x:c r="Q210" s="26" t="str">
        <x:v>../Project Recherche Data/tpa-batch05-20260908/selection.json</x:v>
      </x:c>
      <x:c r="R210" s="26" t="str">
        <x:v>1212bfb743fa2d3f16f95056ab4d3c2b52ec5dd997358fe385b8fd00313b3907</x:v>
      </x:c>
      <x:c r="S210" s="26" t="str">
        <x:v>b069ea7d8db2d34028bf58d6e2f7b728b3c167a6c3786e34aa791888c247c880</x:v>
      </x:c>
      <x:c r="T210" s="26" t="str">
        <x:v>91550ab3b403bdc07ff97a0db392ce396d9abfb4f9a28f0c592b89106ec0c395</x:v>
      </x:c>
    </x:row>
    <x:row r="211" ht="60" customHeight="1">
      <x:c r="A211" s="26" t="str">
        <x:v>J1121-5444</x:v>
      </x:c>
      <x:c r="B211" s="26" t="str">
        <x:v>B1119-54</x:v>
      </x:c>
      <x:c r="C211" s="26" t="str">
        <x:v>NO_TRIGGER</x:v>
      </x:c>
      <x:c r="D211" s="26" t="str">
        <x:v>tpa-batch03-20260908-J1121-5444-run01</x:v>
      </x:c>
      <x:c r="E211" s="26" t="str">
        <x:v>No qualifying signal in eligible 30–400-day cells</x:v>
      </x:c>
      <x:c r="F211" s="26" t="str">
        <x:v>Retain result; consider independent data or a separately defined new scope</x:v>
      </x:c>
      <x:c r="G211" s="26" t="str">
        <x:v>SEARCHED</x:v>
      </x:c>
      <x:c r="H211" s="27" t="n">
        <x:v>416</x:v>
      </x:c>
      <x:c r="I211" s="27" t="n">
        <x:v>52</x:v>
      </x:c>
      <x:c r="J211" s="28" t="n">
        <x:v>1290.7711290904335</x:v>
      </x:c>
      <x:c r="K211" s="26" t="str">
        <x:v>tpa-batch03-20260908</x:v>
      </x:c>
      <x:c r="L211" s="26"/>
      <x:c r="M211" s="26" t="str">
        <x:v>Absent from named inventory</x:v>
      </x:c>
      <x:c r="N211" s="26" t="str">
        <x:v>Absent from named inventory</x:v>
      </x:c>
      <x:c r="O211" s="26" t="str">
        <x:v>Absent from named inventory</x:v>
      </x:c>
      <x:c r="P211" s="26"/>
      <x:c r="Q211" s="26" t="str">
        <x:v>../Project Recherche Data/tpa-batch03-20260908/selection.json</x:v>
      </x:c>
      <x:c r="R211" s="26" t="str">
        <x:v>1cf7dc46e02f8f80971416baec3f4bb7357340d0174269b7b50fc11887c0df28</x:v>
      </x:c>
      <x:c r="S211" s="26" t="str">
        <x:v>27fee646339b995714086bf627d01a6ad4b7bd8d0c38996f5243ecfb58854bf5</x:v>
      </x:c>
      <x:c r="T211" s="26" t="str">
        <x:v>9e4ec835ac602a91db8079c47b227181d05e2ea3680e3bd692f7067ee12d45b7</x:v>
      </x:c>
    </x:row>
    <x:row r="212" ht="60" customHeight="1">
      <x:c r="A212" s="26" t="str">
        <x:v>J1123-4844</x:v>
      </x:c>
      <x:c r="B212" s="26" t="str"/>
      <x:c r="C212" s="26" t="str">
        <x:v>NO_TRIGGER</x:v>
      </x:c>
      <x:c r="D212" s="26" t="str">
        <x:v>tpa-batch03-20260908-J1123-4844-run01</x:v>
      </x:c>
      <x:c r="E212" s="26" t="str">
        <x:v>No qualifying signal in eligible 30–400-day cells</x:v>
      </x:c>
      <x:c r="F212" s="26" t="str">
        <x:v>Retain result; consider independent data or a separately defined new scope</x:v>
      </x:c>
      <x:c r="G212" s="26" t="str">
        <x:v>SEARCHED</x:v>
      </x:c>
      <x:c r="H212" s="27" t="n">
        <x:v>424</x:v>
      </x:c>
      <x:c r="I212" s="27" t="n">
        <x:v>53</x:v>
      </x:c>
      <x:c r="J212" s="28" t="n">
        <x:v>1290.7876094812018</x:v>
      </x:c>
      <x:c r="K212" s="26" t="str">
        <x:v>tpa-batch03-20260908</x:v>
      </x:c>
      <x:c r="L212" s="26"/>
      <x:c r="M212" s="26" t="str">
        <x:v>Absent from named inventory</x:v>
      </x:c>
      <x:c r="N212" s="26" t="str">
        <x:v>Absent from named inventory</x:v>
      </x:c>
      <x:c r="O212" s="26" t="str">
        <x:v>Absent from named inventory</x:v>
      </x:c>
      <x:c r="P212" s="26"/>
      <x:c r="Q212" s="26" t="str">
        <x:v>../Project Recherche Data/tpa-batch03-20260908/selection.json</x:v>
      </x:c>
      <x:c r="R212" s="26" t="str">
        <x:v>1cf7dc46e02f8f80971416baec3f4bb7357340d0174269b7b50fc11887c0df28</x:v>
      </x:c>
      <x:c r="S212" s="26" t="str">
        <x:v>e2561c6ffcd63e4084ae5ddf470167a2e1b166518caa2775b26f47825e0bcd45</x:v>
      </x:c>
      <x:c r="T212" s="26" t="str">
        <x:v>ddada6a0785d3c59353131f08e7ff5002a068e2008584a134183358d30c3325d</x:v>
      </x:c>
    </x:row>
    <x:row r="213" ht="60" customHeight="1">
      <x:c r="A213" s="26" t="str">
        <x:v>J1123-6102</x:v>
      </x:c>
      <x:c r="B213" s="26" t="str"/>
      <x:c r="C213" s="26" t="str">
        <x:v>NO_TRIGGER</x:v>
      </x:c>
      <x:c r="D213" s="26" t="str">
        <x:v>tpa-batch04-20260908-J1123-6102-run01</x:v>
      </x:c>
      <x:c r="E213" s="26" t="str">
        <x:v>No qualifying signal in eligible 30–400-day cells</x:v>
      </x:c>
      <x:c r="F213" s="26" t="str">
        <x:v>Retain result; consider independent data or a separately defined new scope</x:v>
      </x:c>
      <x:c r="G213" s="26" t="str">
        <x:v>SEARCHED</x:v>
      </x:c>
      <x:c r="H213" s="27" t="n">
        <x:v>415</x:v>
      </x:c>
      <x:c r="I213" s="27" t="n">
        <x:v>52</x:v>
      </x:c>
      <x:c r="J213" s="28" t="n">
        <x:v>1290.7701532005594</x:v>
      </x:c>
      <x:c r="K213" s="26" t="str">
        <x:v>tpa-batch04-20260908</x:v>
      </x:c>
      <x:c r="L213" s="26"/>
      <x:c r="M213" s="26" t="str">
        <x:v>Absent from named inventory</x:v>
      </x:c>
      <x:c r="N213" s="26" t="str">
        <x:v>Absent from named inventory</x:v>
      </x:c>
      <x:c r="O213" s="26" t="str">
        <x:v>Absent from named inventory</x:v>
      </x:c>
      <x:c r="P213" s="26"/>
      <x:c r="Q213" s="26" t="str">
        <x:v>../Project Recherche Data/tpa-batch04-20260908/selection.json</x:v>
      </x:c>
      <x:c r="R213" s="26" t="str">
        <x:v>88cb06482cd14a2f65e966c23ca1cdea20fdeb356fd59137885e0ec5f3b47d1a</x:v>
      </x:c>
      <x:c r="S213" s="26" t="str">
        <x:v>436b1f9c2432e1cb2ee8bc7c1501bf09e15041a9510ec2416d19c9628ccc5560</x:v>
      </x:c>
      <x:c r="T213" s="26" t="str">
        <x:v>9284c069bf64e3a8e0a44e5a4b6d04a2abba859fbc38cb6c3de86c4c84a14a8d</x:v>
      </x:c>
    </x:row>
    <x:row r="214" ht="60" customHeight="1">
      <x:c r="A214" s="26" t="str">
        <x:v>J1123-6259</x:v>
      </x:c>
      <x:c r="B214" s="26" t="str"/>
      <x:c r="C214" s="26" t="str">
        <x:v>NOT_SEARCHED</x:v>
      </x:c>
      <x:c r="D214" s="26"/>
      <x:c r="E214" s="26" t="str">
        <x:v>No observed search</x:v>
      </x:c>
      <x:c r="F214" s="26" t="str">
        <x:v>Retain exclusion for current scope</x:v>
      </x:c>
      <x:c r="G214" s="26" t="str">
        <x:v>TPA EXCLUDED</x:v>
      </x:c>
      <x:c r="H214" s="27" t="n">
        <x:v>216</x:v>
      </x:c>
      <x:c r="I214" s="27" t="n">
        <x:v>27</x:v>
      </x:c>
      <x:c r="J214" s="28" t="n">
        <x:v>1184.4701485778423</x:v>
      </x:c>
      <x:c r="K214" s="26"/>
      <x:c r="L214" s="26" t="str">
        <x:v>insufficient_span_or_epochs</x:v>
      </x:c>
      <x:c r="M214" s="26" t="str">
        <x:v>Absent from named inventory</x:v>
      </x:c>
      <x:c r="N214" s="26" t="str">
        <x:v>Absent from named inventory</x:v>
      </x:c>
      <x:c r="O214" s="26" t="str">
        <x:v>Absent from named inventory</x:v>
      </x:c>
      <x:c r="P214" s="26"/>
      <x:c r="Q214" s="26" t="str">
        <x:v>../Project Recherche Data/tpa-batch01-20260908/selection.json</x:v>
      </x:c>
      <x:c r="R214" s="26" t="str">
        <x:v>047722e4dca24e16c44c810f43990492b2f988012ca2b4bab47826ff4c95f1db</x:v>
      </x:c>
      <x:c r="S214" s="26" t="str">
        <x:v>21139502454dfade209158296fbdc8527b85dacdc7536704dd79e3b6fe1a3dc8</x:v>
      </x:c>
      <x:c r="T214" s="26" t="str">
        <x:v>14815b406fab1c0533ccdeb7aa47134fe4af5f780e552eb00ff665cdfb4ea19f</x:v>
      </x:c>
    </x:row>
    <x:row r="215" ht="60" customHeight="1">
      <x:c r="A215" s="26" t="str">
        <x:v>J1123-6651</x:v>
      </x:c>
      <x:c r="B215" s="26" t="str"/>
      <x:c r="C215" s="26" t="str">
        <x:v>NOT_SEARCHED</x:v>
      </x:c>
      <x:c r="D215" s="26"/>
      <x:c r="E215" s="26" t="str">
        <x:v>No observed search</x:v>
      </x:c>
      <x:c r="F215" s="26" t="str">
        <x:v>Retain exclusion for current scope</x:v>
      </x:c>
      <x:c r="G215" s="26" t="str">
        <x:v>TPA EXCLUDED</x:v>
      </x:c>
      <x:c r="H215" s="27" t="n">
        <x:v>197</x:v>
      </x:c>
      <x:c r="I215" s="27" t="n">
        <x:v>26</x:v>
      </x:c>
      <x:c r="J215" s="28" t="n">
        <x:v>1182.8060188889285</x:v>
      </x:c>
      <x:c r="K215" s="26"/>
      <x:c r="L215" s="26" t="str">
        <x:v>insufficient_span_or_epochs</x:v>
      </x:c>
      <x:c r="M215" s="26" t="str">
        <x:v>Absent from named inventory</x:v>
      </x:c>
      <x:c r="N215" s="26" t="str">
        <x:v>Absent from named inventory</x:v>
      </x:c>
      <x:c r="O215" s="26" t="str">
        <x:v>Absent from named inventory</x:v>
      </x:c>
      <x:c r="P215" s="26"/>
      <x:c r="Q215" s="26" t="str">
        <x:v>../Project Recherche Data/tpa-batch01-20260908/selection.json</x:v>
      </x:c>
      <x:c r="R215" s="26" t="str">
        <x:v>047722e4dca24e16c44c810f43990492b2f988012ca2b4bab47826ff4c95f1db</x:v>
      </x:c>
      <x:c r="S215" s="26" t="str">
        <x:v>8e1fdc2c94fae9fe2379c3303845d61024cb10039a8aa33f8d7f239bdf08ceb7</x:v>
      </x:c>
      <x:c r="T215" s="26" t="str">
        <x:v>b03456bfd3d8b1a8d01218b500de5fde11e890fae09e320c728f94babf8d842d</x:v>
      </x:c>
    </x:row>
    <x:row r="216" ht="60" customHeight="1">
      <x:c r="A216" s="26" t="str">
        <x:v>J1126-6054</x:v>
      </x:c>
      <x:c r="B216" s="26" t="str">
        <x:v>B1124-60</x:v>
      </x:c>
      <x:c r="C216" s="26" t="str">
        <x:v>NO_TRIGGER</x:v>
      </x:c>
      <x:c r="D216" s="26" t="str">
        <x:v>tpa-batch02-20260908-J1126-6054-run01</x:v>
      </x:c>
      <x:c r="E216" s="26" t="str">
        <x:v>No qualifying signal in eligible 30–400-day cells</x:v>
      </x:c>
      <x:c r="F216" s="26" t="str">
        <x:v>Retain result; consider independent data or a separately defined new scope</x:v>
      </x:c>
      <x:c r="G216" s="26" t="str">
        <x:v>SEARCHED</x:v>
      </x:c>
      <x:c r="H216" s="27" t="n">
        <x:v>408</x:v>
      </x:c>
      <x:c r="I216" s="27" t="n">
        <x:v>51</x:v>
      </x:c>
      <x:c r="J216" s="28" t="n">
        <x:v>1290.7893297016853</x:v>
      </x:c>
      <x:c r="K216" s="26" t="str">
        <x:v>tpa-batch02-20260908</x:v>
      </x:c>
      <x:c r="L216" s="26"/>
      <x:c r="M216" s="26" t="str">
        <x:v>Absent from named inventory</x:v>
      </x:c>
      <x:c r="N216" s="26" t="str">
        <x:v>Absent from named inventory</x:v>
      </x:c>
      <x:c r="O216" s="26" t="str">
        <x:v>Absent from named inventory</x:v>
      </x:c>
      <x:c r="P216" s="26"/>
      <x:c r="Q216" s="26" t="str">
        <x:v>../Project Recherche Data/tpa-batch02-20260908/selection.json</x:v>
      </x:c>
      <x:c r="R216" s="26" t="str">
        <x:v>eafdf9d3c8016443c502ba19ffd89257148144d3a88befddff9c95b47674d326</x:v>
      </x:c>
      <x:c r="S216" s="26" t="str">
        <x:v>3a97141601eae633255593003e8f613022ff7e03993bcc3e453931800f3b5470</x:v>
      </x:c>
      <x:c r="T216" s="26" t="str">
        <x:v>98ce7a5166df51c0b9a163aa395c036f35ea30e438c39e2d22035905a4a6010d</x:v>
      </x:c>
    </x:row>
    <x:row r="217" ht="60" customHeight="1">
      <x:c r="A217" s="26" t="str">
        <x:v>J1130-6807</x:v>
      </x:c>
      <x:c r="B217" s="26" t="str"/>
      <x:c r="C217" s="26" t="str">
        <x:v>NOT_SEARCHED</x:v>
      </x:c>
      <x:c r="D217" s="26"/>
      <x:c r="E217" s="26" t="str">
        <x:v>No observed search</x:v>
      </x:c>
      <x:c r="F217" s="26" t="str">
        <x:v>Retain exclusion for current scope</x:v>
      </x:c>
      <x:c r="G217" s="26" t="str">
        <x:v>TPA EXCLUDED</x:v>
      </x:c>
      <x:c r="H217" s="27" t="n">
        <x:v>175</x:v>
      </x:c>
      <x:c r="I217" s="27" t="n">
        <x:v>26</x:v>
      </x:c>
      <x:c r="J217" s="28" t="n">
        <x:v>1355.1503265620777</x:v>
      </x:c>
      <x:c r="K217" s="26"/>
      <x:c r="L217" s="26" t="str">
        <x:v>insufficient_span_or_epochs</x:v>
      </x:c>
      <x:c r="M217" s="26" t="str">
        <x:v>Absent from named inventory</x:v>
      </x:c>
      <x:c r="N217" s="26" t="str">
        <x:v>Absent from named inventory</x:v>
      </x:c>
      <x:c r="O217" s="26" t="str">
        <x:v>Absent from named inventory</x:v>
      </x:c>
      <x:c r="P217" s="26"/>
      <x:c r="Q217" s="26" t="str">
        <x:v>../Project Recherche Data/tpa-batch01-20260908/selection.json</x:v>
      </x:c>
      <x:c r="R217" s="26" t="str">
        <x:v>047722e4dca24e16c44c810f43990492b2f988012ca2b4bab47826ff4c95f1db</x:v>
      </x:c>
      <x:c r="S217" s="26" t="str">
        <x:v>d7d14bff852077cfb690be0fe9edc99bb2f3b4b8550733b2bc843148c554f338</x:v>
      </x:c>
      <x:c r="T217" s="26" t="str">
        <x:v>5a88fc942986f1c1ed6f288e0bafc0a0e0eb5595358f1a4571c7e68a4418d337</x:v>
      </x:c>
    </x:row>
    <x:row r="218" ht="60" customHeight="1">
      <x:c r="A218" s="26" t="str">
        <x:v>J1132-4700</x:v>
      </x:c>
      <x:c r="B218" s="26" t="str"/>
      <x:c r="C218" s="26" t="str">
        <x:v>NOT_SEARCHED</x:v>
      </x:c>
      <x:c r="D218" s="26"/>
      <x:c r="E218" s="26" t="str">
        <x:v>No observed search</x:v>
      </x:c>
      <x:c r="F218" s="26" t="str">
        <x:v>Retain exclusion for current scope</x:v>
      </x:c>
      <x:c r="G218" s="26" t="str">
        <x:v>TPA EXCLUDED</x:v>
      </x:c>
      <x:c r="H218" s="27" t="n">
        <x:v>214</x:v>
      </x:c>
      <x:c r="I218" s="27" t="n">
        <x:v>27</x:v>
      </x:c>
      <x:c r="J218" s="28" t="n">
        <x:v>1172.7483526972137</x:v>
      </x:c>
      <x:c r="K218" s="26"/>
      <x:c r="L218" s="26" t="str">
        <x:v>insufficient_span_or_epochs</x:v>
      </x:c>
      <x:c r="M218" s="26" t="str">
        <x:v>Absent from named inventory</x:v>
      </x:c>
      <x:c r="N218" s="26" t="str">
        <x:v>Absent from named inventory</x:v>
      </x:c>
      <x:c r="O218" s="26" t="str">
        <x:v>Absent from named inventory</x:v>
      </x:c>
      <x:c r="P218" s="26"/>
      <x:c r="Q218" s="26" t="str">
        <x:v>../Project Recherche Data/tpa-batch01-20260908/selection.json</x:v>
      </x:c>
      <x:c r="R218" s="26" t="str">
        <x:v>047722e4dca24e16c44c810f43990492b2f988012ca2b4bab47826ff4c95f1db</x:v>
      </x:c>
      <x:c r="S218" s="26" t="str">
        <x:v>489b3c3e6a3156e87c9cc806142f3ac9989ff6a08a8152acd9355b1943f22f17</x:v>
      </x:c>
      <x:c r="T218" s="26" t="str">
        <x:v>b655612e8ab8f57f2bfa8aff6709456de59e2d13bfab835d236edd817c7e75d7</x:v>
      </x:c>
    </x:row>
    <x:row r="219" ht="60" customHeight="1">
      <x:c r="A219" s="26" t="str">
        <x:v>J1133-6250</x:v>
      </x:c>
      <x:c r="B219" s="26" t="str">
        <x:v>B1131-62</x:v>
      </x:c>
      <x:c r="C219" s="26" t="str">
        <x:v>NO_TRIGGER</x:v>
      </x:c>
      <x:c r="D219" s="26" t="str">
        <x:v>tpa-batch06-20260908-J1133-6250-run01</x:v>
      </x:c>
      <x:c r="E219" s="26" t="str">
        <x:v>No qualifying signal in eligible 30–400-day cells</x:v>
      </x:c>
      <x:c r="F219" s="26" t="str">
        <x:v>Retain result; consider independent data or a separately defined new scope</x:v>
      </x:c>
      <x:c r="G219" s="26" t="str">
        <x:v>SEARCHED</x:v>
      </x:c>
      <x:c r="H219" s="27" t="n">
        <x:v>416</x:v>
      </x:c>
      <x:c r="I219" s="27" t="n">
        <x:v>52</x:v>
      </x:c>
      <x:c r="J219" s="28" t="n">
        <x:v>1290.7669822738026</x:v>
      </x:c>
      <x:c r="K219" s="26" t="str">
        <x:v>tpa-batch06-20260908</x:v>
      </x:c>
      <x:c r="L219" s="26"/>
      <x:c r="M219" s="26" t="str">
        <x:v>Absent from named inventory</x:v>
      </x:c>
      <x:c r="N219" s="26" t="str">
        <x:v>Absent from named inventory</x:v>
      </x:c>
      <x:c r="O219" s="26" t="str">
        <x:v>Absent from named inventory</x:v>
      </x:c>
      <x:c r="P219" s="26"/>
      <x:c r="Q219" s="26" t="str">
        <x:v>../Project Recherche Data/tpa-batch06-20260908/selection.json</x:v>
      </x:c>
      <x:c r="R219" s="26" t="str">
        <x:v>aa7dc82ae2f0aa7f4ad390810d65a59ea2811f4802deb69c9130205b6466f356</x:v>
      </x:c>
      <x:c r="S219" s="26" t="str">
        <x:v>d7946f084a6424a0986c61d43830d10e3a8b212d1b330a3d155346ebf119ae34</x:v>
      </x:c>
      <x:c r="T219" s="26" t="str">
        <x:v>9d15853ccc0f124bdc830685231a4d9c9859582be7a502d578dcea65eacd22e1</x:v>
      </x:c>
    </x:row>
    <x:row r="220" ht="60" customHeight="1">
      <x:c r="A220" s="26" t="str">
        <x:v>J1136+1551</x:v>
      </x:c>
      <x:c r="B220" s="26" t="str">
        <x:v>B1133+16</x:v>
      </x:c>
      <x:c r="C220" s="26" t="str">
        <x:v>NO_TRIGGER</x:v>
      </x:c>
      <x:c r="D220" s="26" t="str">
        <x:v>tpa-batch08-20260908-J1136+1551-run01</x:v>
      </x:c>
      <x:c r="E220" s="26" t="str">
        <x:v>No qualifying signal in eligible 30–400-day cells</x:v>
      </x:c>
      <x:c r="F220" s="26" t="str">
        <x:v>Retain result; consider independent data or a separately defined new scope</x:v>
      </x:c>
      <x:c r="G220" s="26" t="str">
        <x:v>SEARCHED</x:v>
      </x:c>
      <x:c r="H220" s="27" t="n">
        <x:v>405</x:v>
      </x:c>
      <x:c r="I220" s="27" t="n">
        <x:v>51</x:v>
      </x:c>
      <x:c r="J220" s="28" t="n">
        <x:v>1290.4646814270964</x:v>
      </x:c>
      <x:c r="K220" s="26" t="str">
        <x:v>tpa-batch08-20260908</x:v>
      </x:c>
      <x:c r="L220" s="26"/>
      <x:c r="M220" s="26" t="str">
        <x:v>Present</x:v>
      </x:c>
      <x:c r="N220" s="26" t="str">
        <x:v>Absent from named inventory</x:v>
      </x:c>
      <x:c r="O220" s="26" t="str">
        <x:v>Absent from named inventory</x:v>
      </x:c>
      <x:c r="P220" s="26"/>
      <x:c r="Q220" s="26" t="str">
        <x:v>../Project Recherche Data/tpa-batch08-20260908/selection.json</x:v>
      </x:c>
      <x:c r="R220" s="26" t="str">
        <x:v>6fe595c0d188861ebc661368dcb361d40c70c01fd3243f0147e51a513ec4e764</x:v>
      </x:c>
      <x:c r="S220" s="26" t="str">
        <x:v>92f6dbfd3fed04006cf0c983ea083cf7a9ac1eda3312f45d4c09f8ce8540fde3</x:v>
      </x:c>
      <x:c r="T220" s="26" t="str">
        <x:v>ad6b0e74c298f1148e9a1de5b0c3dafecf54f110bf80c1de329e3e19f3c3ef53</x:v>
      </x:c>
    </x:row>
    <x:row r="221" ht="60" customHeight="1">
      <x:c r="A221" s="26" t="str">
        <x:v>J1136-5525</x:v>
      </x:c>
      <x:c r="B221" s="26" t="str">
        <x:v>B1133-55</x:v>
      </x:c>
      <x:c r="C221" s="26" t="str">
        <x:v>NO_TRIGGER</x:v>
      </x:c>
      <x:c r="D221" s="26" t="str">
        <x:v>utmost-batch04-20260909-J1136-5525-run01</x:v>
      </x:c>
      <x:c r="E221" s="26" t="str">
        <x:v>No qualifying signal in eligible 30–400-day cells</x:v>
      </x:c>
      <x:c r="F221" s="26" t="str">
        <x:v>Retain result; consider independent data or a separately defined new scope</x:v>
      </x:c>
      <x:c r="G221" s="26" t="str">
        <x:v>UTMOST SEARCHED</x:v>
      </x:c>
      <x:c r="H221" s="27" t="n">
        <x:v>415</x:v>
      </x:c>
      <x:c r="I221" s="27" t="n">
        <x:v>52</x:v>
      </x:c>
      <x:c r="J221" s="28" t="n">
        <x:v>1261.7857977809035</x:v>
      </x:c>
      <x:c r="K221" s="26" t="str">
        <x:v>tpa-batch04-20260908</x:v>
      </x:c>
      <x:c r="L221" s="26"/>
      <x:c r="M221" s="26" t="str">
        <x:v>Absent from named inventory</x:v>
      </x:c>
      <x:c r="N221" s="26" t="str">
        <x:v>Absent from named inventory</x:v>
      </x:c>
      <x:c r="O221" s="26" t="str">
        <x:v>Absent from named inventory</x:v>
      </x:c>
      <x:c r="P221" s="26"/>
      <x:c r="Q221" s="26" t="str">
        <x:v>../Project Recherche Data/tpa-batch04-20260908/selection.json</x:v>
      </x:c>
      <x:c r="R221" s="26" t="str">
        <x:v>88cb06482cd14a2f65e966c23ca1cdea20fdeb356fd59137885e0ec5f3b47d1a</x:v>
      </x:c>
      <x:c r="S221" s="26" t="str">
        <x:v>c157950a9c119783556ecb69903025ba6a78c2069ad7a32bfabef3f22f61fa8b</x:v>
      </x:c>
      <x:c r="T221" s="26" t="str">
        <x:v>c0db844d60b092df728458bbda2970ea7066666f8dc8c76e1f02adc8cd06e93e</x:v>
      </x:c>
    </x:row>
    <x:row r="222" ht="60" customHeight="1">
      <x:c r="A222" s="26" t="str">
        <x:v>J1137-6700</x:v>
      </x:c>
      <x:c r="B222" s="26" t="str"/>
      <x:c r="C222" s="26" t="str">
        <x:v>NO_TRIGGER</x:v>
      </x:c>
      <x:c r="D222" s="26" t="str">
        <x:v>tpa-batch06-20260908-J1137-6700-run01</x:v>
      </x:c>
      <x:c r="E222" s="26" t="str">
        <x:v>No qualifying signal in eligible 30–400-day cells</x:v>
      </x:c>
      <x:c r="F222" s="26" t="str">
        <x:v>Retain result; consider independent data or a separately defined new scope</x:v>
      </x:c>
      <x:c r="G222" s="26" t="str">
        <x:v>SEARCHED</x:v>
      </x:c>
      <x:c r="H222" s="27" t="n">
        <x:v>400</x:v>
      </x:c>
      <x:c r="I222" s="27" t="n">
        <x:v>51</x:v>
      </x:c>
      <x:c r="J222" s="28" t="n">
        <x:v>1290.7903750491241</x:v>
      </x:c>
      <x:c r="K222" s="26" t="str">
        <x:v>tpa-batch06-20260908</x:v>
      </x:c>
      <x:c r="L222" s="26"/>
      <x:c r="M222" s="26" t="str">
        <x:v>Absent from named inventory</x:v>
      </x:c>
      <x:c r="N222" s="26" t="str">
        <x:v>Absent from named inventory</x:v>
      </x:c>
      <x:c r="O222" s="26" t="str">
        <x:v>Absent from named inventory</x:v>
      </x:c>
      <x:c r="P222" s="26"/>
      <x:c r="Q222" s="26" t="str">
        <x:v>../Project Recherche Data/tpa-batch06-20260908/selection.json</x:v>
      </x:c>
      <x:c r="R222" s="26" t="str">
        <x:v>aa7dc82ae2f0aa7f4ad390810d65a59ea2811f4802deb69c9130205b6466f356</x:v>
      </x:c>
      <x:c r="S222" s="26" t="str">
        <x:v>30b4e41a8119e8c50f8c91a7df85a4efef56817db4df6babe876aabe2b04d9d6</x:v>
      </x:c>
      <x:c r="T222" s="26" t="str">
        <x:v>c6422bf656e27d27b9257422ad8553bf2aadbed40ced6ce77608c91c9bc94b45</x:v>
      </x:c>
    </x:row>
    <x:row r="223" ht="60" customHeight="1">
      <x:c r="A223" s="26" t="str">
        <x:v>J1141-3107</x:v>
      </x:c>
      <x:c r="B223" s="26" t="str"/>
      <x:c r="C223" s="26" t="str">
        <x:v>NOT_SEARCHED</x:v>
      </x:c>
      <x:c r="D223" s="26"/>
      <x:c r="E223" s="26" t="str">
        <x:v>No observed search</x:v>
      </x:c>
      <x:c r="F223" s="26" t="str">
        <x:v>Retain exclusion for current scope</x:v>
      </x:c>
      <x:c r="G223" s="26" t="str">
        <x:v>TPA EXCLUDED</x:v>
      </x:c>
      <x:c r="H223" s="27" t="n">
        <x:v>208</x:v>
      </x:c>
      <x:c r="I223" s="27" t="n">
        <x:v>29</x:v>
      </x:c>
      <x:c r="J223" s="28" t="n">
        <x:v>1278.618295010143</x:v>
      </x:c>
      <x:c r="K223" s="26"/>
      <x:c r="L223" s="26" t="str">
        <x:v>insufficient_span_or_epochs</x:v>
      </x:c>
      <x:c r="M223" s="26" t="str">
        <x:v>Present</x:v>
      </x:c>
      <x:c r="N223" s="26" t="str">
        <x:v>Absent from named inventory</x:v>
      </x:c>
      <x:c r="O223" s="26" t="str">
        <x:v>Absent from named inventory</x:v>
      </x:c>
      <x:c r="P223" s="26"/>
      <x:c r="Q223" s="26" t="str">
        <x:v>../Project Recherche Data/tpa-batch01-20260908/selection.json</x:v>
      </x:c>
      <x:c r="R223" s="26" t="str">
        <x:v>047722e4dca24e16c44c810f43990492b2f988012ca2b4bab47826ff4c95f1db</x:v>
      </x:c>
      <x:c r="S223" s="26" t="str">
        <x:v>fc644a99ce9e4d2d9bc99037e3da23a7f68066836d8db7daef71a1f221c1d9bf</x:v>
      </x:c>
      <x:c r="T223" s="26" t="str">
        <x:v>c5c2a01744f81689749bc2fca315c5d81b06576b083268f0d5a3d59f8ae3f5b5</x:v>
      </x:c>
    </x:row>
    <x:row r="224" ht="60" customHeight="1">
      <x:c r="A224" s="26" t="str">
        <x:v>J1141-3322</x:v>
      </x:c>
      <x:c r="B224" s="26" t="str"/>
      <x:c r="C224" s="26" t="str">
        <x:v>NO_TRIGGER</x:v>
      </x:c>
      <x:c r="D224" s="26" t="str">
        <x:v>tpa-batch07-20260908-J1141-3322-run01</x:v>
      </x:c>
      <x:c r="E224" s="26" t="str">
        <x:v>No qualifying signal in eligible 30–400-day cells</x:v>
      </x:c>
      <x:c r="F224" s="26" t="str">
        <x:v>Retain result; consider independent data or a separately defined new scope</x:v>
      </x:c>
      <x:c r="G224" s="26" t="str">
        <x:v>SEARCHED</x:v>
      </x:c>
      <x:c r="H224" s="27" t="n">
        <x:v>424</x:v>
      </x:c>
      <x:c r="I224" s="27" t="n">
        <x:v>53</x:v>
      </x:c>
      <x:c r="J224" s="28" t="n">
        <x:v>1290.6736954990993</x:v>
      </x:c>
      <x:c r="K224" s="26" t="str">
        <x:v>tpa-batch07-20260908</x:v>
      </x:c>
      <x:c r="L224" s="26"/>
      <x:c r="M224" s="26" t="str">
        <x:v>Present</x:v>
      </x:c>
      <x:c r="N224" s="26" t="str">
        <x:v>Absent from named inventory</x:v>
      </x:c>
      <x:c r="O224" s="26" t="str">
        <x:v>Absent from named inventory</x:v>
      </x:c>
      <x:c r="P224" s="26"/>
      <x:c r="Q224" s="26" t="str">
        <x:v>../Project Recherche Data/tpa-batch07-20260908/selection.json</x:v>
      </x:c>
      <x:c r="R224" s="26" t="str">
        <x:v>a0944d5da0924367a8ed78a56de7826f64b6d517eb7c66fa044c452abc4894a7</x:v>
      </x:c>
      <x:c r="S224" s="26" t="str">
        <x:v>76ebb627ba75a9135b1e782560f6bbe0cd6e52f7cef76d889092a4fc17635a00</x:v>
      </x:c>
      <x:c r="T224" s="26" t="str">
        <x:v>36d615b7a08b07c4c599ad2f33cca659154e74947046884e45bad72ce64869db</x:v>
      </x:c>
    </x:row>
    <x:row r="225" ht="60" customHeight="1">
      <x:c r="A225" s="26" t="str">
        <x:v>J1146-6030</x:v>
      </x:c>
      <x:c r="B225" s="26" t="str">
        <x:v>B1143-60</x:v>
      </x:c>
      <x:c r="C225" s="26" t="str">
        <x:v>NOT_SEARCHED</x:v>
      </x:c>
      <x:c r="D225" s="26"/>
      <x:c r="E225" s="26" t="str">
        <x:v>No observed search</x:v>
      </x:c>
      <x:c r="F225" s="26" t="str">
        <x:v>Retain exclusion for current scope</x:v>
      </x:c>
      <x:c r="G225" s="26" t="str">
        <x:v>TPA EXCLUDED</x:v>
      </x:c>
      <x:c r="H225" s="27" t="n">
        <x:v>88</x:v>
      </x:c>
      <x:c r="I225" s="27" t="n">
        <x:v>11</x:v>
      </x:c>
      <x:c r="J225" s="28" t="n">
        <x:v>480.7075577955766</x:v>
      </x:c>
      <x:c r="K225" s="26"/>
      <x:c r="L225" s="26" t="str">
        <x:v>insufficient_span_or_epochs</x:v>
      </x:c>
      <x:c r="M225" s="26" t="str">
        <x:v>Absent from named inventory</x:v>
      </x:c>
      <x:c r="N225" s="26" t="str">
        <x:v>Absent from named inventory</x:v>
      </x:c>
      <x:c r="O225" s="26" t="str">
        <x:v>Absent from named inventory</x:v>
      </x:c>
      <x:c r="P225" s="26"/>
      <x:c r="Q225" s="26" t="str">
        <x:v>../Project Recherche Data/tpa-batch01-20260908/selection.json</x:v>
      </x:c>
      <x:c r="R225" s="26" t="str">
        <x:v>047722e4dca24e16c44c810f43990492b2f988012ca2b4bab47826ff4c95f1db</x:v>
      </x:c>
      <x:c r="S225" s="26" t="str">
        <x:v>9e518349e03b7e27cb055a9bbddeef835e5739f4831346165e989e0ff2c507f5</x:v>
      </x:c>
      <x:c r="T225" s="26" t="str">
        <x:v>215d75cd6b8a03591adbc5b97f0a02b44f3332685fb8126bf582eddbd2b92a75</x:v>
      </x:c>
    </x:row>
    <x:row r="226" ht="60" customHeight="1">
      <x:c r="A226" s="26" t="str">
        <x:v>J1157-6224</x:v>
      </x:c>
      <x:c r="B226" s="26" t="str">
        <x:v>B1154-62</x:v>
      </x:c>
      <x:c r="C226" s="26" t="str">
        <x:v>NO_TRIGGER</x:v>
      </x:c>
      <x:c r="D226" s="26" t="str">
        <x:v>utmost-batch02-20260909-J1157-6224-run01</x:v>
      </x:c>
      <x:c r="E226" s="26" t="str">
        <x:v>No qualifying signal in eligible 30–400-day cells</x:v>
      </x:c>
      <x:c r="F226" s="26" t="str">
        <x:v>Retain result; consider independent data or a separately defined new scope</x:v>
      </x:c>
      <x:c r="G226" s="26" t="str">
        <x:v>UTMOST SEARCHED</x:v>
      </x:c>
      <x:c r="H226" s="27" t="n">
        <x:v>96</x:v>
      </x:c>
      <x:c r="I226" s="27" t="n">
        <x:v>12</x:v>
      </x:c>
      <x:c r="J226" s="28" t="n">
        <x:v>480.7051447969134</x:v>
      </x:c>
      <x:c r="K226" s="26"/>
      <x:c r="L226" s="26" t="str">
        <x:v>insufficient_span_or_epochs</x:v>
      </x:c>
      <x:c r="M226" s="26" t="str">
        <x:v>Absent from named inventory</x:v>
      </x:c>
      <x:c r="N226" s="26" t="str">
        <x:v>Absent from named inventory</x:v>
      </x:c>
      <x:c r="O226" s="26" t="str">
        <x:v>Absent from named inventory</x:v>
      </x:c>
      <x:c r="P226" s="26"/>
      <x:c r="Q226" s="26" t="str">
        <x:v>../Project Recherche Data/tpa-batch01-20260908/selection.json</x:v>
      </x:c>
      <x:c r="R226" s="26" t="str">
        <x:v>047722e4dca24e16c44c810f43990492b2f988012ca2b4bab47826ff4c95f1db</x:v>
      </x:c>
      <x:c r="S226" s="26" t="str">
        <x:v>571797cfa7d744ac3d4b0263a3c9fea9dea366038767af167b177ac4ffb31f26</x:v>
      </x:c>
      <x:c r="T226" s="26" t="str">
        <x:v>b39936ef82f3691308972f8b23552682f680c39857c9927b4e864604aa0285ad</x:v>
      </x:c>
    </x:row>
    <x:row r="227" ht="60" customHeight="1">
      <x:c r="A227" s="26" t="str">
        <x:v>J1159-6409</x:v>
      </x:c>
      <x:c r="B227" s="26" t="str"/>
      <x:c r="C227" s="26" t="str">
        <x:v>NOT_SEARCHED</x:v>
      </x:c>
      <x:c r="D227" s="26"/>
      <x:c r="E227" s="26" t="str">
        <x:v>No observed search</x:v>
      </x:c>
      <x:c r="F227" s="26" t="str">
        <x:v>Retain exclusion for current scope</x:v>
      </x:c>
      <x:c r="G227" s="26" t="str">
        <x:v>TPA EXCLUDED</x:v>
      </x:c>
      <x:c r="H227" s="27" t="n">
        <x:v>183</x:v>
      </x:c>
      <x:c r="I227" s="27" t="n">
        <x:v>26</x:v>
      </x:c>
      <x:c r="J227" s="28" t="n">
        <x:v>1172.7386950014115</x:v>
      </x:c>
      <x:c r="K227" s="26"/>
      <x:c r="L227" s="26" t="str">
        <x:v>insufficient_span_or_epochs</x:v>
      </x:c>
      <x:c r="M227" s="26" t="str">
        <x:v>Absent from named inventory</x:v>
      </x:c>
      <x:c r="N227" s="26" t="str">
        <x:v>Absent from named inventory</x:v>
      </x:c>
      <x:c r="O227" s="26" t="str">
        <x:v>Absent from named inventory</x:v>
      </x:c>
      <x:c r="P227" s="26"/>
      <x:c r="Q227" s="26" t="str">
        <x:v>../Project Recherche Data/tpa-batch01-20260908/selection.json</x:v>
      </x:c>
      <x:c r="R227" s="26" t="str">
        <x:v>047722e4dca24e16c44c810f43990492b2f988012ca2b4bab47826ff4c95f1db</x:v>
      </x:c>
      <x:c r="S227" s="26" t="str">
        <x:v>1d5706d5deb6e33207d998f95a4d7116f7faadb4e35ee1bbedb5b45720e38511</x:v>
      </x:c>
      <x:c r="T227" s="26" t="str">
        <x:v>cde818b40fda5df5ea4af936d1fce86af592f225f5cc3664a383939bfed6e05c</x:v>
      </x:c>
    </x:row>
    <x:row r="228" ht="60" customHeight="1">
      <x:c r="A228" s="26" t="str">
        <x:v>J1159-7910</x:v>
      </x:c>
      <x:c r="B228" s="26" t="str"/>
      <x:c r="C228" s="26" t="str">
        <x:v>NOT_SEARCHED</x:v>
      </x:c>
      <x:c r="D228" s="26"/>
      <x:c r="E228" s="26" t="str">
        <x:v>No observed search</x:v>
      </x:c>
      <x:c r="F228" s="26" t="str">
        <x:v>Retain exclusion for current scope</x:v>
      </x:c>
      <x:c r="G228" s="26" t="str">
        <x:v>TPA EXCLUDED</x:v>
      </x:c>
      <x:c r="H228" s="27" t="n">
        <x:v>219</x:v>
      </x:c>
      <x:c r="I228" s="27" t="n">
        <x:v>28</x:v>
      </x:c>
      <x:c r="J228" s="28" t="n">
        <x:v>1278.7429798850426</x:v>
      </x:c>
      <x:c r="K228" s="26"/>
      <x:c r="L228" s="26" t="str">
        <x:v>insufficient_span_or_epochs</x:v>
      </x:c>
      <x:c r="M228" s="26" t="str">
        <x:v>Absent from named inventory</x:v>
      </x:c>
      <x:c r="N228" s="26" t="str">
        <x:v>Absent from named inventory</x:v>
      </x:c>
      <x:c r="O228" s="26" t="str">
        <x:v>Absent from named inventory</x:v>
      </x:c>
      <x:c r="P228" s="26"/>
      <x:c r="Q228" s="26" t="str">
        <x:v>../Project Recherche Data/tpa-batch01-20260908/selection.json</x:v>
      </x:c>
      <x:c r="R228" s="26" t="str">
        <x:v>047722e4dca24e16c44c810f43990492b2f988012ca2b4bab47826ff4c95f1db</x:v>
      </x:c>
      <x:c r="S228" s="26" t="str">
        <x:v>2ac92ec525188704dcf995a9e58054b994785522cc2630f43918ada311ce8d8f</x:v>
      </x:c>
      <x:c r="T228" s="26" t="str">
        <x:v>2f887912964cbb859e435f33f6d0c7a356d94da9fcebb39ded3c87d5e36be1c7</x:v>
      </x:c>
    </x:row>
    <x:row r="229" ht="60" customHeight="1">
      <x:c r="A229" s="26" t="str">
        <x:v>J1202-5820</x:v>
      </x:c>
      <x:c r="B229" s="26" t="str">
        <x:v>B1159-58</x:v>
      </x:c>
      <x:c r="C229" s="26" t="str">
        <x:v>NO_TRIGGER</x:v>
      </x:c>
      <x:c r="D229" s="26" t="str">
        <x:v>utmost-batch04-20260909-J1202-5820-run01</x:v>
      </x:c>
      <x:c r="E229" s="26" t="str">
        <x:v>No qualifying signal in eligible 30–400-day cells</x:v>
      </x:c>
      <x:c r="F229" s="26" t="str">
        <x:v>Retain result; consider independent data or a separately defined new scope</x:v>
      </x:c>
      <x:c r="G229" s="26" t="str">
        <x:v>UTMOST SEARCHED</x:v>
      </x:c>
      <x:c r="H229" s="27" t="n">
        <x:v>415</x:v>
      </x:c>
      <x:c r="I229" s="27" t="n">
        <x:v>52</x:v>
      </x:c>
      <x:c r="J229" s="28" t="n">
        <x:v>1290.7890001325432</x:v>
      </x:c>
      <x:c r="K229" s="26" t="str">
        <x:v>tpa-batch03-20260908</x:v>
      </x:c>
      <x:c r="L229" s="26"/>
      <x:c r="M229" s="26" t="str">
        <x:v>Absent from named inventory</x:v>
      </x:c>
      <x:c r="N229" s="26" t="str">
        <x:v>Absent from named inventory</x:v>
      </x:c>
      <x:c r="O229" s="26" t="str">
        <x:v>Absent from named inventory</x:v>
      </x:c>
      <x:c r="P229" s="26"/>
      <x:c r="Q229" s="26" t="str">
        <x:v>../Project Recherche Data/tpa-batch03-20260908/selection.json</x:v>
      </x:c>
      <x:c r="R229" s="26" t="str">
        <x:v>1cf7dc46e02f8f80971416baec3f4bb7357340d0174269b7b50fc11887c0df28</x:v>
      </x:c>
      <x:c r="S229" s="26" t="str">
        <x:v>d984b6681861cfda957a42a4d412842337074089f99ec3ecbc8d18b7a5b0647e</x:v>
      </x:c>
      <x:c r="T229" s="26" t="str">
        <x:v>f00a87ac7afc58835a09896c26f77eb063392f927642dc3c7cf6ddb5d4d6a5b4</x:v>
      </x:c>
    </x:row>
    <x:row r="230" ht="60" customHeight="1">
      <x:c r="A230" s="26" t="str">
        <x:v>J1204-6843</x:v>
      </x:c>
      <x:c r="B230" s="26" t="str"/>
      <x:c r="C230" s="26" t="str">
        <x:v>NOT_SEARCHED</x:v>
      </x:c>
      <x:c r="D230" s="26"/>
      <x:c r="E230" s="26" t="str">
        <x:v>No observed search</x:v>
      </x:c>
      <x:c r="F230" s="26" t="str">
        <x:v>Retain exclusion for current scope</x:v>
      </x:c>
      <x:c r="G230" s="26" t="str">
        <x:v>TPA EXCLUDED</x:v>
      </x:c>
      <x:c r="H230" s="27" t="n">
        <x:v>216</x:v>
      </x:c>
      <x:c r="I230" s="27" t="n">
        <x:v>27</x:v>
      </x:c>
      <x:c r="J230" s="28" t="n">
        <x:v>1172.6895261186437</x:v>
      </x:c>
      <x:c r="K230" s="26"/>
      <x:c r="L230" s="26" t="str">
        <x:v>insufficient_span_or_epochs</x:v>
      </x:c>
      <x:c r="M230" s="26" t="str">
        <x:v>Absent from named inventory</x:v>
      </x:c>
      <x:c r="N230" s="26" t="str">
        <x:v>Absent from named inventory</x:v>
      </x:c>
      <x:c r="O230" s="26" t="str">
        <x:v>Absent from named inventory</x:v>
      </x:c>
      <x:c r="P230" s="26"/>
      <x:c r="Q230" s="26" t="str">
        <x:v>../Project Recherche Data/tpa-batch01-20260908/selection.json</x:v>
      </x:c>
      <x:c r="R230" s="26" t="str">
        <x:v>047722e4dca24e16c44c810f43990492b2f988012ca2b4bab47826ff4c95f1db</x:v>
      </x:c>
      <x:c r="S230" s="26" t="str">
        <x:v>f79ee343c4bfc1c8ab68e394c3ec53679719e92af4027636be718911d46797f4</x:v>
      </x:c>
      <x:c r="T230" s="26" t="str">
        <x:v>3a05e8b6fee96cc335dcf156921e21f93062f0bf3f688978c597a6ff1bf8175a</x:v>
      </x:c>
    </x:row>
    <x:row r="231" ht="60" customHeight="1">
      <x:c r="A231" s="26" t="str">
        <x:v>J1210-5559</x:v>
      </x:c>
      <x:c r="B231" s="26" t="str"/>
      <x:c r="C231" s="26" t="str">
        <x:v>NO_TRIGGER</x:v>
      </x:c>
      <x:c r="D231" s="26" t="str">
        <x:v>utmost-batch02-20260909-J1210-5559-run01</x:v>
      </x:c>
      <x:c r="E231" s="26" t="str">
        <x:v>No qualifying signal in eligible 30–400-day cells</x:v>
      </x:c>
      <x:c r="F231" s="26" t="str">
        <x:v>Retain result; consider independent data or a separately defined new scope</x:v>
      </x:c>
      <x:c r="G231" s="26" t="str">
        <x:v>UTMOST SEARCHED</x:v>
      </x:c>
      <x:c r="H231" s="27" t="n">
        <x:v>87</x:v>
      </x:c>
      <x:c r="I231" s="27" t="n">
        <x:v>11</x:v>
      </x:c>
      <x:c r="J231" s="28" t="n">
        <x:v>480.7092259818892</x:v>
      </x:c>
      <x:c r="K231" s="26"/>
      <x:c r="L231" s="26" t="str">
        <x:v>insufficient_span_or_epochs</x:v>
      </x:c>
      <x:c r="M231" s="26" t="str">
        <x:v>Absent from named inventory</x:v>
      </x:c>
      <x:c r="N231" s="26" t="str">
        <x:v>Absent from named inventory</x:v>
      </x:c>
      <x:c r="O231" s="26" t="str">
        <x:v>Absent from named inventory</x:v>
      </x:c>
      <x:c r="P231" s="26"/>
      <x:c r="Q231" s="26" t="str">
        <x:v>../Project Recherche Data/tpa-batch01-20260908/selection.json</x:v>
      </x:c>
      <x:c r="R231" s="26" t="str">
        <x:v>047722e4dca24e16c44c810f43990492b2f988012ca2b4bab47826ff4c95f1db</x:v>
      </x:c>
      <x:c r="S231" s="26" t="str">
        <x:v>0e8c41f39b192cca68c5818fa1ded6cc3915f1679851ee5fb47bcff99fff9d3a</x:v>
      </x:c>
      <x:c r="T231" s="26" t="str">
        <x:v>f6717dc73faf568fb468b2c93e1e3fca54c4cf3d67e16f429135014eb9c10840</x:v>
      </x:c>
    </x:row>
    <x:row r="232" ht="60" customHeight="1">
      <x:c r="A232" s="26" t="str">
        <x:v>J1211-6324</x:v>
      </x:c>
      <x:c r="B232" s="26" t="str"/>
      <x:c r="C232" s="26" t="str">
        <x:v>NOT_SEARCHED</x:v>
      </x:c>
      <x:c r="D232" s="26"/>
      <x:c r="E232" s="26" t="str">
        <x:v>No observed search</x:v>
      </x:c>
      <x:c r="F232" s="26" t="str">
        <x:v>Retain exclusion for current scope</x:v>
      </x:c>
      <x:c r="G232" s="26" t="str">
        <x:v>TPA EXCLUDED</x:v>
      </x:c>
      <x:c r="H232" s="27" t="n">
        <x:v>240</x:v>
      </x:c>
      <x:c r="I232" s="27" t="n">
        <x:v>30</x:v>
      </x:c>
      <x:c r="J232" s="28" t="n">
        <x:v>1378.1455875481188</x:v>
      </x:c>
      <x:c r="K232" s="26"/>
      <x:c r="L232" s="26" t="str">
        <x:v>insufficient_span_or_epochs</x:v>
      </x:c>
      <x:c r="M232" s="26" t="str">
        <x:v>Absent from named inventory</x:v>
      </x:c>
      <x:c r="N232" s="26" t="str">
        <x:v>Absent from named inventory</x:v>
      </x:c>
      <x:c r="O232" s="26" t="str">
        <x:v>Absent from named inventory</x:v>
      </x:c>
      <x:c r="P232" s="26"/>
      <x:c r="Q232" s="26" t="str">
        <x:v>../Project Recherche Data/tpa-batch01-20260908/selection.json</x:v>
      </x:c>
      <x:c r="R232" s="26" t="str">
        <x:v>047722e4dca24e16c44c810f43990492b2f988012ca2b4bab47826ff4c95f1db</x:v>
      </x:c>
      <x:c r="S232" s="26" t="str">
        <x:v>a4d79a6549cc94b7cedcb787a5f2d9f9979a79f6047297c6ae6f88d5bea24930</x:v>
      </x:c>
      <x:c r="T232" s="26" t="str">
        <x:v>9815b358af33371c8b9b8c324969427f510bffdf1d2f791416f7b23ab6dcbd27</x:v>
      </x:c>
    </x:row>
    <x:row r="233" ht="60" customHeight="1">
      <x:c r="A233" s="26" t="str">
        <x:v>J1215-5328</x:v>
      </x:c>
      <x:c r="B233" s="26" t="str"/>
      <x:c r="C233" s="26" t="str">
        <x:v>NOT_SEARCHED</x:v>
      </x:c>
      <x:c r="D233" s="26"/>
      <x:c r="E233" s="26" t="str">
        <x:v>No observed search</x:v>
      </x:c>
      <x:c r="F233" s="26" t="str">
        <x:v>Retain exclusion for current scope</x:v>
      </x:c>
      <x:c r="G233" s="26" t="str">
        <x:v>TPA EXCLUDED</x:v>
      </x:c>
      <x:c r="H233" s="27" t="n">
        <x:v>208</x:v>
      </x:c>
      <x:c r="I233" s="27" t="n">
        <x:v>26</x:v>
      </x:c>
      <x:c r="J233" s="28" t="n">
        <x:v>1172.6740296685603</x:v>
      </x:c>
      <x:c r="K233" s="26"/>
      <x:c r="L233" s="26" t="str">
        <x:v>insufficient_span_or_epochs</x:v>
      </x:c>
      <x:c r="M233" s="26" t="str">
        <x:v>Absent from named inventory</x:v>
      </x:c>
      <x:c r="N233" s="26" t="str">
        <x:v>Absent from named inventory</x:v>
      </x:c>
      <x:c r="O233" s="26" t="str">
        <x:v>Absent from named inventory</x:v>
      </x:c>
      <x:c r="P233" s="26"/>
      <x:c r="Q233" s="26" t="str">
        <x:v>../Project Recherche Data/tpa-batch01-20260908/selection.json</x:v>
      </x:c>
      <x:c r="R233" s="26" t="str">
        <x:v>047722e4dca24e16c44c810f43990492b2f988012ca2b4bab47826ff4c95f1db</x:v>
      </x:c>
      <x:c r="S233" s="26" t="str">
        <x:v>85ceb0d04c4a7cee7b344715d7daed4342986e4fdd2f5fac236a03b8209cf9bb</x:v>
      </x:c>
      <x:c r="T233" s="26" t="str">
        <x:v>ab499f79679c8cf8733720dc315a73d31046fb5288e9f49ad7e7d927e8f00299</x:v>
      </x:c>
    </x:row>
    <x:row r="234" ht="60" customHeight="1">
      <x:c r="A234" s="26" t="str">
        <x:v>J1220-6318</x:v>
      </x:c>
      <x:c r="B234" s="26" t="str"/>
      <x:c r="C234" s="26" t="str">
        <x:v>NO_TRIGGER</x:v>
      </x:c>
      <x:c r="D234" s="26" t="str">
        <x:v>tpa-batch06-20260908-J1220-6318-run01</x:v>
      </x:c>
      <x:c r="E234" s="26" t="str">
        <x:v>No qualifying signal in eligible 30–400-day cells</x:v>
      </x:c>
      <x:c r="F234" s="26" t="str">
        <x:v>Retain result; consider independent data or a separately defined new scope</x:v>
      </x:c>
      <x:c r="G234" s="26" t="str">
        <x:v>SEARCHED</x:v>
      </x:c>
      <x:c r="H234" s="27" t="n">
        <x:v>426</x:v>
      </x:c>
      <x:c r="I234" s="27" t="n">
        <x:v>54</x:v>
      </x:c>
      <x:c r="J234" s="28" t="n">
        <x:v>1367.2629836127162</x:v>
      </x:c>
      <x:c r="K234" s="26" t="str">
        <x:v>tpa-batch06-20260908</x:v>
      </x:c>
      <x:c r="L234" s="26"/>
      <x:c r="M234" s="26" t="str">
        <x:v>Absent from named inventory</x:v>
      </x:c>
      <x:c r="N234" s="26" t="str">
        <x:v>Absent from named inventory</x:v>
      </x:c>
      <x:c r="O234" s="26" t="str">
        <x:v>Absent from named inventory</x:v>
      </x:c>
      <x:c r="P234" s="26"/>
      <x:c r="Q234" s="26" t="str">
        <x:v>../Project Recherche Data/tpa-batch06-20260908/selection.json</x:v>
      </x:c>
      <x:c r="R234" s="26" t="str">
        <x:v>aa7dc82ae2f0aa7f4ad390810d65a59ea2811f4802deb69c9130205b6466f356</x:v>
      </x:c>
      <x:c r="S234" s="26" t="str">
        <x:v>ed5d41ad89e6fe30e567619699ddbbedadb467cac539c981df182ed0762d0222</x:v>
      </x:c>
      <x:c r="T234" s="26" t="str">
        <x:v>7c8d78b222676817bea0b927ebf37e5b5a905709b107f24c2fe92f093f28ee6b</x:v>
      </x:c>
    </x:row>
    <x:row r="235" ht="60" customHeight="1">
      <x:c r="A235" s="26" t="str">
        <x:v>J1224-6407</x:v>
      </x:c>
      <x:c r="B235" s="26" t="str">
        <x:v>B1221-63</x:v>
      </x:c>
      <x:c r="C235" s="26" t="str">
        <x:v>NO_TRIGGER</x:v>
      </x:c>
      <x:c r="D235" s="26" t="str">
        <x:v>utmost-preparation01-20260909-J1224-6407-run01</x:v>
      </x:c>
      <x:c r="E235" s="26" t="str">
        <x:v>No qualifying signal in eligible 30–400-day cells</x:v>
      </x:c>
      <x:c r="F235" s="26" t="str">
        <x:v>Retain result; consider independent data or a separately defined new scope</x:v>
      </x:c>
      <x:c r="G235" s="26" t="str">
        <x:v>UTMOST SEARCHED; TPA EXCLUSION RETAINED</x:v>
      </x:c>
      <x:c r="H235" s="27" t="n">
        <x:v>88</x:v>
      </x:c>
      <x:c r="I235" s="27" t="n">
        <x:v>11</x:v>
      </x:c>
      <x:c r="J235" s="28" t="n">
        <x:v>480.71059812017484</x:v>
      </x:c>
      <x:c r="K235" s="26"/>
      <x:c r="L235" s="26" t="str">
        <x:v>insufficient_span_or_epochs</x:v>
      </x:c>
      <x:c r="M235" s="26" t="str">
        <x:v>Absent from named inventory</x:v>
      </x:c>
      <x:c r="N235" s="26" t="str">
        <x:v>Absent from named inventory</x:v>
      </x:c>
      <x:c r="O235" s="26" t="str">
        <x:v>Absent from named inventory</x:v>
      </x:c>
      <x:c r="P235" s="26"/>
      <x:c r="Q235" s="26" t="str">
        <x:v>../Project Recherche Data/tpa-batch01-20260908/selection.json</x:v>
      </x:c>
      <x:c r="R235" s="26" t="str">
        <x:v>047722e4dca24e16c44c810f43990492b2f988012ca2b4bab47826ff4c95f1db</x:v>
      </x:c>
      <x:c r="S235" s="26" t="str">
        <x:v>e9267a8182ed9803ba9e6401a2f922a2c748f483815fc3b8b00f16d0ba45f0dc</x:v>
      </x:c>
      <x:c r="T235" s="26" t="str">
        <x:v>20843786f5c827f07155c072cf809bcf0624200f2ad8eac7eef558643ab52d8a</x:v>
      </x:c>
    </x:row>
    <x:row r="236" ht="60" customHeight="1">
      <x:c r="A236" s="26" t="str">
        <x:v>J1225-6408</x:v>
      </x:c>
      <x:c r="B236" s="26" t="str">
        <x:v>B1222-63</x:v>
      </x:c>
      <x:c r="C236" s="26" t="str">
        <x:v>NOT_SEARCHED</x:v>
      </x:c>
      <x:c r="D236" s="26"/>
      <x:c r="E236" s="26" t="str">
        <x:v>No observed search</x:v>
      </x:c>
      <x:c r="F236" s="26" t="str">
        <x:v>Retain exclusion for current scope</x:v>
      </x:c>
      <x:c r="G236" s="26" t="str">
        <x:v>TPA EXCLUDED</x:v>
      </x:c>
      <x:c r="H236" s="27" t="n">
        <x:v>96</x:v>
      </x:c>
      <x:c r="I236" s="27" t="n">
        <x:v>12</x:v>
      </x:c>
      <x:c r="J236" s="28" t="n">
        <x:v>426.60203569513396</x:v>
      </x:c>
      <x:c r="K236" s="26"/>
      <x:c r="L236" s="26" t="str">
        <x:v>insufficient_span_or_epochs</x:v>
      </x:c>
      <x:c r="M236" s="26" t="str">
        <x:v>Absent from named inventory</x:v>
      </x:c>
      <x:c r="N236" s="26" t="str">
        <x:v>Absent from named inventory</x:v>
      </x:c>
      <x:c r="O236" s="26" t="str">
        <x:v>Absent from named inventory</x:v>
      </x:c>
      <x:c r="P236" s="26"/>
      <x:c r="Q236" s="26" t="str">
        <x:v>../Project Recherche Data/tpa-batch01-20260908/selection.json</x:v>
      </x:c>
      <x:c r="R236" s="26" t="str">
        <x:v>047722e4dca24e16c44c810f43990492b2f988012ca2b4bab47826ff4c95f1db</x:v>
      </x:c>
      <x:c r="S236" s="26" t="str">
        <x:v>388f782013154f4d0399dcad034ee874075c1036ee4ed83b6d86e09a92ca584a</x:v>
      </x:c>
      <x:c r="T236" s="26" t="str">
        <x:v>111d35088459924ba38d56f4a05524207a4be1a07403f825d318b1a5e703277f</x:v>
      </x:c>
    </x:row>
    <x:row r="237" ht="60" customHeight="1">
      <x:c r="A237" s="26" t="str">
        <x:v>J1231-4609</x:v>
      </x:c>
      <x:c r="B237" s="26" t="str"/>
      <x:c r="C237" s="26" t="str">
        <x:v>NO_TRIGGER</x:v>
      </x:c>
      <x:c r="D237" s="26" t="str">
        <x:v>tpa-batch06-20260908-J1231-4609-run01</x:v>
      </x:c>
      <x:c r="E237" s="26" t="str">
        <x:v>No qualifying signal in eligible 30–400-day cells</x:v>
      </x:c>
      <x:c r="F237" s="26" t="str">
        <x:v>Retain result; consider independent data or a separately defined new scope</x:v>
      </x:c>
      <x:c r="G237" s="26" t="str">
        <x:v>SEARCHED</x:v>
      </x:c>
      <x:c r="H237" s="27" t="n">
        <x:v>372</x:v>
      </x:c>
      <x:c r="I237" s="27" t="n">
        <x:v>51</x:v>
      </x:c>
      <x:c r="J237" s="28" t="n">
        <x:v>1290.7397817643941</x:v>
      </x:c>
      <x:c r="K237" s="26" t="str">
        <x:v>tpa-batch06-20260908</x:v>
      </x:c>
      <x:c r="L237" s="26"/>
      <x:c r="M237" s="26" t="str">
        <x:v>Absent from named inventory</x:v>
      </x:c>
      <x:c r="N237" s="26" t="str">
        <x:v>Absent from named inventory</x:v>
      </x:c>
      <x:c r="O237" s="26" t="str">
        <x:v>Absent from named inventory</x:v>
      </x:c>
      <x:c r="P237" s="26"/>
      <x:c r="Q237" s="26" t="str">
        <x:v>../Project Recherche Data/tpa-batch06-20260908/selection.json</x:v>
      </x:c>
      <x:c r="R237" s="26" t="str">
        <x:v>aa7dc82ae2f0aa7f4ad390810d65a59ea2811f4802deb69c9130205b6466f356</x:v>
      </x:c>
      <x:c r="S237" s="26" t="str">
        <x:v>247eaf8afc605547b619e44abe951b9f956c4b28f21dd13f504a9a3b8ea301f2</x:v>
      </x:c>
      <x:c r="T237" s="26" t="str">
        <x:v>fc4bdea33cb2aa84c86e38833d3c3a4bbac6439e71fbc8b4d8c361871745a340</x:v>
      </x:c>
    </x:row>
    <x:row r="238" ht="60" customHeight="1">
      <x:c r="A238" s="26" t="str">
        <x:v>J1236-5033</x:v>
      </x:c>
      <x:c r="B238" s="26" t="str"/>
      <x:c r="C238" s="26" t="str">
        <x:v>NOT_SEARCHED</x:v>
      </x:c>
      <x:c r="D238" s="26"/>
      <x:c r="E238" s="26" t="str">
        <x:v>No observed search</x:v>
      </x:c>
      <x:c r="F238" s="26" t="str">
        <x:v>Retain exclusion for current scope</x:v>
      </x:c>
      <x:c r="G238" s="26" t="str">
        <x:v>TPA EXCLUDED</x:v>
      </x:c>
      <x:c r="H238" s="27" t="n">
        <x:v>224</x:v>
      </x:c>
      <x:c r="I238" s="27" t="n">
        <x:v>28</x:v>
      </x:c>
      <x:c r="J238" s="28" t="n">
        <x:v>1202.7352211939215</x:v>
      </x:c>
      <x:c r="K238" s="26"/>
      <x:c r="L238" s="26" t="str">
        <x:v>insufficient_span_or_epochs</x:v>
      </x:c>
      <x:c r="M238" s="26" t="str">
        <x:v>Absent from named inventory</x:v>
      </x:c>
      <x:c r="N238" s="26" t="str">
        <x:v>Absent from named inventory</x:v>
      </x:c>
      <x:c r="O238" s="26" t="str">
        <x:v>Absent from named inventory</x:v>
      </x:c>
      <x:c r="P238" s="26"/>
      <x:c r="Q238" s="26" t="str">
        <x:v>../Project Recherche Data/tpa-batch01-20260908/selection.json</x:v>
      </x:c>
      <x:c r="R238" s="26" t="str">
        <x:v>047722e4dca24e16c44c810f43990492b2f988012ca2b4bab47826ff4c95f1db</x:v>
      </x:c>
      <x:c r="S238" s="26" t="str">
        <x:v>db268f2a440f7b950b49f152e20c64d05b75ee760da560adbc8926aa3d0f9c6d</x:v>
      </x:c>
      <x:c r="T238" s="26" t="str">
        <x:v>adb3420fa91cd76967d39ee57a811e481650da4f6116c64c62a0511c7c8462bc</x:v>
      </x:c>
    </x:row>
    <x:row r="239" ht="60" customHeight="1">
      <x:c r="A239" s="26" t="str">
        <x:v>J1239-6832</x:v>
      </x:c>
      <x:c r="B239" s="26" t="str">
        <x:v>B1236-68</x:v>
      </x:c>
      <x:c r="C239" s="26" t="str">
        <x:v>NO_TRIGGER</x:v>
      </x:c>
      <x:c r="D239" s="26" t="str">
        <x:v>tpa-batch05-20260908-J1239-6832-run01</x:v>
      </x:c>
      <x:c r="E239" s="26" t="str">
        <x:v>No qualifying signal in eligible 30–400-day cells</x:v>
      </x:c>
      <x:c r="F239" s="26" t="str">
        <x:v>Retain result; consider independent data or a separately defined new scope</x:v>
      </x:c>
      <x:c r="G239" s="26" t="str">
        <x:v>SEARCHED</x:v>
      </x:c>
      <x:c r="H239" s="27" t="n">
        <x:v>416</x:v>
      </x:c>
      <x:c r="I239" s="27" t="n">
        <x:v>52</x:v>
      </x:c>
      <x:c r="J239" s="28" t="n">
        <x:v>1290.5077986031247</x:v>
      </x:c>
      <x:c r="K239" s="26" t="str">
        <x:v>tpa-batch05-20260908</x:v>
      </x:c>
      <x:c r="L239" s="26"/>
      <x:c r="M239" s="26" t="str">
        <x:v>Absent from named inventory</x:v>
      </x:c>
      <x:c r="N239" s="26" t="str">
        <x:v>Absent from named inventory</x:v>
      </x:c>
      <x:c r="O239" s="26" t="str">
        <x:v>Absent from named inventory</x:v>
      </x:c>
      <x:c r="P239" s="26"/>
      <x:c r="Q239" s="26" t="str">
        <x:v>../Project Recherche Data/tpa-batch05-20260908/selection.json</x:v>
      </x:c>
      <x:c r="R239" s="26" t="str">
        <x:v>1212bfb743fa2d3f16f95056ab4d3c2b52ec5dd997358fe385b8fd00313b3907</x:v>
      </x:c>
      <x:c r="S239" s="26" t="str">
        <x:v>0acf117ea7f06c89a0a1c7985d6391d1d18749e60896ed7bae6ec9d776ce8e5f</x:v>
      </x:c>
      <x:c r="T239" s="26" t="str">
        <x:v>3421ab70d5578e2d3052a31e0e60e859a986fa413a5dac42a454cc4ffebe0a8a</x:v>
      </x:c>
    </x:row>
    <x:row r="240" ht="60" customHeight="1">
      <x:c r="A240" s="26" t="str">
        <x:v>J1240-4124</x:v>
      </x:c>
      <x:c r="B240" s="26" t="str">
        <x:v>B1237-41</x:v>
      </x:c>
      <x:c r="C240" s="26" t="str">
        <x:v>NOT_SEARCHED</x:v>
      </x:c>
      <x:c r="D240" s="26"/>
      <x:c r="E240" s="26" t="str">
        <x:v>No observed search</x:v>
      </x:c>
      <x:c r="F240" s="26" t="str">
        <x:v>Retain exclusion for current scope</x:v>
      </x:c>
      <x:c r="G240" s="26" t="str">
        <x:v>TPA EXCLUDED</x:v>
      </x:c>
      <x:c r="H240" s="27" t="n">
        <x:v>408</x:v>
      </x:c>
      <x:c r="I240" s="27" t="n">
        <x:v>51</x:v>
      </x:c>
      <x:c r="J240" s="28" t="n">
        <x:v>1194.9604409700187</x:v>
      </x:c>
      <x:c r="K240" s="26"/>
      <x:c r="L240" s="26" t="str">
        <x:v>insufficient_span_or_epochs</x:v>
      </x:c>
      <x:c r="M240" s="26" t="str">
        <x:v>Absent from named inventory</x:v>
      </x:c>
      <x:c r="N240" s="26" t="str">
        <x:v>Absent from named inventory</x:v>
      </x:c>
      <x:c r="O240" s="26" t="str">
        <x:v>Absent from named inventory</x:v>
      </x:c>
      <x:c r="P240" s="26"/>
      <x:c r="Q240" s="26" t="str">
        <x:v>../Project Recherche Data/tpa-batch01-20260908/selection.json</x:v>
      </x:c>
      <x:c r="R240" s="26" t="str">
        <x:v>047722e4dca24e16c44c810f43990492b2f988012ca2b4bab47826ff4c95f1db</x:v>
      </x:c>
      <x:c r="S240" s="26" t="str">
        <x:v>78bb6e8a0b8d5b58c29339217e8df858e4be8afdc4c4dfc69db066d37b68e4b5</x:v>
      </x:c>
      <x:c r="T240" s="26" t="str">
        <x:v>8453981117490a74598dc18b2d8a8e0d872f3219fb481e6223b255d4014f0ad0</x:v>
      </x:c>
    </x:row>
    <x:row r="241" ht="60" customHeight="1">
      <x:c r="A241" s="26" t="str">
        <x:v>J1243-6423</x:v>
      </x:c>
      <x:c r="B241" s="26" t="str">
        <x:v>B1240-64</x:v>
      </x:c>
      <x:c r="C241" s="26" t="str">
        <x:v>NO_TRIGGER</x:v>
      </x:c>
      <x:c r="D241" s="26" t="str">
        <x:v>utmost-batch02-20260909-J1243-6423-run01</x:v>
      </x:c>
      <x:c r="E241" s="26" t="str">
        <x:v>No qualifying signal in eligible 30–400-day cells</x:v>
      </x:c>
      <x:c r="F241" s="26" t="str">
        <x:v>Retain result; consider independent data or a separately defined new scope</x:v>
      </x:c>
      <x:c r="G241" s="26" t="str">
        <x:v>UTMOST SEARCHED</x:v>
      </x:c>
      <x:c r="H241" s="27" t="n">
        <x:v>88</x:v>
      </x:c>
      <x:c r="I241" s="27" t="n">
        <x:v>11</x:v>
      </x:c>
      <x:c r="J241" s="28" t="n">
        <x:v>480.7136089390988</x:v>
      </x:c>
      <x:c r="K241" s="26"/>
      <x:c r="L241" s="26" t="str">
        <x:v>insufficient_span_or_epochs</x:v>
      </x:c>
      <x:c r="M241" s="26" t="str">
        <x:v>Absent from named inventory</x:v>
      </x:c>
      <x:c r="N241" s="26" t="str">
        <x:v>Absent from named inventory</x:v>
      </x:c>
      <x:c r="O241" s="26" t="str">
        <x:v>Absent from named inventory</x:v>
      </x:c>
      <x:c r="P241" s="26"/>
      <x:c r="Q241" s="26" t="str">
        <x:v>../Project Recherche Data/tpa-batch01-20260908/selection.json</x:v>
      </x:c>
      <x:c r="R241" s="26" t="str">
        <x:v>047722e4dca24e16c44c810f43990492b2f988012ca2b4bab47826ff4c95f1db</x:v>
      </x:c>
      <x:c r="S241" s="26" t="str">
        <x:v>cb35280ca2d72b3a9068a543c101c776c0ab06abcec45c37bd9da50a1bfea939</x:v>
      </x:c>
      <x:c r="T241" s="26" t="str">
        <x:v>af594a9d81ee59c5e91d1dd992be05fa44cdfc69555bccf0c1083d9f6e5a2191</x:v>
      </x:c>
    </x:row>
    <x:row r="242" ht="60" customHeight="1">
      <x:c r="A242" s="26" t="str">
        <x:v>J1252-6314</x:v>
      </x:c>
      <x:c r="B242" s="26" t="str"/>
      <x:c r="C242" s="26" t="str">
        <x:v>NO_TRIGGER</x:v>
      </x:c>
      <x:c r="D242" s="26" t="str">
        <x:v>tpa-batch06-20260908-J1252-6314-run01</x:v>
      </x:c>
      <x:c r="E242" s="26" t="str">
        <x:v>No qualifying signal in eligible 30–400-day cells</x:v>
      </x:c>
      <x:c r="F242" s="26" t="str">
        <x:v>Retain result; consider independent data or a separately defined new scope</x:v>
      </x:c>
      <x:c r="G242" s="26" t="str">
        <x:v>SEARCHED</x:v>
      </x:c>
      <x:c r="H242" s="27" t="n">
        <x:v>448</x:v>
      </x:c>
      <x:c r="I242" s="27" t="n">
        <x:v>56</x:v>
      </x:c>
      <x:c r="J242" s="28" t="n">
        <x:v>1367.2705176840027</x:v>
      </x:c>
      <x:c r="K242" s="26" t="str">
        <x:v>tpa-batch06-20260908</x:v>
      </x:c>
      <x:c r="L242" s="26"/>
      <x:c r="M242" s="26" t="str">
        <x:v>Absent from named inventory</x:v>
      </x:c>
      <x:c r="N242" s="26" t="str">
        <x:v>Absent from named inventory</x:v>
      </x:c>
      <x:c r="O242" s="26" t="str">
        <x:v>Absent from named inventory</x:v>
      </x:c>
      <x:c r="P242" s="26"/>
      <x:c r="Q242" s="26" t="str">
        <x:v>../Project Recherche Data/tpa-batch06-20260908/selection.json</x:v>
      </x:c>
      <x:c r="R242" s="26" t="str">
        <x:v>aa7dc82ae2f0aa7f4ad390810d65a59ea2811f4802deb69c9130205b6466f356</x:v>
      </x:c>
      <x:c r="S242" s="26" t="str">
        <x:v>83c656fc5cf20d469a149dd18be2ce147f5b2bf3b52b43d7d11416c9ddb7d0f9</x:v>
      </x:c>
      <x:c r="T242" s="26" t="str">
        <x:v>201347963d2383f5dc429e5c0c9dd1febd2cd2e0c769d96b6aa9b7899569dd2d</x:v>
      </x:c>
    </x:row>
    <x:row r="243" ht="60" customHeight="1">
      <x:c r="A243" s="26" t="str">
        <x:v>J1253-5820</x:v>
      </x:c>
      <x:c r="B243" s="26" t="str"/>
      <x:c r="C243" s="26" t="str">
        <x:v>NO_TRIGGER</x:v>
      </x:c>
      <x:c r="D243" s="26" t="str">
        <x:v>utmost-batch02-20260909-J1253-5820-run01</x:v>
      </x:c>
      <x:c r="E243" s="26" t="str">
        <x:v>No qualifying signal in eligible 30–400-day cells</x:v>
      </x:c>
      <x:c r="F243" s="26" t="str">
        <x:v>Retain result; consider independent data or a separately defined new scope</x:v>
      </x:c>
      <x:c r="G243" s="26" t="str">
        <x:v>UTMOST SEARCHED</x:v>
      </x:c>
      <x:c r="H243" s="27" t="n">
        <x:v>96</x:v>
      </x:c>
      <x:c r="I243" s="27" t="n">
        <x:v>12</x:v>
      </x:c>
      <x:c r="J243" s="28" t="n">
        <x:v>477.7473094565066</x:v>
      </x:c>
      <x:c r="K243" s="26"/>
      <x:c r="L243" s="26" t="str">
        <x:v>insufficient_span_or_epochs</x:v>
      </x:c>
      <x:c r="M243" s="26" t="str">
        <x:v>Absent from named inventory</x:v>
      </x:c>
      <x:c r="N243" s="26" t="str">
        <x:v>Absent from named inventory</x:v>
      </x:c>
      <x:c r="O243" s="26" t="str">
        <x:v>Absent from named inventory</x:v>
      </x:c>
      <x:c r="P243" s="26"/>
      <x:c r="Q243" s="26" t="str">
        <x:v>../Project Recherche Data/tpa-batch01-20260908/selection.json</x:v>
      </x:c>
      <x:c r="R243" s="26" t="str">
        <x:v>047722e4dca24e16c44c810f43990492b2f988012ca2b4bab47826ff4c95f1db</x:v>
      </x:c>
      <x:c r="S243" s="26" t="str">
        <x:v>e1954ea5bc00af068f1bbcfc6a63491df4363df18f90ae61a4c8fbd0a9c8b8c1</x:v>
      </x:c>
      <x:c r="T243" s="26" t="str">
        <x:v>679d258488d3a6d1927b55e1adcf85cd6182ad8dc6d9d1cd57ede9d66c096eb8</x:v>
      </x:c>
    </x:row>
    <x:row r="244" ht="60" customHeight="1">
      <x:c r="A244" s="26" t="str">
        <x:v>J1257-1027</x:v>
      </x:c>
      <x:c r="B244" s="26" t="str">
        <x:v>B1254-10</x:v>
      </x:c>
      <x:c r="C244" s="26" t="str">
        <x:v>NOT_SEARCHED</x:v>
      </x:c>
      <x:c r="D244" s="26"/>
      <x:c r="E244" s="26" t="str">
        <x:v>No observed search</x:v>
      </x:c>
      <x:c r="F244" s="26" t="str">
        <x:v>Retain exclusion for current scope</x:v>
      </x:c>
      <x:c r="G244" s="26" t="str">
        <x:v>TPA EXCLUDED</x:v>
      </x:c>
      <x:c r="H244" s="27" t="n">
        <x:v>168</x:v>
      </x:c>
      <x:c r="I244" s="27" t="n">
        <x:v>24</x:v>
      </x:c>
      <x:c r="J244" s="28" t="n">
        <x:v>1278.3565361182118</x:v>
      </x:c>
      <x:c r="K244" s="26"/>
      <x:c r="L244" s="26" t="str">
        <x:v>insufficient_span_or_epochs</x:v>
      </x:c>
      <x:c r="M244" s="26" t="str">
        <x:v>Present</x:v>
      </x:c>
      <x:c r="N244" s="26" t="str">
        <x:v>Absent from named inventory</x:v>
      </x:c>
      <x:c r="O244" s="26" t="str">
        <x:v>Absent from named inventory</x:v>
      </x:c>
      <x:c r="P244" s="26"/>
      <x:c r="Q244" s="26" t="str">
        <x:v>../Project Recherche Data/tpa-batch01-20260908/selection.json</x:v>
      </x:c>
      <x:c r="R244" s="26" t="str">
        <x:v>047722e4dca24e16c44c810f43990492b2f988012ca2b4bab47826ff4c95f1db</x:v>
      </x:c>
      <x:c r="S244" s="26" t="str">
        <x:v>59ae704681d7be52351cfb6d0df200f39994b944e6e8428d2c9f236688ec5b90</x:v>
      </x:c>
      <x:c r="T244" s="26" t="str">
        <x:v>e4a6ce2c8b80038b476fa3459ab9abc13d0b2ab842d6535a5dd1ec8e72464267</x:v>
      </x:c>
    </x:row>
    <x:row r="245" ht="60" customHeight="1">
      <x:c r="A245" s="26" t="str">
        <x:v>J1259-6741</x:v>
      </x:c>
      <x:c r="B245" s="26" t="str">
        <x:v>B1256-67</x:v>
      </x:c>
      <x:c r="C245" s="26" t="str">
        <x:v>NO_TRIGGER</x:v>
      </x:c>
      <x:c r="D245" s="26" t="str">
        <x:v>tpa-batch03-20260908-J1259-6741-run01</x:v>
      </x:c>
      <x:c r="E245" s="26" t="str">
        <x:v>No qualifying signal in eligible 30–400-day cells</x:v>
      </x:c>
      <x:c r="F245" s="26" t="str">
        <x:v>Retain result; consider independent data or a separately defined new scope</x:v>
      </x:c>
      <x:c r="G245" s="26" t="str">
        <x:v>SEARCHED</x:v>
      </x:c>
      <x:c r="H245" s="27" t="n">
        <x:v>408</x:v>
      </x:c>
      <x:c r="I245" s="27" t="n">
        <x:v>51</x:v>
      </x:c>
      <x:c r="J245" s="28" t="n">
        <x:v>1207.6312143272808</x:v>
      </x:c>
      <x:c r="K245" s="26" t="str">
        <x:v>tpa-batch03-20260908</x:v>
      </x:c>
      <x:c r="L245" s="26"/>
      <x:c r="M245" s="26" t="str">
        <x:v>Absent from named inventory</x:v>
      </x:c>
      <x:c r="N245" s="26" t="str">
        <x:v>Absent from named inventory</x:v>
      </x:c>
      <x:c r="O245" s="26" t="str">
        <x:v>Absent from named inventory</x:v>
      </x:c>
      <x:c r="P245" s="26"/>
      <x:c r="Q245" s="26" t="str">
        <x:v>../Project Recherche Data/tpa-batch03-20260908/selection.json</x:v>
      </x:c>
      <x:c r="R245" s="26" t="str">
        <x:v>1cf7dc46e02f8f80971416baec3f4bb7357340d0174269b7b50fc11887c0df28</x:v>
      </x:c>
      <x:c r="S245" s="26" t="str">
        <x:v>7485906a1cf208a4db1f66c1e18d4a04d06b225413932d92281098d3f3fa3ef9</x:v>
      </x:c>
      <x:c r="T245" s="26" t="str">
        <x:v>30fcb744a6a40e9617fd24e80f82481711b6a922bf91c7a95e5d24fafa94fee0</x:v>
      </x:c>
    </x:row>
    <x:row r="246" ht="60" customHeight="1">
      <x:c r="A246" s="26" t="str">
        <x:v>J1305-6455</x:v>
      </x:c>
      <x:c r="B246" s="26" t="str">
        <x:v>B1302-64</x:v>
      </x:c>
      <x:c r="C246" s="26" t="str">
        <x:v>NO_TRIGGER</x:v>
      </x:c>
      <x:c r="D246" s="26" t="str">
        <x:v>utmost-batch02-20260909-J1305-6455-run01</x:v>
      </x:c>
      <x:c r="E246" s="26" t="str">
        <x:v>No qualifying signal in eligible 30–400-day cells</x:v>
      </x:c>
      <x:c r="F246" s="26" t="str">
        <x:v>Retain result; consider independent data or a separately defined new scope</x:v>
      </x:c>
      <x:c r="G246" s="26" t="str">
        <x:v>UTMOST SEARCHED</x:v>
      </x:c>
      <x:c r="H246" s="27" t="n">
        <x:v>224</x:v>
      </x:c>
      <x:c r="I246" s="27" t="n">
        <x:v>28</x:v>
      </x:c>
      <x:c r="J246" s="28" t="n">
        <x:v>1278.6517473024724</x:v>
      </x:c>
      <x:c r="K246" s="26"/>
      <x:c r="L246" s="26" t="str">
        <x:v>insufficient_span_or_epochs</x:v>
      </x:c>
      <x:c r="M246" s="26" t="str">
        <x:v>Absent from named inventory</x:v>
      </x:c>
      <x:c r="N246" s="26" t="str">
        <x:v>Absent from named inventory</x:v>
      </x:c>
      <x:c r="O246" s="26" t="str">
        <x:v>Absent from named inventory</x:v>
      </x:c>
      <x:c r="P246" s="26"/>
      <x:c r="Q246" s="26" t="str">
        <x:v>../Project Recherche Data/tpa-batch01-20260908/selection.json</x:v>
      </x:c>
      <x:c r="R246" s="26" t="str">
        <x:v>047722e4dca24e16c44c810f43990492b2f988012ca2b4bab47826ff4c95f1db</x:v>
      </x:c>
      <x:c r="S246" s="26" t="str">
        <x:v>77f232d447cea797cf6b552bf50043dfd2c58695932f4980a09a51730370fd1e</x:v>
      </x:c>
      <x:c r="T246" s="26" t="str">
        <x:v>08dc88a63dbef4946d421feb46e9e7f6866aa3ccac7322f3347438f85c288a96</x:v>
      </x:c>
    </x:row>
    <x:row r="247" ht="60" customHeight="1">
      <x:c r="A247" s="26" t="str">
        <x:v>J1306-6617</x:v>
      </x:c>
      <x:c r="B247" s="26" t="str">
        <x:v>B1303-66</x:v>
      </x:c>
      <x:c r="C247" s="26" t="str">
        <x:v>NO_TRIGGER</x:v>
      </x:c>
      <x:c r="D247" s="26" t="str">
        <x:v>utmost-batch03-20260909-J1306-6617-run01</x:v>
      </x:c>
      <x:c r="E247" s="26" t="str">
        <x:v>No qualifying signal in eligible 30–400-day cells</x:v>
      </x:c>
      <x:c r="F247" s="26" t="str">
        <x:v>Retain result; consider independent data or a separately defined new scope</x:v>
      </x:c>
      <x:c r="G247" s="26" t="str">
        <x:v>UTMOST SEARCHED</x:v>
      </x:c>
      <x:c r="H247" s="27" t="n">
        <x:v>104</x:v>
      </x:c>
      <x:c r="I247" s="27" t="n">
        <x:v>13</x:v>
      </x:c>
      <x:c r="J247" s="28" t="n">
        <x:v>477.7591187929138</x:v>
      </x:c>
      <x:c r="K247" s="26"/>
      <x:c r="L247" s="26" t="str">
        <x:v>insufficient_span_or_epochs</x:v>
      </x:c>
      <x:c r="M247" s="26" t="str">
        <x:v>Absent from named inventory</x:v>
      </x:c>
      <x:c r="N247" s="26" t="str">
        <x:v>Absent from named inventory</x:v>
      </x:c>
      <x:c r="O247" s="26" t="str">
        <x:v>Absent from named inventory</x:v>
      </x:c>
      <x:c r="P247" s="26"/>
      <x:c r="Q247" s="26" t="str">
        <x:v>../Project Recherche Data/tpa-batch01-20260908/selection.json</x:v>
      </x:c>
      <x:c r="R247" s="26" t="str">
        <x:v>047722e4dca24e16c44c810f43990492b2f988012ca2b4bab47826ff4c95f1db</x:v>
      </x:c>
      <x:c r="S247" s="26" t="str">
        <x:v>b8d2d252b1b5bcd3f0de3c8afa9c9bbbeb2f0bc7ecb7b315d544d9f7cce6ff3f</x:v>
      </x:c>
      <x:c r="T247" s="26" t="str">
        <x:v>9dd42a7ef1d6c15bf2d8b7f150e30ab3082a8d5b68bf4520b1819da6eee021c2</x:v>
      </x:c>
    </x:row>
    <x:row r="248" ht="60" customHeight="1">
      <x:c r="A248" s="26" t="str">
        <x:v>J1311-1228</x:v>
      </x:c>
      <x:c r="B248" s="26" t="str">
        <x:v>B1309-12</x:v>
      </x:c>
      <x:c r="C248" s="26" t="str">
        <x:v>NOT_SEARCHED</x:v>
      </x:c>
      <x:c r="D248" s="26"/>
      <x:c r="E248" s="26" t="str">
        <x:v>No observed search</x:v>
      </x:c>
      <x:c r="F248" s="26" t="str">
        <x:v>Retain exclusion for current scope</x:v>
      </x:c>
      <x:c r="G248" s="26" t="str">
        <x:v>TPA EXCLUDED</x:v>
      </x:c>
      <x:c r="H248" s="27" t="n">
        <x:v>181</x:v>
      </x:c>
      <x:c r="I248" s="27" t="n">
        <x:v>24</x:v>
      </x:c>
      <x:c r="J248" s="28" t="n">
        <x:v>1132.629640999039</x:v>
      </x:c>
      <x:c r="K248" s="26"/>
      <x:c r="L248" s="26" t="str">
        <x:v>insufficient_span_or_epochs</x:v>
      </x:c>
      <x:c r="M248" s="26" t="str">
        <x:v>Present</x:v>
      </x:c>
      <x:c r="N248" s="26" t="str">
        <x:v>Absent from named inventory</x:v>
      </x:c>
      <x:c r="O248" s="26" t="str">
        <x:v>Absent from named inventory</x:v>
      </x:c>
      <x:c r="P248" s="26"/>
      <x:c r="Q248" s="26" t="str">
        <x:v>../Project Recherche Data/tpa-batch01-20260908/selection.json</x:v>
      </x:c>
      <x:c r="R248" s="26" t="str">
        <x:v>047722e4dca24e16c44c810f43990492b2f988012ca2b4bab47826ff4c95f1db</x:v>
      </x:c>
      <x:c r="S248" s="26" t="str">
        <x:v>eeb11909b8051025293bb1fd95131b49dfc8ba6e3b5ea538ee91b33e9a614c9f</x:v>
      </x:c>
      <x:c r="T248" s="26" t="str">
        <x:v>2fb06943cb9a20b99b86add7be667debd4767efa1b6572a459135b30dc906409</x:v>
      </x:c>
    </x:row>
    <x:row r="249" ht="60" customHeight="1">
      <x:c r="A249" s="26" t="str">
        <x:v>J1312-6400</x:v>
      </x:c>
      <x:c r="B249" s="26" t="str"/>
      <x:c r="C249" s="26" t="str">
        <x:v>NOT_SEARCHED</x:v>
      </x:c>
      <x:c r="D249" s="26"/>
      <x:c r="E249" s="26" t="str">
        <x:v>No observed search</x:v>
      </x:c>
      <x:c r="F249" s="26" t="str">
        <x:v>Retain exclusion for current scope</x:v>
      </x:c>
      <x:c r="G249" s="26" t="str">
        <x:v>TPA EXCLUDED</x:v>
      </x:c>
      <x:c r="H249" s="27" t="n">
        <x:v>208</x:v>
      </x:c>
      <x:c r="I249" s="27" t="n">
        <x:v>26</x:v>
      </x:c>
      <x:c r="J249" s="28" t="n">
        <x:v>1278.65586316985</x:v>
      </x:c>
      <x:c r="K249" s="26"/>
      <x:c r="L249" s="26" t="str">
        <x:v>insufficient_span_or_epochs</x:v>
      </x:c>
      <x:c r="M249" s="26" t="str">
        <x:v>Absent from named inventory</x:v>
      </x:c>
      <x:c r="N249" s="26" t="str">
        <x:v>Absent from named inventory</x:v>
      </x:c>
      <x:c r="O249" s="26" t="str">
        <x:v>Absent from named inventory</x:v>
      </x:c>
      <x:c r="P249" s="26"/>
      <x:c r="Q249" s="26" t="str">
        <x:v>../Project Recherche Data/tpa-batch01-20260908/selection.json</x:v>
      </x:c>
      <x:c r="R249" s="26" t="str">
        <x:v>047722e4dca24e16c44c810f43990492b2f988012ca2b4bab47826ff4c95f1db</x:v>
      </x:c>
      <x:c r="S249" s="26" t="str">
        <x:v>fb775015330a5ce4442e13b8c3b026bd74066b85ad299ca769902d317bbfb679</x:v>
      </x:c>
      <x:c r="T249" s="26" t="str">
        <x:v>573267f26f18f204c5134e8b1532e21dfc39f4b6efe8bfad19257bc9f80a6f5a</x:v>
      </x:c>
    </x:row>
    <x:row r="250" ht="60" customHeight="1">
      <x:c r="A250" s="26" t="str">
        <x:v>J1319-6056</x:v>
      </x:c>
      <x:c r="B250" s="26" t="str">
        <x:v>B1316-60</x:v>
      </x:c>
      <x:c r="C250" s="26" t="str">
        <x:v>NOT_SEARCHED</x:v>
      </x:c>
      <x:c r="D250" s="26"/>
      <x:c r="E250" s="26" t="str">
        <x:v>No observed search</x:v>
      </x:c>
      <x:c r="F250" s="26" t="str">
        <x:v>Retain exclusion for current scope</x:v>
      </x:c>
      <x:c r="G250" s="26" t="str">
        <x:v>TPA EXCLUDED</x:v>
      </x:c>
      <x:c r="H250" s="27" t="n">
        <x:v>224</x:v>
      </x:c>
      <x:c r="I250" s="27" t="n">
        <x:v>28</x:v>
      </x:c>
      <x:c r="J250" s="28" t="n">
        <x:v>1223.3272267294597</x:v>
      </x:c>
      <x:c r="K250" s="26"/>
      <x:c r="L250" s="26" t="str">
        <x:v>insufficient_span_or_epochs</x:v>
      </x:c>
      <x:c r="M250" s="26" t="str">
        <x:v>Absent from named inventory</x:v>
      </x:c>
      <x:c r="N250" s="26" t="str">
        <x:v>Absent from named inventory</x:v>
      </x:c>
      <x:c r="O250" s="26" t="str">
        <x:v>Absent from named inventory</x:v>
      </x:c>
      <x:c r="P250" s="26"/>
      <x:c r="Q250" s="26" t="str">
        <x:v>../Project Recherche Data/tpa-batch01-20260908/selection.json</x:v>
      </x:c>
      <x:c r="R250" s="26" t="str">
        <x:v>047722e4dca24e16c44c810f43990492b2f988012ca2b4bab47826ff4c95f1db</x:v>
      </x:c>
      <x:c r="S250" s="26" t="str">
        <x:v>83ab99fb41358c162b5627ec59f7db8493addc8a4a335ad6c845ff2ac5a82e90</x:v>
      </x:c>
      <x:c r="T250" s="26" t="str">
        <x:v>1c7228470bc35ce52ce32811b495895b44280ae0260558b8f769618f5140c2e0</x:v>
      </x:c>
    </x:row>
    <x:row r="251" ht="60" customHeight="1">
      <x:c r="A251" s="26" t="str">
        <x:v>J1320-3512</x:v>
      </x:c>
      <x:c r="B251" s="26" t="str"/>
      <x:c r="C251" s="26" t="str">
        <x:v>NO_TRIGGER</x:v>
      </x:c>
      <x:c r="D251" s="26" t="str">
        <x:v>tpa-batch05-20260908-J1320-3512-run01</x:v>
      </x:c>
      <x:c r="E251" s="26" t="str">
        <x:v>No qualifying signal in eligible 30–400-day cells</x:v>
      </x:c>
      <x:c r="F251" s="26" t="str">
        <x:v>Retain result; consider independent data or a separately defined new scope</x:v>
      </x:c>
      <x:c r="G251" s="26" t="str">
        <x:v>SEARCHED</x:v>
      </x:c>
      <x:c r="H251" s="27" t="n">
        <x:v>388</x:v>
      </x:c>
      <x:c r="I251" s="27" t="n">
        <x:v>50</x:v>
      </x:c>
      <x:c r="J251" s="28" t="n">
        <x:v>1284.396585095863</x:v>
      </x:c>
      <x:c r="K251" s="26" t="str">
        <x:v>tpa-batch05-20260908</x:v>
      </x:c>
      <x:c r="L251" s="26"/>
      <x:c r="M251" s="26" t="str">
        <x:v>Absent from named inventory</x:v>
      </x:c>
      <x:c r="N251" s="26" t="str">
        <x:v>Absent from named inventory</x:v>
      </x:c>
      <x:c r="O251" s="26" t="str">
        <x:v>Absent from named inventory</x:v>
      </x:c>
      <x:c r="P251" s="26"/>
      <x:c r="Q251" s="26" t="str">
        <x:v>../Project Recherche Data/tpa-batch05-20260908/selection.json</x:v>
      </x:c>
      <x:c r="R251" s="26" t="str">
        <x:v>1212bfb743fa2d3f16f95056ab4d3c2b52ec5dd997358fe385b8fd00313b3907</x:v>
      </x:c>
      <x:c r="S251" s="26" t="str">
        <x:v>2b835f6cd0e4edd3368933a2fc73d1e91755d5ad576da0ec5033b6bf61ff1fb1</x:v>
      </x:c>
      <x:c r="T251" s="26" t="str">
        <x:v>f0cc8df04935aa800482d54123aac870f7ca5a407e62f048c9808f6e5a1ba08b</x:v>
      </x:c>
    </x:row>
    <x:row r="252" ht="60" customHeight="1">
      <x:c r="A252" s="26" t="str">
        <x:v>J1320-5359</x:v>
      </x:c>
      <x:c r="B252" s="26" t="str">
        <x:v>B1317-53</x:v>
      </x:c>
      <x:c r="C252" s="26" t="str">
        <x:v>NO_TRIGGER</x:v>
      </x:c>
      <x:c r="D252" s="26" t="str">
        <x:v>utmost-batch02-20260909-J1320-5359-run01</x:v>
      </x:c>
      <x:c r="E252" s="26" t="str">
        <x:v>No qualifying signal in eligible 30–400-day cells</x:v>
      </x:c>
      <x:c r="F252" s="26" t="str">
        <x:v>Retain result; consider independent data or a separately defined new scope</x:v>
      </x:c>
      <x:c r="G252" s="26" t="str">
        <x:v>UTMOST SEARCHED</x:v>
      </x:c>
      <x:c r="H252" s="27" t="n">
        <x:v>104</x:v>
      </x:c>
      <x:c r="I252" s="27" t="n">
        <x:v>13</x:v>
      </x:c>
      <x:c r="J252" s="28" t="n">
        <x:v>477.74652429430716</x:v>
      </x:c>
      <x:c r="K252" s="26"/>
      <x:c r="L252" s="26" t="str">
        <x:v>insufficient_span_or_epochs</x:v>
      </x:c>
      <x:c r="M252" s="26" t="str">
        <x:v>Absent from named inventory</x:v>
      </x:c>
      <x:c r="N252" s="26" t="str">
        <x:v>Absent from named inventory</x:v>
      </x:c>
      <x:c r="O252" s="26" t="str">
        <x:v>Absent from named inventory</x:v>
      </x:c>
      <x:c r="P252" s="26"/>
      <x:c r="Q252" s="26" t="str">
        <x:v>../Project Recherche Data/tpa-batch01-20260908/selection.json</x:v>
      </x:c>
      <x:c r="R252" s="26" t="str">
        <x:v>047722e4dca24e16c44c810f43990492b2f988012ca2b4bab47826ff4c95f1db</x:v>
      </x:c>
      <x:c r="S252" s="26" t="str">
        <x:v>399c08e97ee11de0e4e0e131637e51e2b70e260731a6e7d7ad03b27e5141f314</x:v>
      </x:c>
      <x:c r="T252" s="26" t="str">
        <x:v>5f87ce856168419d37a363aa5ec39751738e92fc2645fca04c8ada47e3ed413a</x:v>
      </x:c>
    </x:row>
    <x:row r="253" ht="60" customHeight="1">
      <x:c r="A253" s="26" t="str">
        <x:v>J1326-5859</x:v>
      </x:c>
      <x:c r="B253" s="26" t="str">
        <x:v>B1323-58</x:v>
      </x:c>
      <x:c r="C253" s="26" t="str">
        <x:v>NO_TRIGGER</x:v>
      </x:c>
      <x:c r="D253" s="26" t="str">
        <x:v>utmost-batch02-20260909-J1326-5859-run01</x:v>
      </x:c>
      <x:c r="E253" s="26" t="str">
        <x:v>No qualifying signal in eligible 30–400-day cells</x:v>
      </x:c>
      <x:c r="F253" s="26" t="str">
        <x:v>Retain result; consider independent data or a separately defined new scope</x:v>
      </x:c>
      <x:c r="G253" s="26" t="str">
        <x:v>UTMOST SEARCHED</x:v>
      </x:c>
      <x:c r="H253" s="27" t="n">
        <x:v>96</x:v>
      </x:c>
      <x:c r="I253" s="27" t="n">
        <x:v>12</x:v>
      </x:c>
      <x:c r="J253" s="28" t="n">
        <x:v>477.7563427410423</x:v>
      </x:c>
      <x:c r="K253" s="26"/>
      <x:c r="L253" s="26" t="str">
        <x:v>insufficient_span_or_epochs</x:v>
      </x:c>
      <x:c r="M253" s="26" t="str">
        <x:v>Absent from named inventory</x:v>
      </x:c>
      <x:c r="N253" s="26" t="str">
        <x:v>Absent from named inventory</x:v>
      </x:c>
      <x:c r="O253" s="26" t="str">
        <x:v>Absent from named inventory</x:v>
      </x:c>
      <x:c r="P253" s="26"/>
      <x:c r="Q253" s="26" t="str">
        <x:v>../Project Recherche Data/tpa-batch01-20260908/selection.json</x:v>
      </x:c>
      <x:c r="R253" s="26" t="str">
        <x:v>047722e4dca24e16c44c810f43990492b2f988012ca2b4bab47826ff4c95f1db</x:v>
      </x:c>
      <x:c r="S253" s="26" t="str">
        <x:v>fdc9579bedaa0d2034abff571e61c5886b4466820deb2f5b1c7510a0752363f3</x:v>
      </x:c>
      <x:c r="T253" s="26" t="str">
        <x:v>b03d3dc9e2d2f539e244dd14a5e82bcb44ede846224b7468be94a41db801cf55</x:v>
      </x:c>
    </x:row>
    <x:row r="254" ht="60" customHeight="1">
      <x:c r="A254" s="26" t="str">
        <x:v>J1326-6408</x:v>
      </x:c>
      <x:c r="B254" s="26" t="str">
        <x:v>B1323-63</x:v>
      </x:c>
      <x:c r="C254" s="26" t="str">
        <x:v>NO_TRIGGER</x:v>
      </x:c>
      <x:c r="D254" s="26" t="str">
        <x:v>tpa-batch03-20260908-J1326-6408-run01</x:v>
      </x:c>
      <x:c r="E254" s="26" t="str">
        <x:v>No qualifying signal in eligible 30–400-day cells</x:v>
      </x:c>
      <x:c r="F254" s="26" t="str">
        <x:v>Retain result; consider independent data or a separately defined new scope</x:v>
      </x:c>
      <x:c r="G254" s="26" t="str">
        <x:v>SEARCHED</x:v>
      </x:c>
      <x:c r="H254" s="27" t="n">
        <x:v>416</x:v>
      </x:c>
      <x:c r="I254" s="27" t="n">
        <x:v>52</x:v>
      </x:c>
      <x:c r="J254" s="28" t="n">
        <x:v>1258.8152585970674</x:v>
      </x:c>
      <x:c r="K254" s="26" t="str">
        <x:v>tpa-batch03-20260908</x:v>
      </x:c>
      <x:c r="L254" s="26"/>
      <x:c r="M254" s="26" t="str">
        <x:v>Absent from named inventory</x:v>
      </x:c>
      <x:c r="N254" s="26" t="str">
        <x:v>Absent from named inventory</x:v>
      </x:c>
      <x:c r="O254" s="26" t="str">
        <x:v>Absent from named inventory</x:v>
      </x:c>
      <x:c r="P254" s="26"/>
      <x:c r="Q254" s="26" t="str">
        <x:v>../Project Recherche Data/tpa-batch03-20260908/selection.json</x:v>
      </x:c>
      <x:c r="R254" s="26" t="str">
        <x:v>1cf7dc46e02f8f80971416baec3f4bb7357340d0174269b7b50fc11887c0df28</x:v>
      </x:c>
      <x:c r="S254" s="26" t="str">
        <x:v>e4b32b1ec33b2220f78adf58f2299277078106a629311214b7ca987c9298f5fb</x:v>
      </x:c>
      <x:c r="T254" s="26" t="str">
        <x:v>63ab0513b814e05ec7aa7150c449f67d7f244eb13067a4a5ddbee7a377778770</x:v>
      </x:c>
    </x:row>
    <x:row r="255" ht="60" customHeight="1">
      <x:c r="A255" s="26" t="str">
        <x:v>J1326-6700</x:v>
      </x:c>
      <x:c r="B255" s="26" t="str">
        <x:v>B1322-66</x:v>
      </x:c>
      <x:c r="C255" s="26" t="str">
        <x:v>NO_TRIGGER</x:v>
      </x:c>
      <x:c r="D255" s="26" t="str">
        <x:v>utmost-batch04-20260909-J1326-6700-run01</x:v>
      </x:c>
      <x:c r="E255" s="26" t="str">
        <x:v>No qualifying signal in eligible 30–400-day cells</x:v>
      </x:c>
      <x:c r="F255" s="26" t="str">
        <x:v>Retain result; consider independent data or a separately defined new scope</x:v>
      </x:c>
      <x:c r="G255" s="26" t="str">
        <x:v>UTMOST SEARCHED</x:v>
      </x:c>
      <x:c r="H255" s="27" t="n">
        <x:v>416</x:v>
      </x:c>
      <x:c r="I255" s="27" t="n">
        <x:v>52</x:v>
      </x:c>
      <x:c r="J255" s="28" t="n">
        <x:v>1258.8136251143587</x:v>
      </x:c>
      <x:c r="K255" s="26" t="str">
        <x:v>tpa-batch06-20260908</x:v>
      </x:c>
      <x:c r="L255" s="26"/>
      <x:c r="M255" s="26" t="str">
        <x:v>Absent from named inventory</x:v>
      </x:c>
      <x:c r="N255" s="26" t="str">
        <x:v>Absent from named inventory</x:v>
      </x:c>
      <x:c r="O255" s="26" t="str">
        <x:v>Absent from named inventory</x:v>
      </x:c>
      <x:c r="P255" s="26"/>
      <x:c r="Q255" s="26" t="str">
        <x:v>../Project Recherche Data/tpa-batch06-20260908/selection.json</x:v>
      </x:c>
      <x:c r="R255" s="26" t="str">
        <x:v>aa7dc82ae2f0aa7f4ad390810d65a59ea2811f4802deb69c9130205b6466f356</x:v>
      </x:c>
      <x:c r="S255" s="26" t="str">
        <x:v>0017775dcf15b77e3e482eb084c80a5a5c3907df1574d32ab079db51c8495bf3</x:v>
      </x:c>
      <x:c r="T255" s="26" t="str">
        <x:v>89775b758d5e6868b1136643c2798c5129bd7ce51ffd8c9016640d752cdd6815</x:v>
      </x:c>
    </x:row>
    <x:row r="256" ht="26.399999618530273" hidden="0" customHeight="1">
      <x:c r="A256" s="26" t="str">
        <x:v>J1327-6222</x:v>
      </x:c>
      <x:c r="B256" s="26" t="str">
        <x:v>B1323-62</x:v>
      </x:c>
      <x:c r="C256" s="26" t="str">
        <x:v>PERIODIC_SIGNAL_CANDIDATE</x:v>
      </x:c>
      <x:c r="D256" s="26" t="str">
        <x:v>utmost-batch02-20260909-J1327-6222-run01</x:v>
      </x:c>
      <x:c r="E256" s="26" t="str">
        <x:v>Threshold-crossing periodic candidate; not a confirmed planet</x:v>
      </x:c>
      <x:c r="F256" s="26" t="str">
        <x:v>INCONCLUSIVE_NOISE_SENSITIVE: preserve original trigger; no planet claim. Revisit only with better independent data or new directed scope.</x:v>
      </x:c>
      <x:c r="G256" s="26" t="str">
        <x:v>UTMOST SEARCHED</x:v>
      </x:c>
      <x:c r="H256" s="27" t="n">
        <x:v>96</x:v>
      </x:c>
      <x:c r="I256" s="27" t="n">
        <x:v>12</x:v>
      </x:c>
      <x:c r="J256" s="28" t="n">
        <x:v>477.72883606475807</x:v>
      </x:c>
      <x:c r="K256" s="26"/>
      <x:c r="L256" s="26" t="str">
        <x:v>insufficient_span_or_epochs</x:v>
      </x:c>
      <x:c r="M256" s="26" t="str">
        <x:v>Absent from named inventory</x:v>
      </x:c>
      <x:c r="N256" s="26" t="str">
        <x:v>Absent from named inventory</x:v>
      </x:c>
      <x:c r="O256" s="26" t="str">
        <x:v>Absent from named inventory</x:v>
      </x:c>
      <x:c r="P256" s="26"/>
      <x:c r="Q256" s="26" t="str">
        <x:v>../Project Recherche Data/tpa-batch01-20260908/selection.json</x:v>
      </x:c>
      <x:c r="R256" s="26" t="str">
        <x:v>047722e4dca24e16c44c810f43990492b2f988012ca2b4bab47826ff4c95f1db</x:v>
      </x:c>
      <x:c r="S256" s="26" t="str">
        <x:v>9a5376b071b92673997840a5596e3e573df087e7d2ab624e55587ab498ed087c</x:v>
      </x:c>
      <x:c r="T256" s="26" t="str">
        <x:v>71e2f2764f22a4fc042c2a67fd36f3791ca75591c7da92b34a7b0cce2b36dabc</x:v>
      </x:c>
    </x:row>
    <x:row r="257" ht="60" customHeight="1">
      <x:c r="A257" s="26" t="str">
        <x:v>J1327-6301</x:v>
      </x:c>
      <x:c r="B257" s="26" t="str">
        <x:v>B1323-627</x:v>
      </x:c>
      <x:c r="C257" s="26" t="str">
        <x:v>NO_TRIGGER</x:v>
      </x:c>
      <x:c r="D257" s="26" t="str">
        <x:v>utmost-batch02-20260909-J1327-6301-run01</x:v>
      </x:c>
      <x:c r="E257" s="26" t="str">
        <x:v>No qualifying signal in eligible 30–400-day cells</x:v>
      </x:c>
      <x:c r="F257" s="26" t="str">
        <x:v>Retain result; consider independent data or a separately defined new scope</x:v>
      </x:c>
      <x:c r="G257" s="26" t="str">
        <x:v>UTMOST SEARCHED</x:v>
      </x:c>
      <x:c r="H257" s="27" t="n">
        <x:v>88</x:v>
      </x:c>
      <x:c r="I257" s="27" t="n">
        <x:v>11</x:v>
      </x:c>
      <x:c r="J257" s="28" t="n">
        <x:v>477.7382400992792</x:v>
      </x:c>
      <x:c r="K257" s="26"/>
      <x:c r="L257" s="26" t="str">
        <x:v>insufficient_span_or_epochs</x:v>
      </x:c>
      <x:c r="M257" s="26" t="str">
        <x:v>Absent from named inventory</x:v>
      </x:c>
      <x:c r="N257" s="26" t="str">
        <x:v>Absent from named inventory</x:v>
      </x:c>
      <x:c r="O257" s="26" t="str">
        <x:v>Absent from named inventory</x:v>
      </x:c>
      <x:c r="P257" s="26"/>
      <x:c r="Q257" s="26" t="str">
        <x:v>../Project Recherche Data/tpa-batch01-20260908/selection.json</x:v>
      </x:c>
      <x:c r="R257" s="26" t="str">
        <x:v>047722e4dca24e16c44c810f43990492b2f988012ca2b4bab47826ff4c95f1db</x:v>
      </x:c>
      <x:c r="S257" s="26" t="str">
        <x:v>1ffdcab32b2b9477a7e5ef148aa714444d6d0b91c555933042030b3f463e19de</x:v>
      </x:c>
      <x:c r="T257" s="26" t="str">
        <x:v>0355493db820d8c24b30962ed53b87edd94d3ec9cada7b33720cff601f55f912</x:v>
      </x:c>
    </x:row>
    <x:row r="258" ht="60" customHeight="1">
      <x:c r="A258" s="26" t="str">
        <x:v>J1328-4357</x:v>
      </x:c>
      <x:c r="B258" s="26" t="str">
        <x:v>B1325-43</x:v>
      </x:c>
      <x:c r="C258" s="26" t="str">
        <x:v>NOT_SEARCHED</x:v>
      </x:c>
      <x:c r="D258" s="26"/>
      <x:c r="E258" s="26" t="str">
        <x:v>No observed search</x:v>
      </x:c>
      <x:c r="F258" s="26" t="str">
        <x:v>Retain exclusion for current scope</x:v>
      </x:c>
      <x:c r="G258" s="26" t="str">
        <x:v>TPA EXCLUDED</x:v>
      </x:c>
      <x:c r="H258" s="27" t="n">
        <x:v>86</x:v>
      </x:c>
      <x:c r="I258" s="27" t="n">
        <x:v>12</x:v>
      </x:c>
      <x:c r="J258" s="28" t="n">
        <x:v>477.6953936221471</x:v>
      </x:c>
      <x:c r="K258" s="26"/>
      <x:c r="L258" s="26" t="str">
        <x:v>insufficient_span_or_epochs</x:v>
      </x:c>
      <x:c r="M258" s="26" t="str">
        <x:v>Absent from named inventory</x:v>
      </x:c>
      <x:c r="N258" s="26" t="str">
        <x:v>Absent from named inventory</x:v>
      </x:c>
      <x:c r="O258" s="26" t="str">
        <x:v>Absent from named inventory</x:v>
      </x:c>
      <x:c r="P258" s="26"/>
      <x:c r="Q258" s="26" t="str">
        <x:v>../Project Recherche Data/tpa-batch01-20260908/selection.json</x:v>
      </x:c>
      <x:c r="R258" s="26" t="str">
        <x:v>047722e4dca24e16c44c810f43990492b2f988012ca2b4bab47826ff4c95f1db</x:v>
      </x:c>
      <x:c r="S258" s="26" t="str">
        <x:v>2489d8b9933f1b715b01b7659fc3d9c450482f53bab9283e3f1f10ba9b5b8be8</x:v>
      </x:c>
      <x:c r="T258" s="26" t="str">
        <x:v>6167bf146d7e077296a0411cc1684881686cada22c8112d3d91608a267af3bbe</x:v>
      </x:c>
    </x:row>
    <x:row r="259" ht="60" customHeight="1">
      <x:c r="A259" s="26" t="str">
        <x:v>J1334-5839</x:v>
      </x:c>
      <x:c r="B259" s="26" t="str"/>
      <x:c r="C259" s="26" t="str">
        <x:v>NOT_SEARCHED</x:v>
      </x:c>
      <x:c r="D259" s="26"/>
      <x:c r="E259" s="26" t="str">
        <x:v>No observed search</x:v>
      </x:c>
      <x:c r="F259" s="26" t="str">
        <x:v>Retain exclusion for current scope</x:v>
      </x:c>
      <x:c r="G259" s="26" t="str">
        <x:v>TPA EXCLUDED</x:v>
      </x:c>
      <x:c r="H259" s="27" t="n">
        <x:v>223</x:v>
      </x:c>
      <x:c r="I259" s="27" t="n">
        <x:v>28</x:v>
      </x:c>
      <x:c r="J259" s="28" t="n">
        <x:v>1355.1859283455415</x:v>
      </x:c>
      <x:c r="K259" s="26"/>
      <x:c r="L259" s="26" t="str">
        <x:v>insufficient_span_or_epochs</x:v>
      </x:c>
      <x:c r="M259" s="26" t="str">
        <x:v>Absent from named inventory</x:v>
      </x:c>
      <x:c r="N259" s="26" t="str">
        <x:v>Absent from named inventory</x:v>
      </x:c>
      <x:c r="O259" s="26" t="str">
        <x:v>Absent from named inventory</x:v>
      </x:c>
      <x:c r="P259" s="26"/>
      <x:c r="Q259" s="26" t="str">
        <x:v>../Project Recherche Data/tpa-batch01-20260908/selection.json</x:v>
      </x:c>
      <x:c r="R259" s="26" t="str">
        <x:v>047722e4dca24e16c44c810f43990492b2f988012ca2b4bab47826ff4c95f1db</x:v>
      </x:c>
      <x:c r="S259" s="26" t="str">
        <x:v>7d0c52419026b74130619a239dbe78a856883a7b7494744b0b23c8e74b7d6d1b</x:v>
      </x:c>
      <x:c r="T259" s="26" t="str">
        <x:v>501abe7962b094fe85b5a4ee820afadbf369937805448dfe45025c6ab377e348</x:v>
      </x:c>
    </x:row>
    <x:row r="260" ht="60" customHeight="1">
      <x:c r="A260" s="26" t="str">
        <x:v>J1338-6204</x:v>
      </x:c>
      <x:c r="B260" s="26" t="str">
        <x:v>B1334-61</x:v>
      </x:c>
      <x:c r="C260" s="26" t="str">
        <x:v>NO_TRIGGER</x:v>
      </x:c>
      <x:c r="D260" s="26" t="str">
        <x:v>tpa-batch06-20260908-J1338-6204-run01</x:v>
      </x:c>
      <x:c r="E260" s="26" t="str">
        <x:v>No qualifying signal in eligible 30–400-day cells</x:v>
      </x:c>
      <x:c r="F260" s="26" t="str">
        <x:v>Retain result; consider independent data or a separately defined new scope</x:v>
      </x:c>
      <x:c r="G260" s="26" t="str">
        <x:v>SEARCHED</x:v>
      </x:c>
      <x:c r="H260" s="27" t="n">
        <x:v>408</x:v>
      </x:c>
      <x:c r="I260" s="27" t="n">
        <x:v>51</x:v>
      </x:c>
      <x:c r="J260" s="28" t="n">
        <x:v>1258.7959413709032</x:v>
      </x:c>
      <x:c r="K260" s="26" t="str">
        <x:v>tpa-batch06-20260908</x:v>
      </x:c>
      <x:c r="L260" s="26"/>
      <x:c r="M260" s="26" t="str">
        <x:v>Absent from named inventory</x:v>
      </x:c>
      <x:c r="N260" s="26" t="str">
        <x:v>Absent from named inventory</x:v>
      </x:c>
      <x:c r="O260" s="26" t="str">
        <x:v>Absent from named inventory</x:v>
      </x:c>
      <x:c r="P260" s="26"/>
      <x:c r="Q260" s="26" t="str">
        <x:v>../Project Recherche Data/tpa-batch06-20260908/selection.json</x:v>
      </x:c>
      <x:c r="R260" s="26" t="str">
        <x:v>aa7dc82ae2f0aa7f4ad390810d65a59ea2811f4802deb69c9130205b6466f356</x:v>
      </x:c>
      <x:c r="S260" s="26" t="str">
        <x:v>85cf5def74433d5e80645671d95b01669ebcc9ecc796c0bfeb0406cde655de78</x:v>
      </x:c>
      <x:c r="T260" s="26" t="str">
        <x:v>037539e41c032e31d167ef1e71ed9f9c52e033ed19d804db32f7a89befc7057e</x:v>
      </x:c>
    </x:row>
    <x:row r="261" ht="60" customHeight="1">
      <x:c r="A261" s="26" t="str">
        <x:v>J1339-4712</x:v>
      </x:c>
      <x:c r="B261" s="26" t="str"/>
      <x:c r="C261" s="26" t="str">
        <x:v>NOT_SEARCHED</x:v>
      </x:c>
      <x:c r="D261" s="26"/>
      <x:c r="E261" s="26" t="str">
        <x:v>No observed search</x:v>
      </x:c>
      <x:c r="F261" s="26" t="str">
        <x:v>Retain exclusion for current scope</x:v>
      </x:c>
      <x:c r="G261" s="26" t="str">
        <x:v>TPA EXCLUDED</x:v>
      </x:c>
      <x:c r="H261" s="27" t="n">
        <x:v>191</x:v>
      </x:c>
      <x:c r="I261" s="27" t="n">
        <x:v>27</x:v>
      </x:c>
      <x:c r="J261" s="28" t="n">
        <x:v>1272.347903376496</x:v>
      </x:c>
      <x:c r="K261" s="26"/>
      <x:c r="L261" s="26" t="str">
        <x:v>insufficient_span_or_epochs</x:v>
      </x:c>
      <x:c r="M261" s="26" t="str">
        <x:v>Absent from named inventory</x:v>
      </x:c>
      <x:c r="N261" s="26" t="str">
        <x:v>Absent from named inventory</x:v>
      </x:c>
      <x:c r="O261" s="26" t="str">
        <x:v>Absent from named inventory</x:v>
      </x:c>
      <x:c r="P261" s="26"/>
      <x:c r="Q261" s="26" t="str">
        <x:v>../Project Recherche Data/tpa-batch01-20260908/selection.json</x:v>
      </x:c>
      <x:c r="R261" s="26" t="str">
        <x:v>047722e4dca24e16c44c810f43990492b2f988012ca2b4bab47826ff4c95f1db</x:v>
      </x:c>
      <x:c r="S261" s="26" t="str">
        <x:v>73d3e78372fc3a25a71158e6a4ae3036364c24141a6c7979681ce45919cbb7cc</x:v>
      </x:c>
      <x:c r="T261" s="26" t="str">
        <x:v>5f6eb586e75b0baa85c1a18ec729af139447a1e69c51fff9f2c662818d02c520</x:v>
      </x:c>
    </x:row>
    <x:row r="262" ht="60" customHeight="1">
      <x:c r="A262" s="26" t="str">
        <x:v>J1340-6456</x:v>
      </x:c>
      <x:c r="B262" s="26" t="str">
        <x:v>B1336-64</x:v>
      </x:c>
      <x:c r="C262" s="26" t="str">
        <x:v>NO_TRIGGER</x:v>
      </x:c>
      <x:c r="D262" s="26" t="str">
        <x:v>tpa-batch05-20260908-J1340-6456-run01</x:v>
      </x:c>
      <x:c r="E262" s="26" t="str">
        <x:v>No qualifying signal in eligible 30–400-day cells</x:v>
      </x:c>
      <x:c r="F262" s="26" t="str">
        <x:v>Retain result; consider independent data or a separately defined new scope</x:v>
      </x:c>
      <x:c r="G262" s="26" t="str">
        <x:v>SEARCHED</x:v>
      </x:c>
      <x:c r="H262" s="27" t="n">
        <x:v>405</x:v>
      </x:c>
      <x:c r="I262" s="27" t="n">
        <x:v>53</x:v>
      </x:c>
      <x:c r="J262" s="28" t="n">
        <x:v>1235.3058288130997</x:v>
      </x:c>
      <x:c r="K262" s="26" t="str">
        <x:v>tpa-batch05-20260908</x:v>
      </x:c>
      <x:c r="L262" s="26"/>
      <x:c r="M262" s="26" t="str">
        <x:v>Absent from named inventory</x:v>
      </x:c>
      <x:c r="N262" s="26" t="str">
        <x:v>Absent from named inventory</x:v>
      </x:c>
      <x:c r="O262" s="26" t="str">
        <x:v>Absent from named inventory</x:v>
      </x:c>
      <x:c r="P262" s="26"/>
      <x:c r="Q262" s="26" t="str">
        <x:v>../Project Recherche Data/tpa-batch05-20260908/selection.json</x:v>
      </x:c>
      <x:c r="R262" s="26" t="str">
        <x:v>1212bfb743fa2d3f16f95056ab4d3c2b52ec5dd997358fe385b8fd00313b3907</x:v>
      </x:c>
      <x:c r="S262" s="26" t="str">
        <x:v>8461cc1e7abd65f62426d09c4a2e876d82d96f3f72c257bfdb1561209aba411f</x:v>
      </x:c>
      <x:c r="T262" s="26" t="str">
        <x:v>ad8c585fd4225dae3fb8fa320001fe92d713112d37fdb9cf003a5b73d872c4e1</x:v>
      </x:c>
    </x:row>
    <x:row r="263" ht="60" customHeight="1">
      <x:c r="A263" s="26" t="str">
        <x:v>J1341-6023</x:v>
      </x:c>
      <x:c r="B263" s="26" t="str"/>
      <x:c r="C263" s="26" t="str">
        <x:v>NOT_SEARCHED</x:v>
      </x:c>
      <x:c r="D263" s="26"/>
      <x:c r="E263" s="26" t="str">
        <x:v>No observed search</x:v>
      </x:c>
      <x:c r="F263" s="26" t="str">
        <x:v>Retain exclusion for current scope</x:v>
      </x:c>
      <x:c r="G263" s="26" t="str">
        <x:v>TPA EXCLUDED</x:v>
      </x:c>
      <x:c r="H263" s="27" t="n">
        <x:v>424</x:v>
      </x:c>
      <x:c r="I263" s="27" t="n">
        <x:v>53</x:v>
      </x:c>
      <x:c r="J263" s="28" t="n">
        <x:v>1367.3046815438793</x:v>
      </x:c>
      <x:c r="K263" s="26"/>
      <x:c r="L263" s="26" t="str">
        <x:v>published_glitch</x:v>
      </x:c>
      <x:c r="M263" s="26" t="str">
        <x:v>Absent from named inventory</x:v>
      </x:c>
      <x:c r="N263" s="26" t="str">
        <x:v>Absent from named inventory</x:v>
      </x:c>
      <x:c r="O263" s="26" t="str">
        <x:v>Absent from named inventory</x:v>
      </x:c>
      <x:c r="P263" s="26"/>
      <x:c r="Q263" s="26" t="str">
        <x:v>../Project Recherche Data/tpa-batch01-20260908/selection.json</x:v>
      </x:c>
      <x:c r="R263" s="26" t="str">
        <x:v>047722e4dca24e16c44c810f43990492b2f988012ca2b4bab47826ff4c95f1db</x:v>
      </x:c>
      <x:c r="S263" s="26" t="str">
        <x:v>2fe8562539b8e22d81ea354cf1f086cd04c3781015baa8d07c4523eca3bd6554</x:v>
      </x:c>
      <x:c r="T263" s="26" t="str">
        <x:v>47655337a325d2e21608b5857c5728c70c002a3c358f738934519407e7f5bc53</x:v>
      </x:c>
    </x:row>
    <x:row r="264" ht="60" customHeight="1">
      <x:c r="A264" s="26" t="str">
        <x:v>J1345-6115</x:v>
      </x:c>
      <x:c r="B264" s="26" t="str"/>
      <x:c r="C264" s="26" t="str">
        <x:v>NO_TRIGGER</x:v>
      </x:c>
      <x:c r="D264" s="26" t="str">
        <x:v>tpa-batch04-20260908-J1345-6115-run01</x:v>
      </x:c>
      <x:c r="E264" s="26" t="str">
        <x:v>No qualifying signal in eligible 30–400-day cells</x:v>
      </x:c>
      <x:c r="F264" s="26" t="str">
        <x:v>Retain result; consider independent data or a separately defined new scope</x:v>
      </x:c>
      <x:c r="G264" s="26" t="str">
        <x:v>SEARCHED</x:v>
      </x:c>
      <x:c r="H264" s="27" t="n">
        <x:v>440</x:v>
      </x:c>
      <x:c r="I264" s="27" t="n">
        <x:v>55</x:v>
      </x:c>
      <x:c r="J264" s="28" t="n">
        <x:v>1367.2878320345044</x:v>
      </x:c>
      <x:c r="K264" s="26" t="str">
        <x:v>tpa-batch04-20260908</x:v>
      </x:c>
      <x:c r="L264" s="26"/>
      <x:c r="M264" s="26" t="str">
        <x:v>Absent from named inventory</x:v>
      </x:c>
      <x:c r="N264" s="26" t="str">
        <x:v>Absent from named inventory</x:v>
      </x:c>
      <x:c r="O264" s="26" t="str">
        <x:v>Absent from named inventory</x:v>
      </x:c>
      <x:c r="P264" s="26"/>
      <x:c r="Q264" s="26" t="str">
        <x:v>../Project Recherche Data/tpa-batch04-20260908/selection.json</x:v>
      </x:c>
      <x:c r="R264" s="26" t="str">
        <x:v>88cb06482cd14a2f65e966c23ca1cdea20fdeb356fd59137885e0ec5f3b47d1a</x:v>
      </x:c>
      <x:c r="S264" s="26" t="str">
        <x:v>bae1130a7a5c83871386118fe73a7f0304c630f88de930ff24666d78b3c677f9</x:v>
      </x:c>
      <x:c r="T264" s="26" t="str">
        <x:v>815f1bc5f90b26ce033add6d66f286189663b889e7f273bfcd0d08685f7c6c43</x:v>
      </x:c>
    </x:row>
    <x:row r="265" ht="60" customHeight="1">
      <x:c r="A265" s="26" t="str">
        <x:v>J1346-4918</x:v>
      </x:c>
      <x:c r="B265" s="26" t="str"/>
      <x:c r="C265" s="26" t="str">
        <x:v>NOT_SEARCHED</x:v>
      </x:c>
      <x:c r="D265" s="26"/>
      <x:c r="E265" s="26" t="str">
        <x:v>No observed search</x:v>
      </x:c>
      <x:c r="F265" s="26" t="str">
        <x:v>Retain exclusion for current scope</x:v>
      </x:c>
      <x:c r="G265" s="26" t="str">
        <x:v>TPA EXCLUDED</x:v>
      </x:c>
      <x:c r="H265" s="27" t="n">
        <x:v>203</x:v>
      </x:c>
      <x:c r="I265" s="27" t="n">
        <x:v>27</x:v>
      </x:c>
      <x:c r="J265" s="28" t="n">
        <x:v>1150.8915258169145</x:v>
      </x:c>
      <x:c r="K265" s="26"/>
      <x:c r="L265" s="26" t="str">
        <x:v>insufficient_span_or_epochs</x:v>
      </x:c>
      <x:c r="M265" s="26" t="str">
        <x:v>Absent from named inventory</x:v>
      </x:c>
      <x:c r="N265" s="26" t="str">
        <x:v>Absent from named inventory</x:v>
      </x:c>
      <x:c r="O265" s="26" t="str">
        <x:v>Absent from named inventory</x:v>
      </x:c>
      <x:c r="P265" s="26"/>
      <x:c r="Q265" s="26" t="str">
        <x:v>../Project Recherche Data/tpa-batch01-20260908/selection.json</x:v>
      </x:c>
      <x:c r="R265" s="26" t="str">
        <x:v>047722e4dca24e16c44c810f43990492b2f988012ca2b4bab47826ff4c95f1db</x:v>
      </x:c>
      <x:c r="S265" s="26" t="str">
        <x:v>ff2d02e8a262ff749df0e840c957f1c7041a7fd40d41b7f7188298febc51d696</x:v>
      </x:c>
      <x:c r="T265" s="26" t="str">
        <x:v>a90674934a4c93daa1649268ea5a0298e6695bb5ba3ab817a5596d5d34dfcafb</x:v>
      </x:c>
    </x:row>
    <x:row r="266" ht="60" customHeight="1">
      <x:c r="A266" s="26" t="str">
        <x:v>J1347-5947</x:v>
      </x:c>
      <x:c r="B266" s="26" t="str"/>
      <x:c r="C266" s="26" t="str">
        <x:v>NO_TRIGGER</x:v>
      </x:c>
      <x:c r="D266" s="26" t="str">
        <x:v>tpa-batch04-20260908-J1347-5947-run01</x:v>
      </x:c>
      <x:c r="E266" s="26" t="str">
        <x:v>No qualifying signal in eligible 30–400-day cells</x:v>
      </x:c>
      <x:c r="F266" s="26" t="str">
        <x:v>Retain result; consider independent data or a separately defined new scope</x:v>
      </x:c>
      <x:c r="G266" s="26" t="str">
        <x:v>SEARCHED</x:v>
      </x:c>
      <x:c r="H266" s="27" t="n">
        <x:v>439</x:v>
      </x:c>
      <x:c r="I266" s="27" t="n">
        <x:v>55</x:v>
      </x:c>
      <x:c r="J266" s="28" t="n">
        <x:v>1367.3084192817769</x:v>
      </x:c>
      <x:c r="K266" s="26" t="str">
        <x:v>tpa-batch04-20260908</x:v>
      </x:c>
      <x:c r="L266" s="26"/>
      <x:c r="M266" s="26" t="str">
        <x:v>Absent from named inventory</x:v>
      </x:c>
      <x:c r="N266" s="26" t="str">
        <x:v>Absent from named inventory</x:v>
      </x:c>
      <x:c r="O266" s="26" t="str">
        <x:v>Absent from named inventory</x:v>
      </x:c>
      <x:c r="P266" s="26"/>
      <x:c r="Q266" s="26" t="str">
        <x:v>../Project Recherche Data/tpa-batch04-20260908/selection.json</x:v>
      </x:c>
      <x:c r="R266" s="26" t="str">
        <x:v>88cb06482cd14a2f65e966c23ca1cdea20fdeb356fd59137885e0ec5f3b47d1a</x:v>
      </x:c>
      <x:c r="S266" s="26" t="str">
        <x:v>18f07ba0bf0a6918a430eaad62e19d0666f61e0abc6bf63bfb2e2cace10b153b</x:v>
      </x:c>
      <x:c r="T266" s="26" t="str">
        <x:v>0e8d52901bcc7012e8eedd128c7ce3825213503a37459369cb318d1574df7a6f</x:v>
      </x:c>
    </x:row>
    <x:row r="267" ht="60" customHeight="1">
      <x:c r="A267" s="26" t="str">
        <x:v>J1352-6803</x:v>
      </x:c>
      <x:c r="B267" s="26" t="str"/>
      <x:c r="C267" s="26" t="str">
        <x:v>NOT_SEARCHED</x:v>
      </x:c>
      <x:c r="D267" s="26"/>
      <x:c r="E267" s="26" t="str">
        <x:v>No observed search</x:v>
      </x:c>
      <x:c r="F267" s="26" t="str">
        <x:v>Retain exclusion for current scope</x:v>
      </x:c>
      <x:c r="G267" s="26" t="str">
        <x:v>TPA EXCLUDED</x:v>
      </x:c>
      <x:c r="H267" s="27" t="n">
        <x:v>216</x:v>
      </x:c>
      <x:c r="I267" s="27" t="n">
        <x:v>27</x:v>
      </x:c>
      <x:c r="J267" s="28" t="n">
        <x:v>1223.219316110626</x:v>
      </x:c>
      <x:c r="K267" s="26"/>
      <x:c r="L267" s="26" t="str">
        <x:v>insufficient_span_or_epochs</x:v>
      </x:c>
      <x:c r="M267" s="26" t="str">
        <x:v>Absent from named inventory</x:v>
      </x:c>
      <x:c r="N267" s="26" t="str">
        <x:v>Absent from named inventory</x:v>
      </x:c>
      <x:c r="O267" s="26" t="str">
        <x:v>Absent from named inventory</x:v>
      </x:c>
      <x:c r="P267" s="26"/>
      <x:c r="Q267" s="26" t="str">
        <x:v>../Project Recherche Data/tpa-batch01-20260908/selection.json</x:v>
      </x:c>
      <x:c r="R267" s="26" t="str">
        <x:v>047722e4dca24e16c44c810f43990492b2f988012ca2b4bab47826ff4c95f1db</x:v>
      </x:c>
      <x:c r="S267" s="26" t="str">
        <x:v>10a63b20da19547f3a47ac3145fc0967779c95ebb3c52dbd821b22c446cb8201</x:v>
      </x:c>
      <x:c r="T267" s="26" t="str">
        <x:v>e5719219fb48b43909c9590ad55a2542a636caa14f5936624554615099ae5fe8</x:v>
      </x:c>
    </x:row>
    <x:row r="268" ht="60" customHeight="1">
      <x:c r="A268" s="26" t="str">
        <x:v>J1355-5925</x:v>
      </x:c>
      <x:c r="B268" s="26" t="str"/>
      <x:c r="C268" s="26" t="str">
        <x:v>NOT_SEARCHED</x:v>
      </x:c>
      <x:c r="D268" s="26"/>
      <x:c r="E268" s="26" t="str">
        <x:v>No observed search</x:v>
      </x:c>
      <x:c r="F268" s="26" t="str">
        <x:v>Retain exclusion for current scope</x:v>
      </x:c>
      <x:c r="G268" s="26" t="str">
        <x:v>TPA EXCLUDED</x:v>
      </x:c>
      <x:c r="H268" s="27" t="n">
        <x:v>224</x:v>
      </x:c>
      <x:c r="I268" s="27" t="n">
        <x:v>28</x:v>
      </x:c>
      <x:c r="J268" s="28" t="n">
        <x:v>1150.913269554374</x:v>
      </x:c>
      <x:c r="K268" s="26"/>
      <x:c r="L268" s="26" t="str">
        <x:v>insufficient_span_or_epochs</x:v>
      </x:c>
      <x:c r="M268" s="26" t="str">
        <x:v>Absent from named inventory</x:v>
      </x:c>
      <x:c r="N268" s="26" t="str">
        <x:v>Absent from named inventory</x:v>
      </x:c>
      <x:c r="O268" s="26" t="str">
        <x:v>Absent from named inventory</x:v>
      </x:c>
      <x:c r="P268" s="26"/>
      <x:c r="Q268" s="26" t="str">
        <x:v>../Project Recherche Data/tpa-batch01-20260908/selection.json</x:v>
      </x:c>
      <x:c r="R268" s="26" t="str">
        <x:v>047722e4dca24e16c44c810f43990492b2f988012ca2b4bab47826ff4c95f1db</x:v>
      </x:c>
      <x:c r="S268" s="26" t="str">
        <x:v>76b02e179aae78d69fba79b7b40613afed1447049669f43bea5f15bbd3555fdf</x:v>
      </x:c>
      <x:c r="T268" s="26" t="str">
        <x:v>8425875e7ae335369849ad8e8db9bf67959da0dff746476bc2b55d89522b9238</x:v>
      </x:c>
    </x:row>
    <x:row r="269" ht="60" customHeight="1">
      <x:c r="A269" s="26" t="str">
        <x:v>J1356-5521</x:v>
      </x:c>
      <x:c r="B269" s="26" t="str"/>
      <x:c r="C269" s="26" t="str">
        <x:v>NOT_SEARCHED</x:v>
      </x:c>
      <x:c r="D269" s="26"/>
      <x:c r="E269" s="26" t="str">
        <x:v>No observed search</x:v>
      </x:c>
      <x:c r="F269" s="26" t="str">
        <x:v>Retain exclusion for current scope</x:v>
      </x:c>
      <x:c r="G269" s="26" t="str">
        <x:v>TPA EXCLUDED</x:v>
      </x:c>
      <x:c r="H269" s="27" t="n">
        <x:v>197</x:v>
      </x:c>
      <x:c r="I269" s="27" t="n">
        <x:v>26</x:v>
      </x:c>
      <x:c r="J269" s="28" t="n">
        <x:v>1217.2806880789503</x:v>
      </x:c>
      <x:c r="K269" s="26"/>
      <x:c r="L269" s="26" t="str">
        <x:v>insufficient_span_or_epochs</x:v>
      </x:c>
      <x:c r="M269" s="26" t="str">
        <x:v>Absent from named inventory</x:v>
      </x:c>
      <x:c r="N269" s="26" t="str">
        <x:v>Absent from named inventory</x:v>
      </x:c>
      <x:c r="O269" s="26" t="str">
        <x:v>Absent from named inventory</x:v>
      </x:c>
      <x:c r="P269" s="26"/>
      <x:c r="Q269" s="26" t="str">
        <x:v>../Project Recherche Data/tpa-batch01-20260908/selection.json</x:v>
      </x:c>
      <x:c r="R269" s="26" t="str">
        <x:v>047722e4dca24e16c44c810f43990492b2f988012ca2b4bab47826ff4c95f1db</x:v>
      </x:c>
      <x:c r="S269" s="26" t="str">
        <x:v>e1b4af7044d5029920744da3769e3f0557361aa7d3dd9e98cba741990c4f0430</x:v>
      </x:c>
      <x:c r="T269" s="26" t="str">
        <x:v>97b51b112dacd2c7eff694e812d13f51c03055ea4d8ed781890e07c38d71e100</x:v>
      </x:c>
    </x:row>
    <x:row r="270" ht="60" customHeight="1">
      <x:c r="A270" s="26" t="str">
        <x:v>J1357-6429</x:v>
      </x:c>
      <x:c r="B270" s="26" t="str"/>
      <x:c r="C270" s="26" t="str">
        <x:v>NOT_SEARCHED</x:v>
      </x:c>
      <x:c r="D270" s="26"/>
      <x:c r="E270" s="26" t="str">
        <x:v>No observed search</x:v>
      </x:c>
      <x:c r="F270" s="26" t="str">
        <x:v>Retain exclusion for current scope</x:v>
      </x:c>
      <x:c r="G270" s="26" t="str">
        <x:v>TPA EXCLUDED</x:v>
      </x:c>
      <x:c r="H270" s="27" t="n">
        <x:v>195</x:v>
      </x:c>
      <x:c r="I270" s="27" t="n">
        <x:v>25</x:v>
      </x:c>
      <x:c r="J270" s="28" t="n">
        <x:v>1111.568207541568</x:v>
      </x:c>
      <x:c r="K270" s="26"/>
      <x:c r="L270" s="26" t="str">
        <x:v>insufficient_span_or_epochs</x:v>
      </x:c>
      <x:c r="M270" s="26" t="str">
        <x:v>Absent from named inventory</x:v>
      </x:c>
      <x:c r="N270" s="26" t="str">
        <x:v>Absent from named inventory</x:v>
      </x:c>
      <x:c r="O270" s="26" t="str">
        <x:v>Absent from named inventory</x:v>
      </x:c>
      <x:c r="P270" s="26"/>
      <x:c r="Q270" s="26" t="str">
        <x:v>../Project Recherche Data/tpa-batch01-20260908/selection.json</x:v>
      </x:c>
      <x:c r="R270" s="26" t="str">
        <x:v>047722e4dca24e16c44c810f43990492b2f988012ca2b4bab47826ff4c95f1db</x:v>
      </x:c>
      <x:c r="S270" s="26" t="str">
        <x:v>562093ac0e9cfb8ff1f80023903924544a33a46bc03dabf4a4891d855661e6f4</x:v>
      </x:c>
      <x:c r="T270" s="26" t="str">
        <x:v>6a02b60f10b107adfec8d0932c01718eabcb957a9b393e5006018d91d679e9a7</x:v>
      </x:c>
    </x:row>
    <x:row r="271" ht="26.399999618530273" hidden="0" customHeight="1">
      <x:c r="A271" s="26" t="str">
        <x:v>J1359-6038</x:v>
      </x:c>
      <x:c r="B271" s="26" t="str">
        <x:v>B1356-60</x:v>
      </x:c>
      <x:c r="C271" s="26" t="str">
        <x:v>PERIODIC_SIGNAL_CANDIDATE</x:v>
      </x:c>
      <x:c r="D271" s="26" t="str">
        <x:v>utmost-batch04-20260909-J1359-6038-run01</x:v>
      </x:c>
      <x:c r="E271" s="26" t="str">
        <x:v>Threshold-crossing periodic candidate; not a confirmed planet</x:v>
      </x:c>
      <x:c r="F271" s="26" t="str">
        <x:v>Bounded review complete; preserve noise-sensitive candidate. Await informative independent data and owner-directed follow-up.</x:v>
      </x:c>
      <x:c r="G271" s="26" t="str">
        <x:v>UTMOST SEARCHED</x:v>
      </x:c>
      <x:c r="H271" s="27" t="n">
        <x:v>432</x:v>
      </x:c>
      <x:c r="I271" s="27" t="n">
        <x:v>54</x:v>
      </x:c>
      <x:c r="J271" s="28" t="n">
        <x:v>1469.9097777965653</x:v>
      </x:c>
      <x:c r="K271" s="26" t="str">
        <x:v>TPA batch 01</x:v>
      </x:c>
      <x:c r="L271" s="26"/>
      <x:c r="M271" s="26" t="str">
        <x:v>Absent from named inventory</x:v>
      </x:c>
      <x:c r="N271" s="26" t="str">
        <x:v>Absent from named inventory</x:v>
      </x:c>
      <x:c r="O271" s="26" t="str">
        <x:v>Absent from named inventory</x:v>
      </x:c>
      <x:c r="P271" s="26"/>
      <x:c r="Q271" s="26" t="str">
        <x:v>../Project Recherche Data/tpa-batch01-20260908/selection.json</x:v>
      </x:c>
      <x:c r="R271" s="26" t="str">
        <x:v>047722e4dca24e16c44c810f43990492b2f988012ca2b4bab47826ff4c95f1db</x:v>
      </x:c>
      <x:c r="S271" s="26" t="str">
        <x:v>202ebeb985eaf8079160849a577ece61d24fb8edb5d204ae79ff75169d18bd97</x:v>
      </x:c>
      <x:c r="T271" s="26" t="str">
        <x:v>08c26604cab0d30a7810b514e34bcae67cc05216be659860cee6bfefd602fbcd</x:v>
      </x:c>
    </x:row>
    <x:row r="272" ht="60" customHeight="1">
      <x:c r="A272" s="26" t="str">
        <x:v>J1401-6357</x:v>
      </x:c>
      <x:c r="B272" s="26" t="str">
        <x:v>B1358-63</x:v>
      </x:c>
      <x:c r="C272" s="26" t="str">
        <x:v>NO_TRIGGER</x:v>
      </x:c>
      <x:c r="D272" s="26" t="str">
        <x:v>utmost-batch02-20260909-J1401-6357-run01</x:v>
      </x:c>
      <x:c r="E272" s="26" t="str">
        <x:v>No qualifying signal in eligible 30–400-day cells</x:v>
      </x:c>
      <x:c r="F272" s="26" t="str">
        <x:v>Retain result; consider independent data or a separately defined new scope</x:v>
      </x:c>
      <x:c r="G272" s="26" t="str">
        <x:v>UTMOST SEARCHED</x:v>
      </x:c>
      <x:c r="H272" s="27" t="n">
        <x:v>104</x:v>
      </x:c>
      <x:c r="I272" s="27" t="n">
        <x:v>13</x:v>
      </x:c>
      <x:c r="J272" s="28" t="n">
        <x:v>477.72363462899375</x:v>
      </x:c>
      <x:c r="K272" s="26"/>
      <x:c r="L272" s="26" t="str">
        <x:v>insufficient_span_or_epochs</x:v>
      </x:c>
      <x:c r="M272" s="26" t="str">
        <x:v>Absent from named inventory</x:v>
      </x:c>
      <x:c r="N272" s="26" t="str">
        <x:v>Absent from named inventory</x:v>
      </x:c>
      <x:c r="O272" s="26" t="str">
        <x:v>Absent from named inventory</x:v>
      </x:c>
      <x:c r="P272" s="26"/>
      <x:c r="Q272" s="26" t="str">
        <x:v>../Project Recherche Data/tpa-batch01-20260908/selection.json</x:v>
      </x:c>
      <x:c r="R272" s="26" t="str">
        <x:v>047722e4dca24e16c44c810f43990492b2f988012ca2b4bab47826ff4c95f1db</x:v>
      </x:c>
      <x:c r="S272" s="26" t="str">
        <x:v>161fe4290e10e37cd444cee3e1eff9bff1f4d092fc9adc4f0cd73e9fbd779f7d</x:v>
      </x:c>
      <x:c r="T272" s="26" t="str">
        <x:v>cf7fd19653df12bd8e2ed734e20fff46edc21b453524a0f797561dfab4aab5bf</x:v>
      </x:c>
    </x:row>
    <x:row r="273" ht="60" customHeight="1">
      <x:c r="A273" s="26" t="str">
        <x:v>J1403-6310</x:v>
      </x:c>
      <x:c r="B273" s="26" t="str"/>
      <x:c r="C273" s="26" t="str">
        <x:v>NO_TRIGGER</x:v>
      </x:c>
      <x:c r="D273" s="26" t="str">
        <x:v>tpa-batch05-20260908-J1403-6310-run01</x:v>
      </x:c>
      <x:c r="E273" s="26" t="str">
        <x:v>No qualifying signal in eligible 30–400-day cells</x:v>
      </x:c>
      <x:c r="F273" s="26" t="str">
        <x:v>Retain result; consider independent data or a separately defined new scope</x:v>
      </x:c>
      <x:c r="G273" s="26" t="str">
        <x:v>SEARCHED</x:v>
      </x:c>
      <x:c r="H273" s="27" t="n">
        <x:v>432</x:v>
      </x:c>
      <x:c r="I273" s="27" t="n">
        <x:v>54</x:v>
      </x:c>
      <x:c r="J273" s="28" t="n">
        <x:v>1367.3174121232878</x:v>
      </x:c>
      <x:c r="K273" s="26" t="str">
        <x:v>tpa-batch05-20260908</x:v>
      </x:c>
      <x:c r="L273" s="26"/>
      <x:c r="M273" s="26" t="str">
        <x:v>Absent from named inventory</x:v>
      </x:c>
      <x:c r="N273" s="26" t="str">
        <x:v>Absent from named inventory</x:v>
      </x:c>
      <x:c r="O273" s="26" t="str">
        <x:v>Absent from named inventory</x:v>
      </x:c>
      <x:c r="P273" s="26"/>
      <x:c r="Q273" s="26" t="str">
        <x:v>../Project Recherche Data/tpa-batch05-20260908/selection.json</x:v>
      </x:c>
      <x:c r="R273" s="26" t="str">
        <x:v>1212bfb743fa2d3f16f95056ab4d3c2b52ec5dd997358fe385b8fd00313b3907</x:v>
      </x:c>
      <x:c r="S273" s="26" t="str">
        <x:v>acbc6a6e9a50e7be866fcd3e840f2a63208ca866eceb012347305081ab4ea645</x:v>
      </x:c>
      <x:c r="T273" s="26" t="str">
        <x:v>9f2d338be8368b4f6f5806e35a4e1fa151c570ca8c1d7671f309d747e5b75e33</x:v>
      </x:c>
    </x:row>
    <x:row r="274" ht="60" customHeight="1">
      <x:c r="A274" s="26" t="str">
        <x:v>J1403-7646</x:v>
      </x:c>
      <x:c r="B274" s="26" t="str"/>
      <x:c r="C274" s="26" t="str">
        <x:v>NOT_SEARCHED</x:v>
      </x:c>
      <x:c r="D274" s="26"/>
      <x:c r="E274" s="26" t="str">
        <x:v>No observed search</x:v>
      </x:c>
      <x:c r="F274" s="26" t="str">
        <x:v>Retain exclusion for current scope</x:v>
      </x:c>
      <x:c r="G274" s="26" t="str">
        <x:v>TPA EXCLUDED</x:v>
      </x:c>
      <x:c r="H274" s="27" t="n">
        <x:v>208</x:v>
      </x:c>
      <x:c r="I274" s="27" t="n">
        <x:v>28</x:v>
      </x:c>
      <x:c r="J274" s="28" t="n">
        <x:v>1278.3755572771115</x:v>
      </x:c>
      <x:c r="K274" s="26"/>
      <x:c r="L274" s="26" t="str">
        <x:v>insufficient_span_or_epochs</x:v>
      </x:c>
      <x:c r="M274" s="26" t="str">
        <x:v>Absent from named inventory</x:v>
      </x:c>
      <x:c r="N274" s="26" t="str">
        <x:v>Absent from named inventory</x:v>
      </x:c>
      <x:c r="O274" s="26" t="str">
        <x:v>Absent from named inventory</x:v>
      </x:c>
      <x:c r="P274" s="26"/>
      <x:c r="Q274" s="26" t="str">
        <x:v>../Project Recherche Data/tpa-batch01-20260908/selection.json</x:v>
      </x:c>
      <x:c r="R274" s="26" t="str">
        <x:v>047722e4dca24e16c44c810f43990492b2f988012ca2b4bab47826ff4c95f1db</x:v>
      </x:c>
      <x:c r="S274" s="26" t="str">
        <x:v>e2900378d183d70bd4d2c9a194b951ee0ce6576d62fda0718300f10a7726e444</x:v>
      </x:c>
      <x:c r="T274" s="26" t="str">
        <x:v>6034c12c3c3a33163a63cf6f0a3e6924de48152ff4b72c36d6ac99a93f1698e0</x:v>
      </x:c>
    </x:row>
    <x:row r="275" ht="60" customHeight="1">
      <x:c r="A275" s="26" t="str">
        <x:v>J1406-5806</x:v>
      </x:c>
      <x:c r="B275" s="26" t="str"/>
      <x:c r="C275" s="26" t="str">
        <x:v>NOT_SEARCHED</x:v>
      </x:c>
      <x:c r="D275" s="26"/>
      <x:c r="E275" s="26" t="str">
        <x:v>No observed search</x:v>
      </x:c>
      <x:c r="F275" s="26" t="str">
        <x:v>Retain exclusion for current scope</x:v>
      </x:c>
      <x:c r="G275" s="26" t="str">
        <x:v>TPA EXCLUDED</x:v>
      </x:c>
      <x:c r="H275" s="27" t="n">
        <x:v>208</x:v>
      </x:c>
      <x:c r="I275" s="27" t="n">
        <x:v>26</x:v>
      </x:c>
      <x:c r="J275" s="28" t="n">
        <x:v>1202.7122728226968</x:v>
      </x:c>
      <x:c r="K275" s="26"/>
      <x:c r="L275" s="26" t="str">
        <x:v>insufficient_span_or_epochs</x:v>
      </x:c>
      <x:c r="M275" s="26" t="str">
        <x:v>Absent from named inventory</x:v>
      </x:c>
      <x:c r="N275" s="26" t="str">
        <x:v>Absent from named inventory</x:v>
      </x:c>
      <x:c r="O275" s="26" t="str">
        <x:v>Absent from named inventory</x:v>
      </x:c>
      <x:c r="P275" s="26"/>
      <x:c r="Q275" s="26" t="str">
        <x:v>../Project Recherche Data/tpa-batch01-20260908/selection.json</x:v>
      </x:c>
      <x:c r="R275" s="26" t="str">
        <x:v>047722e4dca24e16c44c810f43990492b2f988012ca2b4bab47826ff4c95f1db</x:v>
      </x:c>
      <x:c r="S275" s="26" t="str">
        <x:v>249478100a2ebbe137de4553223b367181483de64e2b3807f00e0258905e4e46</x:v>
      </x:c>
      <x:c r="T275" s="26" t="str">
        <x:v>d3d6c2d3c91b6a3e6b60ed5f8cde2dc0a0b2d3e276f13c18fa45b6da6f1564f3</x:v>
      </x:c>
    </x:row>
    <x:row r="276" ht="60" customHeight="1">
      <x:c r="A276" s="26" t="str">
        <x:v>J1410-7404</x:v>
      </x:c>
      <x:c r="B276" s="26" t="str"/>
      <x:c r="C276" s="26" t="str">
        <x:v>NO_TRIGGER</x:v>
      </x:c>
      <x:c r="D276" s="26" t="str">
        <x:v>tpa-batch01-20260908-J1410-7404-run01</x:v>
      </x:c>
      <x:c r="E276" s="26" t="str">
        <x:v>No qualifying signal in eligible 30–400-day cells</x:v>
      </x:c>
      <x:c r="F276" s="26" t="str">
        <x:v>Retain result; consider independent data or a separately defined new scope</x:v>
      </x:c>
      <x:c r="G276" s="26" t="str">
        <x:v>SEARCHED</x:v>
      </x:c>
      <x:c r="H276" s="27" t="n">
        <x:v>420</x:v>
      </x:c>
      <x:c r="I276" s="27" t="n">
        <x:v>53</x:v>
      </x:c>
      <x:c r="J276" s="28" t="n">
        <x:v>1290.459372276593</x:v>
      </x:c>
      <x:c r="K276" s="26" t="str">
        <x:v>TPA batch 01</x:v>
      </x:c>
      <x:c r="L276" s="26"/>
      <x:c r="M276" s="26" t="str">
        <x:v>Absent from named inventory</x:v>
      </x:c>
      <x:c r="N276" s="26" t="str">
        <x:v>Absent from named inventory</x:v>
      </x:c>
      <x:c r="O276" s="26" t="str">
        <x:v>Absent from named inventory</x:v>
      </x:c>
      <x:c r="P276" s="26"/>
      <x:c r="Q276" s="26" t="str">
        <x:v>../Project Recherche Data/tpa-batch01-20260908/selection.json</x:v>
      </x:c>
      <x:c r="R276" s="26" t="str">
        <x:v>047722e4dca24e16c44c810f43990492b2f988012ca2b4bab47826ff4c95f1db</x:v>
      </x:c>
      <x:c r="S276" s="26" t="str">
        <x:v>f1dd65812153c348388594ad893154fccc7061b66aa06bc6b8ed83d113a571ca</x:v>
      </x:c>
      <x:c r="T276" s="26" t="str">
        <x:v>0d66b30cb86d7c3581879b4f71f3b65eb6df352520376604e8f9333766899c01</x:v>
      </x:c>
    </x:row>
    <x:row r="277" ht="60" customHeight="1">
      <x:c r="A277" s="26" t="str">
        <x:v>J1412-6111</x:v>
      </x:c>
      <x:c r="B277" s="26" t="str"/>
      <x:c r="C277" s="26" t="str">
        <x:v>NOT_SEARCHED</x:v>
      </x:c>
      <x:c r="D277" s="26"/>
      <x:c r="E277" s="26" t="str">
        <x:v>No observed search</x:v>
      </x:c>
      <x:c r="F277" s="26" t="str">
        <x:v>Retain exclusion for current scope</x:v>
      </x:c>
      <x:c r="G277" s="26" t="str">
        <x:v>TPA EXCLUDED</x:v>
      </x:c>
      <x:c r="H277" s="27" t="n">
        <x:v>240</x:v>
      </x:c>
      <x:c r="I277" s="27" t="n">
        <x:v>30</x:v>
      </x:c>
      <x:c r="J277" s="28" t="n">
        <x:v>1437.8890240343972</x:v>
      </x:c>
      <x:c r="K277" s="26"/>
      <x:c r="L277" s="26" t="str">
        <x:v>insufficient_span_or_epochs</x:v>
      </x:c>
      <x:c r="M277" s="26" t="str">
        <x:v>Absent from named inventory</x:v>
      </x:c>
      <x:c r="N277" s="26" t="str">
        <x:v>Absent from named inventory</x:v>
      </x:c>
      <x:c r="O277" s="26" t="str">
        <x:v>Absent from named inventory</x:v>
      </x:c>
      <x:c r="P277" s="26"/>
      <x:c r="Q277" s="26" t="str">
        <x:v>../Project Recherche Data/tpa-batch01-20260908/selection.json</x:v>
      </x:c>
      <x:c r="R277" s="26" t="str">
        <x:v>047722e4dca24e16c44c810f43990492b2f988012ca2b4bab47826ff4c95f1db</x:v>
      </x:c>
      <x:c r="S277" s="26" t="str">
        <x:v>e2489a2a165d6da876a990ead15aa22053b26783a413738a9ce6b1066db4ce2c</x:v>
      </x:c>
      <x:c r="T277" s="26" t="str">
        <x:v>57e57e68027ffbdd38ffb830b5251ab972caebaebc7946ab5bd1861583faf584</x:v>
      </x:c>
    </x:row>
    <x:row r="278" ht="60" customHeight="1">
      <x:c r="A278" s="26" t="str">
        <x:v>J1413-6307</x:v>
      </x:c>
      <x:c r="B278" s="26" t="str">
        <x:v>B1409-62</x:v>
      </x:c>
      <x:c r="C278" s="26" t="str">
        <x:v>NO_TRIGGER</x:v>
      </x:c>
      <x:c r="D278" s="26" t="str">
        <x:v>tpa-batch03-20260908-J1413-6307-run01</x:v>
      </x:c>
      <x:c r="E278" s="26" t="str">
        <x:v>No qualifying signal in eligible 30–400-day cells</x:v>
      </x:c>
      <x:c r="F278" s="26" t="str">
        <x:v>Retain result; consider independent data or a separately defined new scope</x:v>
      </x:c>
      <x:c r="G278" s="26" t="str">
        <x:v>SEARCHED</x:v>
      </x:c>
      <x:c r="H278" s="27" t="n">
        <x:v>416</x:v>
      </x:c>
      <x:c r="I278" s="27" t="n">
        <x:v>52</x:v>
      </x:c>
      <x:c r="J278" s="28" t="n">
        <x:v>1290.485507613841</x:v>
      </x:c>
      <x:c r="K278" s="26" t="str">
        <x:v>tpa-batch03-20260908</x:v>
      </x:c>
      <x:c r="L278" s="26"/>
      <x:c r="M278" s="26" t="str">
        <x:v>Absent from named inventory</x:v>
      </x:c>
      <x:c r="N278" s="26" t="str">
        <x:v>Absent from named inventory</x:v>
      </x:c>
      <x:c r="O278" s="26" t="str">
        <x:v>Absent from named inventory</x:v>
      </x:c>
      <x:c r="P278" s="26"/>
      <x:c r="Q278" s="26" t="str">
        <x:v>../Project Recherche Data/tpa-batch03-20260908/selection.json</x:v>
      </x:c>
      <x:c r="R278" s="26" t="str">
        <x:v>1cf7dc46e02f8f80971416baec3f4bb7357340d0174269b7b50fc11887c0df28</x:v>
      </x:c>
      <x:c r="S278" s="26" t="str">
        <x:v>344ff1c188d9b8ab02cca1aa0993124b2a1753e9eac495fc4da1010c9e1f635d</x:v>
      </x:c>
      <x:c r="T278" s="26" t="str">
        <x:v>a1df6068a57817d4d826262eb333a73f258d8fd3f22daee1191c9a44846e486c</x:v>
      </x:c>
    </x:row>
    <x:row r="279" ht="60" customHeight="1">
      <x:c r="A279" s="26" t="str">
        <x:v>J1415-6621</x:v>
      </x:c>
      <x:c r="B279" s="26" t="str"/>
      <x:c r="C279" s="26" t="str">
        <x:v>NOT_SEARCHED</x:v>
      </x:c>
      <x:c r="D279" s="26"/>
      <x:c r="E279" s="26" t="str">
        <x:v>No observed search</x:v>
      </x:c>
      <x:c r="F279" s="26" t="str">
        <x:v>Retain exclusion for current scope</x:v>
      </x:c>
      <x:c r="G279" s="26" t="str">
        <x:v>TPA EXCLUDED</x:v>
      </x:c>
      <x:c r="H279" s="27" t="n">
        <x:v>224</x:v>
      </x:c>
      <x:c r="I279" s="27" t="n">
        <x:v>28</x:v>
      </x:c>
      <x:c r="J279" s="28" t="n">
        <x:v>1177.4598233710058</x:v>
      </x:c>
      <x:c r="K279" s="26"/>
      <x:c r="L279" s="26" t="str">
        <x:v>insufficient_span_or_epochs</x:v>
      </x:c>
      <x:c r="M279" s="26" t="str">
        <x:v>Absent from named inventory</x:v>
      </x:c>
      <x:c r="N279" s="26" t="str">
        <x:v>Absent from named inventory</x:v>
      </x:c>
      <x:c r="O279" s="26" t="str">
        <x:v>Absent from named inventory</x:v>
      </x:c>
      <x:c r="P279" s="26"/>
      <x:c r="Q279" s="26" t="str">
        <x:v>../Project Recherche Data/tpa-batch01-20260908/selection.json</x:v>
      </x:c>
      <x:c r="R279" s="26" t="str">
        <x:v>047722e4dca24e16c44c810f43990492b2f988012ca2b4bab47826ff4c95f1db</x:v>
      </x:c>
      <x:c r="S279" s="26" t="str">
        <x:v>d9a9543bbb944138f9622cd83192c0cfbe5974d291bd92940f7913fe719c6c25</x:v>
      </x:c>
      <x:c r="T279" s="26" t="str">
        <x:v>4fa73affae5c430e983fa473aa033e4aa2a56eb835e509201faf038daf5ad655</x:v>
      </x:c>
    </x:row>
    <x:row r="280" ht="60" customHeight="1">
      <x:c r="A280" s="26" t="str">
        <x:v>J1416-6037</x:v>
      </x:c>
      <x:c r="B280" s="26" t="str"/>
      <x:c r="C280" s="26" t="str">
        <x:v>NO_TRIGGER</x:v>
      </x:c>
      <x:c r="D280" s="26" t="str">
        <x:v>tpa-batch04-20260908-J1416-6037-run01</x:v>
      </x:c>
      <x:c r="E280" s="26" t="str">
        <x:v>No qualifying signal in eligible 30–400-day cells</x:v>
      </x:c>
      <x:c r="F280" s="26" t="str">
        <x:v>Retain result; consider independent data or a separately defined new scope</x:v>
      </x:c>
      <x:c r="G280" s="26" t="str">
        <x:v>SEARCHED</x:v>
      </x:c>
      <x:c r="H280" s="27" t="n">
        <x:v>440</x:v>
      </x:c>
      <x:c r="I280" s="27" t="n">
        <x:v>55</x:v>
      </x:c>
      <x:c r="J280" s="28" t="n">
        <x:v>1367.2938959068197</x:v>
      </x:c>
      <x:c r="K280" s="26" t="str">
        <x:v>tpa-batch04-20260908</x:v>
      </x:c>
      <x:c r="L280" s="26"/>
      <x:c r="M280" s="26" t="str">
        <x:v>Absent from named inventory</x:v>
      </x:c>
      <x:c r="N280" s="26" t="str">
        <x:v>Absent from named inventory</x:v>
      </x:c>
      <x:c r="O280" s="26" t="str">
        <x:v>Absent from named inventory</x:v>
      </x:c>
      <x:c r="P280" s="26"/>
      <x:c r="Q280" s="26" t="str">
        <x:v>../Project Recherche Data/tpa-batch04-20260908/selection.json</x:v>
      </x:c>
      <x:c r="R280" s="26" t="str">
        <x:v>88cb06482cd14a2f65e966c23ca1cdea20fdeb356fd59137885e0ec5f3b47d1a</x:v>
      </x:c>
      <x:c r="S280" s="26" t="str">
        <x:v>d7931623fcfb225d721383a33fb55ceb66640a5ea468f8813a6d0a743b221b0e</x:v>
      </x:c>
      <x:c r="T280" s="26" t="str">
        <x:v>0e36e13bf59b3f6b6aa5e36e15a61c95f140dd1c5cedaa77d0a7a28d6056db29</x:v>
      </x:c>
    </x:row>
    <x:row r="281" ht="60" customHeight="1">
      <x:c r="A281" s="26" t="str">
        <x:v>J1418-3921</x:v>
      </x:c>
      <x:c r="B281" s="26" t="str"/>
      <x:c r="C281" s="26" t="str">
        <x:v>NO_TRIGGER</x:v>
      </x:c>
      <x:c r="D281" s="26" t="str">
        <x:v>utmost-batch03-20260909-J1418-3921-run01</x:v>
      </x:c>
      <x:c r="E281" s="26" t="str">
        <x:v>No qualifying signal in eligible 30–400-day cells</x:v>
      </x:c>
      <x:c r="F281" s="26" t="str">
        <x:v>Retain result; consider independent data or a separately defined new scope</x:v>
      </x:c>
      <x:c r="G281" s="26" t="str">
        <x:v>UTMOST SEARCHED</x:v>
      </x:c>
      <x:c r="H281" s="27" t="n">
        <x:v>195</x:v>
      </x:c>
      <x:c r="I281" s="27" t="n">
        <x:v>25</x:v>
      </x:c>
      <x:c r="J281" s="28" t="n">
        <x:v>1174.7666088506594</x:v>
      </x:c>
      <x:c r="K281" s="26"/>
      <x:c r="L281" s="26" t="str">
        <x:v>insufficient_span_or_epochs</x:v>
      </x:c>
      <x:c r="M281" s="26" t="str">
        <x:v>Absent from named inventory</x:v>
      </x:c>
      <x:c r="N281" s="26" t="str">
        <x:v>Absent from named inventory</x:v>
      </x:c>
      <x:c r="O281" s="26" t="str">
        <x:v>Absent from named inventory</x:v>
      </x:c>
      <x:c r="P281" s="26"/>
      <x:c r="Q281" s="26" t="str">
        <x:v>../Project Recherche Data/tpa-batch01-20260908/selection.json</x:v>
      </x:c>
      <x:c r="R281" s="26" t="str">
        <x:v>047722e4dca24e16c44c810f43990492b2f988012ca2b4bab47826ff4c95f1db</x:v>
      </x:c>
      <x:c r="S281" s="26" t="str">
        <x:v>980cc5d06b984e7c6243494f0c55976211d5f2002d307ebd27e726dfc1aa8ec2</x:v>
      </x:c>
      <x:c r="T281" s="26" t="str">
        <x:v>3af33bac5f88b67b4ec804a91bd5c15ea4c3cd461b9f49a74cb597539faeeabc</x:v>
      </x:c>
    </x:row>
    <x:row r="282" ht="60" customHeight="1">
      <x:c r="A282" s="26" t="str">
        <x:v>J1424-5822</x:v>
      </x:c>
      <x:c r="B282" s="26" t="str"/>
      <x:c r="C282" s="26" t="str">
        <x:v>NOT_SEARCHED</x:v>
      </x:c>
      <x:c r="D282" s="26"/>
      <x:c r="E282" s="26" t="str">
        <x:v>No observed search</x:v>
      </x:c>
      <x:c r="F282" s="26" t="str">
        <x:v>Retain exclusion for current scope</x:v>
      </x:c>
      <x:c r="G282" s="26" t="str">
        <x:v>TPA EXCLUDED</x:v>
      </x:c>
      <x:c r="H282" s="27" t="n">
        <x:v>216</x:v>
      </x:c>
      <x:c r="I282" s="27" t="n">
        <x:v>27</x:v>
      </x:c>
      <x:c r="J282" s="28" t="n">
        <x:v>1202.7038575846454</x:v>
      </x:c>
      <x:c r="K282" s="26"/>
      <x:c r="L282" s="26" t="str">
        <x:v>insufficient_span_or_epochs</x:v>
      </x:c>
      <x:c r="M282" s="26" t="str">
        <x:v>Absent from named inventory</x:v>
      </x:c>
      <x:c r="N282" s="26" t="str">
        <x:v>Absent from named inventory</x:v>
      </x:c>
      <x:c r="O282" s="26" t="str">
        <x:v>Absent from named inventory</x:v>
      </x:c>
      <x:c r="P282" s="26"/>
      <x:c r="Q282" s="26" t="str">
        <x:v>../Project Recherche Data/tpa-batch01-20260908/selection.json</x:v>
      </x:c>
      <x:c r="R282" s="26" t="str">
        <x:v>047722e4dca24e16c44c810f43990492b2f988012ca2b4bab47826ff4c95f1db</x:v>
      </x:c>
      <x:c r="S282" s="26" t="str">
        <x:v>8ee5d2cba2114fa57f95a0fe143a45ce0d1ddec3f2ba237d2b981cc834bbb709</x:v>
      </x:c>
      <x:c r="T282" s="26" t="str">
        <x:v>a484e8e0f06c6f7c57f06de538a091dcac0860c47755687d5cb7872994c2a870</x:v>
      </x:c>
    </x:row>
    <x:row r="283" ht="60" customHeight="1">
      <x:c r="A283" s="26" t="str">
        <x:v>J1428-5530</x:v>
      </x:c>
      <x:c r="B283" s="26" t="str">
        <x:v>B1424-55</x:v>
      </x:c>
      <x:c r="C283" s="26" t="str">
        <x:v>NO_TRIGGER</x:v>
      </x:c>
      <x:c r="D283" s="26" t="str">
        <x:v>utmost-batch04-20260909-J1428-5530-run01</x:v>
      </x:c>
      <x:c r="E283" s="26" t="str">
        <x:v>No qualifying signal in eligible 30–400-day cells</x:v>
      </x:c>
      <x:c r="F283" s="26" t="str">
        <x:v>Retain result; consider independent data or a separately defined new scope</x:v>
      </x:c>
      <x:c r="G283" s="26" t="str">
        <x:v>UTMOST SEARCHED</x:v>
      </x:c>
      <x:c r="H283" s="27" t="n">
        <x:v>400</x:v>
      </x:c>
      <x:c r="I283" s="27" t="n">
        <x:v>50</x:v>
      </x:c>
      <x:c r="J283" s="28" t="n">
        <x:v>1258.7744130257342</x:v>
      </x:c>
      <x:c r="K283" s="26" t="str">
        <x:v>tpa-batch06-20260908</x:v>
      </x:c>
      <x:c r="L283" s="26"/>
      <x:c r="M283" s="26" t="str">
        <x:v>Absent from named inventory</x:v>
      </x:c>
      <x:c r="N283" s="26" t="str">
        <x:v>Absent from named inventory</x:v>
      </x:c>
      <x:c r="O283" s="26" t="str">
        <x:v>Absent from named inventory</x:v>
      </x:c>
      <x:c r="P283" s="26"/>
      <x:c r="Q283" s="26" t="str">
        <x:v>../Project Recherche Data/tpa-batch06-20260908/selection.json</x:v>
      </x:c>
      <x:c r="R283" s="26" t="str">
        <x:v>aa7dc82ae2f0aa7f4ad390810d65a59ea2811f4802deb69c9130205b6466f356</x:v>
      </x:c>
      <x:c r="S283" s="26" t="str">
        <x:v>d8dbdd4c2be08bb84977e17ad17fe312826ba715d7c96a2f331045e6cba86a82</x:v>
      </x:c>
      <x:c r="T283" s="26" t="str">
        <x:v>ab03d9e2b8d7b48d6fa9a4948282dcc2bce4c99059b26a2130f47240ef4faebd</x:v>
      </x:c>
    </x:row>
    <x:row r="284" ht="60" customHeight="1">
      <x:c r="A284" s="26" t="str">
        <x:v>J1430-6623</x:v>
      </x:c>
      <x:c r="B284" s="26" t="str">
        <x:v>B1426-66</x:v>
      </x:c>
      <x:c r="C284" s="26" t="str">
        <x:v>NO_TRIGGER</x:v>
      </x:c>
      <x:c r="D284" s="26" t="str">
        <x:v>utmost-batch02-20260909-J1430-6623-run01</x:v>
      </x:c>
      <x:c r="E284" s="26" t="str">
        <x:v>No qualifying signal in eligible 30–400-day cells</x:v>
      </x:c>
      <x:c r="F284" s="26" t="str">
        <x:v>Retain result; consider independent data or a separately defined new scope</x:v>
      </x:c>
      <x:c r="G284" s="26" t="str">
        <x:v>UTMOST SEARCHED</x:v>
      </x:c>
      <x:c r="H284" s="27" t="n">
        <x:v>88</x:v>
      </x:c>
      <x:c r="I284" s="27" t="n">
        <x:v>11</x:v>
      </x:c>
      <x:c r="J284" s="28" t="n">
        <x:v>477.71851937825704</x:v>
      </x:c>
      <x:c r="K284" s="26"/>
      <x:c r="L284" s="26" t="str">
        <x:v>insufficient_span_or_epochs</x:v>
      </x:c>
      <x:c r="M284" s="26" t="str">
        <x:v>Absent from named inventory</x:v>
      </x:c>
      <x:c r="N284" s="26" t="str">
        <x:v>Absent from named inventory</x:v>
      </x:c>
      <x:c r="O284" s="26" t="str">
        <x:v>Absent from named inventory</x:v>
      </x:c>
      <x:c r="P284" s="26"/>
      <x:c r="Q284" s="26" t="str">
        <x:v>../Project Recherche Data/tpa-batch01-20260908/selection.json</x:v>
      </x:c>
      <x:c r="R284" s="26" t="str">
        <x:v>047722e4dca24e16c44c810f43990492b2f988012ca2b4bab47826ff4c95f1db</x:v>
      </x:c>
      <x:c r="S284" s="26" t="str">
        <x:v>4ab4181173f3b8ac503abb228bc660bacc41cfb672ca7cb1ffeeb48527a701fc</x:v>
      </x:c>
      <x:c r="T284" s="26" t="str">
        <x:v>3bee6edcefb2b67bde4b3f01425e988a9042adc8136f6b510a39c4dd4be9c675</x:v>
      </x:c>
    </x:row>
    <x:row r="285" ht="60" customHeight="1">
      <x:c r="A285" s="26" t="str">
        <x:v>J1435-5954</x:v>
      </x:c>
      <x:c r="B285" s="26" t="str"/>
      <x:c r="C285" s="26" t="str">
        <x:v>NO_TRIGGER</x:v>
      </x:c>
      <x:c r="D285" s="26" t="str">
        <x:v>utmost-batch03-20260909-J1435-5954-run01</x:v>
      </x:c>
      <x:c r="E285" s="26" t="str">
        <x:v>No qualifying signal in eligible 30–400-day cells</x:v>
      </x:c>
      <x:c r="F285" s="26" t="str">
        <x:v>Retain result; consider independent data or a separately defined new scope</x:v>
      </x:c>
      <x:c r="G285" s="26" t="str">
        <x:v>UTMOST SEARCHED</x:v>
      </x:c>
      <x:c r="H285" s="27" t="n">
        <x:v>208</x:v>
      </x:c>
      <x:c r="I285" s="27" t="n">
        <x:v>26</x:v>
      </x:c>
      <x:c r="J285" s="28" t="n">
        <x:v>1200.5326740592136</x:v>
      </x:c>
      <x:c r="K285" s="26"/>
      <x:c r="L285" s="26" t="str">
        <x:v>insufficient_span_or_epochs</x:v>
      </x:c>
      <x:c r="M285" s="26" t="str">
        <x:v>Absent from named inventory</x:v>
      </x:c>
      <x:c r="N285" s="26" t="str">
        <x:v>Absent from named inventory</x:v>
      </x:c>
      <x:c r="O285" s="26" t="str">
        <x:v>Absent from named inventory</x:v>
      </x:c>
      <x:c r="P285" s="26"/>
      <x:c r="Q285" s="26" t="str">
        <x:v>../Project Recherche Data/tpa-batch01-20260908/selection.json</x:v>
      </x:c>
      <x:c r="R285" s="26" t="str">
        <x:v>047722e4dca24e16c44c810f43990492b2f988012ca2b4bab47826ff4c95f1db</x:v>
      </x:c>
      <x:c r="S285" s="26" t="str">
        <x:v>99b7f1650f5d5be9cb1c3b2e5426ec88f4216613ced6907f789d53ada7c80139</x:v>
      </x:c>
      <x:c r="T285" s="26" t="str">
        <x:v>ecd16851f40eeca743353bda4c0c05cac3532c4d023f1345096ee36116ee9e57</x:v>
      </x:c>
    </x:row>
    <x:row r="286" ht="60" customHeight="1">
      <x:c r="A286" s="26" t="str">
        <x:v>J1443-5122</x:v>
      </x:c>
      <x:c r="B286" s="26" t="str"/>
      <x:c r="C286" s="26" t="str">
        <x:v>NOT_SEARCHED</x:v>
      </x:c>
      <x:c r="D286" s="26"/>
      <x:c r="E286" s="26" t="str">
        <x:v>No observed search</x:v>
      </x:c>
      <x:c r="F286" s="26" t="str">
        <x:v>Retain exclusion for current scope</x:v>
      </x:c>
      <x:c r="G286" s="26" t="str">
        <x:v>TPA EXCLUDED</x:v>
      </x:c>
      <x:c r="H286" s="27" t="n">
        <x:v>199</x:v>
      </x:c>
      <x:c r="I286" s="27" t="n">
        <x:v>28</x:v>
      </x:c>
      <x:c r="J286" s="28" t="n">
        <x:v>1202.6863107202807</x:v>
      </x:c>
      <x:c r="K286" s="26"/>
      <x:c r="L286" s="26" t="str">
        <x:v>insufficient_span_or_epochs</x:v>
      </x:c>
      <x:c r="M286" s="26" t="str">
        <x:v>Absent from named inventory</x:v>
      </x:c>
      <x:c r="N286" s="26" t="str">
        <x:v>Absent from named inventory</x:v>
      </x:c>
      <x:c r="O286" s="26" t="str">
        <x:v>Absent from named inventory</x:v>
      </x:c>
      <x:c r="P286" s="26"/>
      <x:c r="Q286" s="26" t="str">
        <x:v>../Project Recherche Data/tpa-batch01-20260908/selection.json</x:v>
      </x:c>
      <x:c r="R286" s="26" t="str">
        <x:v>047722e4dca24e16c44c810f43990492b2f988012ca2b4bab47826ff4c95f1db</x:v>
      </x:c>
      <x:c r="S286" s="26" t="str">
        <x:v>6aba32988a8757ed410389340655f409c93980ad06d5ea7cd5ec57291050d298</x:v>
      </x:c>
      <x:c r="T286" s="26" t="str">
        <x:v>b3fc75cecb8994c094747523e9f8d84954cff1f8289d6e39e03c4528c66b1840</x:v>
      </x:c>
    </x:row>
    <x:row r="287" ht="60" customHeight="1">
      <x:c r="A287" s="26" t="str">
        <x:v>J1452-6036</x:v>
      </x:c>
      <x:c r="B287" s="26" t="str"/>
      <x:c r="C287" s="26" t="str">
        <x:v>NOT_SEARCHED</x:v>
      </x:c>
      <x:c r="D287" s="26"/>
      <x:c r="E287" s="26" t="str">
        <x:v>No observed search</x:v>
      </x:c>
      <x:c r="F287" s="26" t="str">
        <x:v>Retain exclusion for current scope</x:v>
      </x:c>
      <x:c r="G287" s="26" t="str">
        <x:v>TPA EXCLUDED</x:v>
      </x:c>
      <x:c r="H287" s="27" t="n">
        <x:v>80</x:v>
      </x:c>
      <x:c r="I287" s="27" t="n">
        <x:v>10</x:v>
      </x:c>
      <x:c r="J287" s="28" t="n">
        <x:v>477.71161450198997</x:v>
      </x:c>
      <x:c r="K287" s="26"/>
      <x:c r="L287" s="26" t="str">
        <x:v>insufficient_span_or_epochs</x:v>
      </x:c>
      <x:c r="M287" s="26" t="str">
        <x:v>Absent from named inventory</x:v>
      </x:c>
      <x:c r="N287" s="26" t="str">
        <x:v>Absent from named inventory</x:v>
      </x:c>
      <x:c r="O287" s="26" t="str">
        <x:v>Absent from named inventory</x:v>
      </x:c>
      <x:c r="P287" s="26"/>
      <x:c r="Q287" s="26" t="str">
        <x:v>../Project Recherche Data/tpa-batch01-20260908/selection.json</x:v>
      </x:c>
      <x:c r="R287" s="26" t="str">
        <x:v>047722e4dca24e16c44c810f43990492b2f988012ca2b4bab47826ff4c95f1db</x:v>
      </x:c>
      <x:c r="S287" s="26" t="str">
        <x:v>e52cbd372c8ecd70a7bb51d0077d9c4271d593b7c199e11159c8b45ff662bf9a</x:v>
      </x:c>
      <x:c r="T287" s="26" t="str">
        <x:v>044d29735f248c6f5aacae8ac91cff5eb0366f2e31f6a215bb8ee02b975df311</x:v>
      </x:c>
    </x:row>
    <x:row r="288" ht="60" customHeight="1">
      <x:c r="A288" s="26" t="str">
        <x:v>J1453-6413</x:v>
      </x:c>
      <x:c r="B288" s="26" t="str">
        <x:v>B1449-64</x:v>
      </x:c>
      <x:c r="C288" s="26" t="str">
        <x:v>NO_TRIGGER</x:v>
      </x:c>
      <x:c r="D288" s="26" t="str">
        <x:v>utmost-preparation01-20260909-J1453-6413-run01</x:v>
      </x:c>
      <x:c r="E288" s="26" t="str">
        <x:v>No qualifying signal in eligible 30–400-day cells</x:v>
      </x:c>
      <x:c r="F288" s="26" t="str">
        <x:v>Retain result; consider independent data or a separately defined new scope</x:v>
      </x:c>
      <x:c r="G288" s="26" t="str">
        <x:v>UTMOST SEARCHED; TPA EXCLUSION RETAINED</x:v>
      </x:c>
      <x:c r="H288" s="27" t="n">
        <x:v>104</x:v>
      </x:c>
      <x:c r="I288" s="27" t="n">
        <x:v>13</x:v>
      </x:c>
      <x:c r="J288" s="28" t="n">
        <x:v>477.7152829903498</x:v>
      </x:c>
      <x:c r="K288" s="26"/>
      <x:c r="L288" s="26" t="str">
        <x:v>published_glitch, insufficient_span_or_epochs</x:v>
      </x:c>
      <x:c r="M288" s="26" t="str">
        <x:v>Absent from named inventory</x:v>
      </x:c>
      <x:c r="N288" s="26" t="str">
        <x:v>Absent from named inventory</x:v>
      </x:c>
      <x:c r="O288" s="26" t="str">
        <x:v>Absent from named inventory</x:v>
      </x:c>
      <x:c r="P288" s="26"/>
      <x:c r="Q288" s="26" t="str">
        <x:v>../Project Recherche Data/tpa-batch01-20260908/selection.json</x:v>
      </x:c>
      <x:c r="R288" s="26" t="str">
        <x:v>047722e4dca24e16c44c810f43990492b2f988012ca2b4bab47826ff4c95f1db</x:v>
      </x:c>
      <x:c r="S288" s="26" t="str">
        <x:v>83d0d4ca9550226921954b3444ceee829420791c63c47e5f971b81478df5464f</x:v>
      </x:c>
      <x:c r="T288" s="26" t="str">
        <x:v>341d0ece105900a98360070d0fa045713c82fe52fcde6a0462b30e69d58cc86d</x:v>
      </x:c>
    </x:row>
    <x:row r="289" ht="60" customHeight="1">
      <x:c r="A289" s="26" t="str">
        <x:v>J1456-6843</x:v>
      </x:c>
      <x:c r="B289" s="26" t="str">
        <x:v>B1451-68</x:v>
      </x:c>
      <x:c r="C289" s="26" t="str">
        <x:v>NO_TRIGGER</x:v>
      </x:c>
      <x:c r="D289" s="26" t="str">
        <x:v>utmost-batch04-20260909-J1456-6843-run01</x:v>
      </x:c>
      <x:c r="E289" s="26" t="str">
        <x:v>No qualifying signal in eligible 30–400-day cells</x:v>
      </x:c>
      <x:c r="F289" s="26" t="str">
        <x:v>Retain result; consider independent data or a separately defined new scope</x:v>
      </x:c>
      <x:c r="G289" s="26" t="str">
        <x:v>UTMOST SEARCHED</x:v>
      </x:c>
      <x:c r="H289" s="27" t="n">
        <x:v>400</x:v>
      </x:c>
      <x:c r="I289" s="27" t="n">
        <x:v>50</x:v>
      </x:c>
      <x:c r="J289" s="28" t="n">
        <x:v>1258.733979426237</x:v>
      </x:c>
      <x:c r="K289" s="26" t="str">
        <x:v>tpa-batch05-20260908</x:v>
      </x:c>
      <x:c r="L289" s="26"/>
      <x:c r="M289" s="26" t="str">
        <x:v>Absent from named inventory</x:v>
      </x:c>
      <x:c r="N289" s="26" t="str">
        <x:v>Absent from named inventory</x:v>
      </x:c>
      <x:c r="O289" s="26" t="str">
        <x:v>Absent from named inventory</x:v>
      </x:c>
      <x:c r="P289" s="26"/>
      <x:c r="Q289" s="26" t="str">
        <x:v>../Project Recherche Data/tpa-batch05-20260908/selection.json</x:v>
      </x:c>
      <x:c r="R289" s="26" t="str">
        <x:v>1212bfb743fa2d3f16f95056ab4d3c2b52ec5dd997358fe385b8fd00313b3907</x:v>
      </x:c>
      <x:c r="S289" s="26" t="str">
        <x:v>8f56cb813a265522153c8f6b75b26cb259ae20a67524b3dcda91f87df9c5a351</x:v>
      </x:c>
      <x:c r="T289" s="26" t="str">
        <x:v>73deb2284a883454cdc03b06c11dface893441530e234c487550a66b16b76485</x:v>
      </x:c>
    </x:row>
    <x:row r="290" ht="60" customHeight="1">
      <x:c r="A290" s="26" t="str">
        <x:v>J1502-5653</x:v>
      </x:c>
      <x:c r="B290" s="26" t="str"/>
      <x:c r="C290" s="26" t="str">
        <x:v>NOT_SEARCHED</x:v>
      </x:c>
      <x:c r="D290" s="26"/>
      <x:c r="E290" s="26" t="str">
        <x:v>No observed search</x:v>
      </x:c>
      <x:c r="F290" s="26" t="str">
        <x:v>Retain exclusion for current scope</x:v>
      </x:c>
      <x:c r="G290" s="26" t="str">
        <x:v>TPA EXCLUDED</x:v>
      </x:c>
      <x:c r="H290" s="27" t="n">
        <x:v>80</x:v>
      </x:c>
      <x:c r="I290" s="27" t="n">
        <x:v>10</x:v>
      </x:c>
      <x:c r="J290" s="28" t="n">
        <x:v>1225.5893418654887</x:v>
      </x:c>
      <x:c r="K290" s="26"/>
      <x:c r="L290" s="26" t="str">
        <x:v>insufficient_span_or_epochs</x:v>
      </x:c>
      <x:c r="M290" s="26" t="str">
        <x:v>Absent from named inventory</x:v>
      </x:c>
      <x:c r="N290" s="26" t="str">
        <x:v>Absent from named inventory</x:v>
      </x:c>
      <x:c r="O290" s="26" t="str">
        <x:v>Absent from named inventory</x:v>
      </x:c>
      <x:c r="P290" s="26"/>
      <x:c r="Q290" s="26" t="str">
        <x:v>../Project Recherche Data/tpa-batch01-20260908/selection.json</x:v>
      </x:c>
      <x:c r="R290" s="26" t="str">
        <x:v>047722e4dca24e16c44c810f43990492b2f988012ca2b4bab47826ff4c95f1db</x:v>
      </x:c>
      <x:c r="S290" s="26" t="str">
        <x:v>0e69dc34a8f61ece34edab14f6043b974b5a49bef415221ff3d86628532a78b3</x:v>
      </x:c>
      <x:c r="T290" s="26" t="str">
        <x:v>d02c5d356791cf20f3741877a972f115d785e37f99090e95a6abadb83b4ca28d</x:v>
      </x:c>
    </x:row>
    <x:row r="291" ht="60" customHeight="1">
      <x:c r="A291" s="26" t="str">
        <x:v>J1502-6128</x:v>
      </x:c>
      <x:c r="B291" s="26" t="str"/>
      <x:c r="C291" s="26" t="str">
        <x:v>NOT_SEARCHED</x:v>
      </x:c>
      <x:c r="D291" s="26"/>
      <x:c r="E291" s="26" t="str">
        <x:v>No observed search</x:v>
      </x:c>
      <x:c r="F291" s="26" t="str">
        <x:v>Retain exclusion for current scope</x:v>
      </x:c>
      <x:c r="G291" s="26" t="str">
        <x:v>TPA EXCLUDED</x:v>
      </x:c>
      <x:c r="H291" s="27" t="n">
        <x:v>248</x:v>
      </x:c>
      <x:c r="I291" s="27" t="n">
        <x:v>31</x:v>
      </x:c>
      <x:c r="J291" s="28" t="n">
        <x:v>1355.2316848267074</x:v>
      </x:c>
      <x:c r="K291" s="26"/>
      <x:c r="L291" s="26" t="str">
        <x:v>insufficient_span_or_epochs</x:v>
      </x:c>
      <x:c r="M291" s="26" t="str">
        <x:v>Absent from named inventory</x:v>
      </x:c>
      <x:c r="N291" s="26" t="str">
        <x:v>Absent from named inventory</x:v>
      </x:c>
      <x:c r="O291" s="26" t="str">
        <x:v>Absent from named inventory</x:v>
      </x:c>
      <x:c r="P291" s="26"/>
      <x:c r="Q291" s="26" t="str">
        <x:v>../Project Recherche Data/tpa-batch01-20260908/selection.json</x:v>
      </x:c>
      <x:c r="R291" s="26" t="str">
        <x:v>047722e4dca24e16c44c810f43990492b2f988012ca2b4bab47826ff4c95f1db</x:v>
      </x:c>
      <x:c r="S291" s="26" t="str">
        <x:v>3df7098b1201ae4f4c123eb6918456f15d8ce4d9265c0428fc9ee2317a5aae7b</x:v>
      </x:c>
      <x:c r="T291" s="26" t="str">
        <x:v>70d4e9a5e2bc5cda0852cf825a582dd168aa4770b0ea096168ecbf3983d3794d</x:v>
      </x:c>
    </x:row>
    <x:row r="292" ht="60" customHeight="1">
      <x:c r="A292" s="26" t="str">
        <x:v>J1507-4352</x:v>
      </x:c>
      <x:c r="B292" s="26" t="str">
        <x:v>B1504-43</x:v>
      </x:c>
      <x:c r="C292" s="26" t="str">
        <x:v>NO_TRIGGER</x:v>
      </x:c>
      <x:c r="D292" s="26" t="str">
        <x:v>tpa-batch03-20260908-J1507-4352-run01</x:v>
      </x:c>
      <x:c r="E292" s="26" t="str">
        <x:v>No qualifying signal in eligible 30–400-day cells</x:v>
      </x:c>
      <x:c r="F292" s="26" t="str">
        <x:v>Retain result; consider independent data or a separately defined new scope</x:v>
      </x:c>
      <x:c r="G292" s="26" t="str">
        <x:v>SEARCHED</x:v>
      </x:c>
      <x:c r="H292" s="27" t="n">
        <x:v>418</x:v>
      </x:c>
      <x:c r="I292" s="27" t="n">
        <x:v>54</x:v>
      </x:c>
      <x:c r="J292" s="28" t="n">
        <x:v>1290.52607432496</x:v>
      </x:c>
      <x:c r="K292" s="26" t="str">
        <x:v>tpa-batch03-20260908</x:v>
      </x:c>
      <x:c r="L292" s="26"/>
      <x:c r="M292" s="26" t="str">
        <x:v>Absent from named inventory</x:v>
      </x:c>
      <x:c r="N292" s="26" t="str">
        <x:v>Absent from named inventory</x:v>
      </x:c>
      <x:c r="O292" s="26" t="str">
        <x:v>Absent from named inventory</x:v>
      </x:c>
      <x:c r="P292" s="26"/>
      <x:c r="Q292" s="26" t="str">
        <x:v>../Project Recherche Data/tpa-batch03-20260908/selection.json</x:v>
      </x:c>
      <x:c r="R292" s="26" t="str">
        <x:v>1cf7dc46e02f8f80971416baec3f4bb7357340d0174269b7b50fc11887c0df28</x:v>
      </x:c>
      <x:c r="S292" s="26" t="str">
        <x:v>5da820fbcfac0bc07b9a8d6d2972479bc3624cec179cf3c47ae1c515d05a651e</x:v>
      </x:c>
      <x:c r="T292" s="26" t="str">
        <x:v>f3662968586e1b2851b3569a1e391ecf1491a29c37ac4545e4043bac44d771c0</x:v>
      </x:c>
    </x:row>
    <x:row r="293" ht="60" customHeight="1">
      <x:c r="A293" s="26" t="str">
        <x:v>J1507-6640</x:v>
      </x:c>
      <x:c r="B293" s="26" t="str">
        <x:v>B1503-66</x:v>
      </x:c>
      <x:c r="C293" s="26" t="str">
        <x:v>NOT_SEARCHED</x:v>
      </x:c>
      <x:c r="D293" s="26"/>
      <x:c r="E293" s="26" t="str">
        <x:v>No observed search</x:v>
      </x:c>
      <x:c r="F293" s="26" t="str">
        <x:v>Retain exclusion for current scope</x:v>
      </x:c>
      <x:c r="G293" s="26" t="str">
        <x:v>TPA EXCLUDED</x:v>
      </x:c>
      <x:c r="H293" s="27" t="n">
        <x:v>424</x:v>
      </x:c>
      <x:c r="I293" s="27" t="n">
        <x:v>53</x:v>
      </x:c>
      <x:c r="J293" s="28" t="n">
        <x:v>1194.8236081290452</x:v>
      </x:c>
      <x:c r="K293" s="26"/>
      <x:c r="L293" s="26" t="str">
        <x:v>insufficient_span_or_epochs</x:v>
      </x:c>
      <x:c r="M293" s="26" t="str">
        <x:v>Absent from named inventory</x:v>
      </x:c>
      <x:c r="N293" s="26" t="str">
        <x:v>Absent from named inventory</x:v>
      </x:c>
      <x:c r="O293" s="26" t="str">
        <x:v>Absent from named inventory</x:v>
      </x:c>
      <x:c r="P293" s="26"/>
      <x:c r="Q293" s="26" t="str">
        <x:v>../Project Recherche Data/tpa-batch01-20260908/selection.json</x:v>
      </x:c>
      <x:c r="R293" s="26" t="str">
        <x:v>047722e4dca24e16c44c810f43990492b2f988012ca2b4bab47826ff4c95f1db</x:v>
      </x:c>
      <x:c r="S293" s="26" t="str">
        <x:v>c89686d311af65e4ddd7ec0e4e896a4e794f23122687814d9db8d8309fecdc54</x:v>
      </x:c>
      <x:c r="T293" s="26" t="str">
        <x:v>34b1948709be8ed4dfab00eec7bd3a1068fe44124b0bf3c19e2ef3a2bd82b4c0</x:v>
      </x:c>
    </x:row>
    <x:row r="294" ht="60" customHeight="1">
      <x:c r="A294" s="26" t="str">
        <x:v>J1511-5414</x:v>
      </x:c>
      <x:c r="B294" s="26" t="str"/>
      <x:c r="C294" s="26" t="str">
        <x:v>NOT_SEARCHED</x:v>
      </x:c>
      <x:c r="D294" s="26"/>
      <x:c r="E294" s="26" t="str">
        <x:v>No observed search</x:v>
      </x:c>
      <x:c r="F294" s="26" t="str">
        <x:v>Retain exclusion for current scope</x:v>
      </x:c>
      <x:c r="G294" s="26" t="str">
        <x:v>TPA EXCLUDED</x:v>
      </x:c>
      <x:c r="H294" s="27" t="n">
        <x:v>232</x:v>
      </x:c>
      <x:c r="I294" s="27" t="n">
        <x:v>29</x:v>
      </x:c>
      <x:c r="J294" s="28" t="n">
        <x:v>1278.4351829989973</x:v>
      </x:c>
      <x:c r="K294" s="26"/>
      <x:c r="L294" s="26" t="str">
        <x:v>insufficient_span_or_epochs</x:v>
      </x:c>
      <x:c r="M294" s="26" t="str">
        <x:v>Absent from named inventory</x:v>
      </x:c>
      <x:c r="N294" s="26" t="str">
        <x:v>Absent from named inventory</x:v>
      </x:c>
      <x:c r="O294" s="26" t="str">
        <x:v>Absent from named inventory</x:v>
      </x:c>
      <x:c r="P294" s="26"/>
      <x:c r="Q294" s="26" t="str">
        <x:v>../Project Recherche Data/tpa-batch01-20260908/selection.json</x:v>
      </x:c>
      <x:c r="R294" s="26" t="str">
        <x:v>047722e4dca24e16c44c810f43990492b2f988012ca2b4bab47826ff4c95f1db</x:v>
      </x:c>
      <x:c r="S294" s="26" t="str">
        <x:v>79fcf89275a00d0941164d9d70a0c3a7cb0d0efd756d34b5dc04a0bc82f13874</x:v>
      </x:c>
      <x:c r="T294" s="26" t="str">
        <x:v>eae1c328c1127ebad685d5d80176e713adc66a216895cfe316edeb013bee828b</x:v>
      </x:c>
    </x:row>
    <x:row r="295" ht="60" customHeight="1">
      <x:c r="A295" s="26" t="str">
        <x:v>J1512-5431</x:v>
      </x:c>
      <x:c r="B295" s="26" t="str"/>
      <x:c r="C295" s="26" t="str">
        <x:v>NOT_SEARCHED</x:v>
      </x:c>
      <x:c r="D295" s="26"/>
      <x:c r="E295" s="26" t="str">
        <x:v>No observed search</x:v>
      </x:c>
      <x:c r="F295" s="26" t="str">
        <x:v>Retain exclusion for current scope</x:v>
      </x:c>
      <x:c r="G295" s="26" t="str">
        <x:v>TPA EXCLUDED</x:v>
      </x:c>
      <x:c r="H295" s="27" t="n">
        <x:v>236</x:v>
      </x:c>
      <x:c r="I295" s="27" t="n">
        <x:v>31</x:v>
      </x:c>
      <x:c r="J295" s="28" t="n">
        <x:v>1355.2434326549483</x:v>
      </x:c>
      <x:c r="K295" s="26"/>
      <x:c r="L295" s="26" t="str">
        <x:v>insufficient_span_or_epochs</x:v>
      </x:c>
      <x:c r="M295" s="26" t="str">
        <x:v>Absent from named inventory</x:v>
      </x:c>
      <x:c r="N295" s="26" t="str">
        <x:v>Absent from named inventory</x:v>
      </x:c>
      <x:c r="O295" s="26" t="str">
        <x:v>Absent from named inventory</x:v>
      </x:c>
      <x:c r="P295" s="26"/>
      <x:c r="Q295" s="26" t="str">
        <x:v>../Project Recherche Data/tpa-batch01-20260908/selection.json</x:v>
      </x:c>
      <x:c r="R295" s="26" t="str">
        <x:v>047722e4dca24e16c44c810f43990492b2f988012ca2b4bab47826ff4c95f1db</x:v>
      </x:c>
      <x:c r="S295" s="26" t="str">
        <x:v>14e4d95a77c365ad63cb396520bf6dd415245d25f71ed3e1e166490dd575b6a6</x:v>
      </x:c>
      <x:c r="T295" s="26" t="str">
        <x:v>d4174089864bd2026229040f34dcb033b1464b82bbaf4c352160b5f7799356b4</x:v>
      </x:c>
    </x:row>
    <x:row r="296" ht="60" customHeight="1">
      <x:c r="A296" s="26" t="str">
        <x:v>J1513-5739</x:v>
      </x:c>
      <x:c r="B296" s="26" t="str"/>
      <x:c r="C296" s="26" t="str">
        <x:v>NO_TRIGGER</x:v>
      </x:c>
      <x:c r="D296" s="26" t="str">
        <x:v>tpa-batch05-20260908-J1513-5739-run01</x:v>
      </x:c>
      <x:c r="E296" s="26" t="str">
        <x:v>No qualifying signal in eligible 30–400-day cells</x:v>
      </x:c>
      <x:c r="F296" s="26" t="str">
        <x:v>Retain result; consider independent data or a separately defined new scope</x:v>
      </x:c>
      <x:c r="G296" s="26" t="str">
        <x:v>SEARCHED</x:v>
      </x:c>
      <x:c r="H296" s="27" t="n">
        <x:v>430</x:v>
      </x:c>
      <x:c r="I296" s="27" t="n">
        <x:v>54</x:v>
      </x:c>
      <x:c r="J296" s="28" t="n">
        <x:v>1290.493239635587</x:v>
      </x:c>
      <x:c r="K296" s="26" t="str">
        <x:v>tpa-batch05-20260908</x:v>
      </x:c>
      <x:c r="L296" s="26"/>
      <x:c r="M296" s="26" t="str">
        <x:v>Absent from named inventory</x:v>
      </x:c>
      <x:c r="N296" s="26" t="str">
        <x:v>Absent from named inventory</x:v>
      </x:c>
      <x:c r="O296" s="26" t="str">
        <x:v>Absent from named inventory</x:v>
      </x:c>
      <x:c r="P296" s="26"/>
      <x:c r="Q296" s="26" t="str">
        <x:v>../Project Recherche Data/tpa-batch05-20260908/selection.json</x:v>
      </x:c>
      <x:c r="R296" s="26" t="str">
        <x:v>1212bfb743fa2d3f16f95056ab4d3c2b52ec5dd997358fe385b8fd00313b3907</x:v>
      </x:c>
      <x:c r="S296" s="26" t="str">
        <x:v>960bee2c8ac777c6edc69b5ad31e192928e60599a33b2f70d33bfdd826f904af</x:v>
      </x:c>
      <x:c r="T296" s="26" t="str">
        <x:v>b78ce125b0133093bac812049323ff9603f12614f31793bc5952a4642e2677c3</x:v>
      </x:c>
    </x:row>
    <x:row r="297" ht="60" customHeight="1">
      <x:c r="A297" s="26" t="str">
        <x:v>J1513-5908</x:v>
      </x:c>
      <x:c r="B297" s="26" t="str">
        <x:v>B1509-58</x:v>
      </x:c>
      <x:c r="C297" s="26" t="str">
        <x:v>NOT_SEARCHED</x:v>
      </x:c>
      <x:c r="D297" s="26"/>
      <x:c r="E297" s="26" t="str">
        <x:v>No observed search</x:v>
      </x:c>
      <x:c r="F297" s="26" t="str">
        <x:v>Retain exclusion for current scope</x:v>
      </x:c>
      <x:c r="G297" s="26" t="str">
        <x:v>TPA EXCLUDED</x:v>
      </x:c>
      <x:c r="H297" s="27" t="n">
        <x:v>240</x:v>
      </x:c>
      <x:c r="I297" s="27" t="n">
        <x:v>30</x:v>
      </x:c>
      <x:c r="J297" s="28" t="n">
        <x:v>1223.2023056680482</x:v>
      </x:c>
      <x:c r="K297" s="26"/>
      <x:c r="L297" s="26" t="str">
        <x:v>insufficient_span_or_epochs</x:v>
      </x:c>
      <x:c r="M297" s="26" t="str">
        <x:v>Absent from named inventory</x:v>
      </x:c>
      <x:c r="N297" s="26" t="str">
        <x:v>Absent from named inventory</x:v>
      </x:c>
      <x:c r="O297" s="26" t="str">
        <x:v>Absent from named inventory</x:v>
      </x:c>
      <x:c r="P297" s="26"/>
      <x:c r="Q297" s="26" t="str">
        <x:v>../Project Recherche Data/tpa-batch01-20260908/selection.json</x:v>
      </x:c>
      <x:c r="R297" s="26" t="str">
        <x:v>047722e4dca24e16c44c810f43990492b2f988012ca2b4bab47826ff4c95f1db</x:v>
      </x:c>
      <x:c r="S297" s="26" t="str">
        <x:v>208dabbeeba83e4a58a47c1290cf1a112dab501896cf32860e0831be9193c645</x:v>
      </x:c>
      <x:c r="T297" s="26" t="str">
        <x:v>22973f9f3aaa879eeab3ca30ad627e84963a6fb696f0177391381be1ff1cee48</x:v>
      </x:c>
    </x:row>
    <x:row r="298" ht="60" customHeight="1">
      <x:c r="A298" s="26" t="str">
        <x:v>J1514-4834</x:v>
      </x:c>
      <x:c r="B298" s="26" t="str">
        <x:v>B1510-48</x:v>
      </x:c>
      <x:c r="C298" s="26" t="str">
        <x:v>NO_TRIGGER</x:v>
      </x:c>
      <x:c r="D298" s="26" t="str">
        <x:v>tpa-batch03-20260908-J1514-4834-run01</x:v>
      </x:c>
      <x:c r="E298" s="26" t="str">
        <x:v>No qualifying signal in eligible 30–400-day cells</x:v>
      </x:c>
      <x:c r="F298" s="26" t="str">
        <x:v>Retain result; consider independent data or a separately defined new scope</x:v>
      </x:c>
      <x:c r="G298" s="26" t="str">
        <x:v>SEARCHED</x:v>
      </x:c>
      <x:c r="H298" s="27" t="n">
        <x:v>440</x:v>
      </x:c>
      <x:c r="I298" s="27" t="n">
        <x:v>55</x:v>
      </x:c>
      <x:c r="J298" s="28" t="n">
        <x:v>1290.5026322918711</x:v>
      </x:c>
      <x:c r="K298" s="26" t="str">
        <x:v>tpa-batch03-20260908</x:v>
      </x:c>
      <x:c r="L298" s="26"/>
      <x:c r="M298" s="26" t="str">
        <x:v>Absent from named inventory</x:v>
      </x:c>
      <x:c r="N298" s="26" t="str">
        <x:v>Absent from named inventory</x:v>
      </x:c>
      <x:c r="O298" s="26" t="str">
        <x:v>Absent from named inventory</x:v>
      </x:c>
      <x:c r="P298" s="26"/>
      <x:c r="Q298" s="26" t="str">
        <x:v>../Project Recherche Data/tpa-batch03-20260908/selection.json</x:v>
      </x:c>
      <x:c r="R298" s="26" t="str">
        <x:v>1cf7dc46e02f8f80971416baec3f4bb7357340d0174269b7b50fc11887c0df28</x:v>
      </x:c>
      <x:c r="S298" s="26" t="str">
        <x:v>cf395207d524dc1c3d283f5a503c0cf19f0dfbe3ad0545e2e2b1e02f25eca106</x:v>
      </x:c>
      <x:c r="T298" s="26" t="str">
        <x:v>dd6f37ca0a47477caafbab24d04e2de5a0aeacd33f5358c2275a13f4773307eb</x:v>
      </x:c>
    </x:row>
    <x:row r="299" ht="60" customHeight="1">
      <x:c r="A299" s="26" t="str">
        <x:v>J1517-4356</x:v>
      </x:c>
      <x:c r="B299" s="26" t="str"/>
      <x:c r="C299" s="26" t="str">
        <x:v>NOT_SEARCHED</x:v>
      </x:c>
      <x:c r="D299" s="26"/>
      <x:c r="E299" s="26" t="str">
        <x:v>No observed search</x:v>
      </x:c>
      <x:c r="F299" s="26" t="str">
        <x:v>Retain exclusion for current scope</x:v>
      </x:c>
      <x:c r="G299" s="26" t="str">
        <x:v>TPA EXCLUDED</x:v>
      </x:c>
      <x:c r="H299" s="27" t="n">
        <x:v>223</x:v>
      </x:c>
      <x:c r="I299" s="27" t="n">
        <x:v>28</x:v>
      </x:c>
      <x:c r="J299" s="28" t="n">
        <x:v>1142.9228529393804</x:v>
      </x:c>
      <x:c r="K299" s="26"/>
      <x:c r="L299" s="26" t="str">
        <x:v>insufficient_span_or_epochs</x:v>
      </x:c>
      <x:c r="M299" s="26" t="str">
        <x:v>Absent from named inventory</x:v>
      </x:c>
      <x:c r="N299" s="26" t="str">
        <x:v>Absent from named inventory</x:v>
      </x:c>
      <x:c r="O299" s="26" t="str">
        <x:v>Absent from named inventory</x:v>
      </x:c>
      <x:c r="P299" s="26"/>
      <x:c r="Q299" s="26" t="str">
        <x:v>../Project Recherche Data/tpa-batch01-20260908/selection.json</x:v>
      </x:c>
      <x:c r="R299" s="26" t="str">
        <x:v>047722e4dca24e16c44c810f43990492b2f988012ca2b4bab47826ff4c95f1db</x:v>
      </x:c>
      <x:c r="S299" s="26" t="str">
        <x:v>9d1b56354e2065c8c6ec3f582eb406638e5e3c13c394dbb47401964377781d2b</x:v>
      </x:c>
      <x:c r="T299" s="26" t="str">
        <x:v>000abf8a87677f2e46098d1469fe588c7077c3c76e5efd9027af97ce7b0b8802</x:v>
      </x:c>
    </x:row>
    <x:row r="300" ht="60" customHeight="1">
      <x:c r="A300" s="26" t="str">
        <x:v>J1517-4636</x:v>
      </x:c>
      <x:c r="B300" s="26" t="str"/>
      <x:c r="C300" s="26" t="str">
        <x:v>NOT_SEARCHED</x:v>
      </x:c>
      <x:c r="D300" s="26"/>
      <x:c r="E300" s="26" t="str">
        <x:v>No observed search</x:v>
      </x:c>
      <x:c r="F300" s="26" t="str">
        <x:v>Retain exclusion for current scope</x:v>
      </x:c>
      <x:c r="G300" s="26" t="str">
        <x:v>TPA EXCLUDED</x:v>
      </x:c>
      <x:c r="H300" s="27" t="n">
        <x:v>254</x:v>
      </x:c>
      <x:c r="I300" s="27" t="n">
        <x:v>32</x:v>
      </x:c>
      <x:c r="J300" s="28" t="n">
        <x:v>1440.0802411922123</x:v>
      </x:c>
      <x:c r="K300" s="26"/>
      <x:c r="L300" s="26" t="str">
        <x:v>insufficient_span_or_epochs</x:v>
      </x:c>
      <x:c r="M300" s="26" t="str">
        <x:v>Absent from named inventory</x:v>
      </x:c>
      <x:c r="N300" s="26" t="str">
        <x:v>Absent from named inventory</x:v>
      </x:c>
      <x:c r="O300" s="26" t="str">
        <x:v>Absent from named inventory</x:v>
      </x:c>
      <x:c r="P300" s="26"/>
      <x:c r="Q300" s="26" t="str">
        <x:v>../Project Recherche Data/tpa-batch01-20260908/selection.json</x:v>
      </x:c>
      <x:c r="R300" s="26" t="str">
        <x:v>047722e4dca24e16c44c810f43990492b2f988012ca2b4bab47826ff4c95f1db</x:v>
      </x:c>
      <x:c r="S300" s="26" t="str">
        <x:v>d4b22be74ad641cfc1a063e37d29dd8522649e4c72706f5e0a36d26e6a245fe8</x:v>
      </x:c>
      <x:c r="T300" s="26" t="str">
        <x:v>8da107c854d016d7278ac9232c3735b089a63999bd0e6bf66fdfcf153c98d5c1</x:v>
      </x:c>
    </x:row>
    <x:row r="301" ht="60" customHeight="1">
      <x:c r="A301" s="26" t="str">
        <x:v>J1518-3952</x:v>
      </x:c>
      <x:c r="B301" s="26" t="str"/>
      <x:c r="C301" s="26" t="str">
        <x:v>NOT_SEARCHED</x:v>
      </x:c>
      <x:c r="D301" s="26"/>
      <x:c r="E301" s="26" t="str">
        <x:v>No observed search</x:v>
      </x:c>
      <x:c r="F301" s="26" t="str">
        <x:v>Retain exclusion for current scope</x:v>
      </x:c>
      <x:c r="G301" s="26" t="str">
        <x:v>TPA EXCLUDED</x:v>
      </x:c>
      <x:c r="H301" s="27" t="n">
        <x:v>232</x:v>
      </x:c>
      <x:c r="I301" s="27" t="n">
        <x:v>29</x:v>
      </x:c>
      <x:c r="J301" s="28" t="n">
        <x:v>1185.0909947726977</x:v>
      </x:c>
      <x:c r="K301" s="26"/>
      <x:c r="L301" s="26" t="str">
        <x:v>insufficient_span_or_epochs</x:v>
      </x:c>
      <x:c r="M301" s="26" t="str">
        <x:v>Absent from named inventory</x:v>
      </x:c>
      <x:c r="N301" s="26" t="str">
        <x:v>Absent from named inventory</x:v>
      </x:c>
      <x:c r="O301" s="26" t="str">
        <x:v>Absent from named inventory</x:v>
      </x:c>
      <x:c r="P301" s="26"/>
      <x:c r="Q301" s="26" t="str">
        <x:v>../Project Recherche Data/tpa-batch01-20260908/selection.json</x:v>
      </x:c>
      <x:c r="R301" s="26" t="str">
        <x:v>047722e4dca24e16c44c810f43990492b2f988012ca2b4bab47826ff4c95f1db</x:v>
      </x:c>
      <x:c r="S301" s="26" t="str">
        <x:v>7f72bed391646713db7b7ddf83483236e815ac779370fd796a4603d72cb11bc4</x:v>
      </x:c>
      <x:c r="T301" s="26" t="str">
        <x:v>76797dff747f97c4afec4eee97c7d67f572a4d4598433367a8bafa4f3a8dd9a3</x:v>
      </x:c>
    </x:row>
    <x:row r="302" ht="60" customHeight="1">
      <x:c r="A302" s="26" t="str">
        <x:v>J1519-6308</x:v>
      </x:c>
      <x:c r="B302" s="26" t="str"/>
      <x:c r="C302" s="26" t="str">
        <x:v>NOT_SEARCHED</x:v>
      </x:c>
      <x:c r="D302" s="26"/>
      <x:c r="E302" s="26" t="str">
        <x:v>No observed search</x:v>
      </x:c>
      <x:c r="F302" s="26" t="str">
        <x:v>Retain exclusion for current scope</x:v>
      </x:c>
      <x:c r="G302" s="26" t="str">
        <x:v>TPA EXCLUDED</x:v>
      </x:c>
      <x:c r="H302" s="27" t="n">
        <x:v>212</x:v>
      </x:c>
      <x:c r="I302" s="27" t="n">
        <x:v>27</x:v>
      </x:c>
      <x:c r="J302" s="28" t="n">
        <x:v>1134.9461592907464</x:v>
      </x:c>
      <x:c r="K302" s="26"/>
      <x:c r="L302" s="26" t="str">
        <x:v>insufficient_span_or_epochs</x:v>
      </x:c>
      <x:c r="M302" s="26" t="str">
        <x:v>Absent from named inventory</x:v>
      </x:c>
      <x:c r="N302" s="26" t="str">
        <x:v>Absent from named inventory</x:v>
      </x:c>
      <x:c r="O302" s="26" t="str">
        <x:v>Absent from named inventory</x:v>
      </x:c>
      <x:c r="P302" s="26"/>
      <x:c r="Q302" s="26" t="str">
        <x:v>../Project Recherche Data/tpa-batch01-20260908/selection.json</x:v>
      </x:c>
      <x:c r="R302" s="26" t="str">
        <x:v>047722e4dca24e16c44c810f43990492b2f988012ca2b4bab47826ff4c95f1db</x:v>
      </x:c>
      <x:c r="S302" s="26" t="str">
        <x:v>f70c03842c25d6afd54a55b5e192b0834cb0d236de6aac53609acf8b90e02263</x:v>
      </x:c>
      <x:c r="T302" s="26" t="str">
        <x:v>e91ee831fcf41a75df54faa2cd559ed76d0b7b2b1a10cdf83611cb5f2d2e7fad</x:v>
      </x:c>
    </x:row>
    <x:row r="303" ht="60" customHeight="1">
      <x:c r="A303" s="26" t="str">
        <x:v>J1522-5829</x:v>
      </x:c>
      <x:c r="B303" s="26" t="str">
        <x:v>B1518-58</x:v>
      </x:c>
      <x:c r="C303" s="26" t="str">
        <x:v>NOT_SEARCHED</x:v>
      </x:c>
      <x:c r="D303" s="26"/>
      <x:c r="E303" s="26" t="str">
        <x:v>No observed search</x:v>
      </x:c>
      <x:c r="F303" s="26" t="str">
        <x:v>Retain exclusion for current scope</x:v>
      </x:c>
      <x:c r="G303" s="26" t="str">
        <x:v>TPA EXCLUDED</x:v>
      </x:c>
      <x:c r="H303" s="27" t="n">
        <x:v>88</x:v>
      </x:c>
      <x:c r="I303" s="27" t="n">
        <x:v>11</x:v>
      </x:c>
      <x:c r="J303" s="28" t="n">
        <x:v>480.91220102905936</x:v>
      </x:c>
      <x:c r="K303" s="26"/>
      <x:c r="L303" s="26" t="str">
        <x:v>insufficient_span_or_epochs</x:v>
      </x:c>
      <x:c r="M303" s="26" t="str">
        <x:v>Absent from named inventory</x:v>
      </x:c>
      <x:c r="N303" s="26" t="str">
        <x:v>Absent from named inventory</x:v>
      </x:c>
      <x:c r="O303" s="26" t="str">
        <x:v>Absent from named inventory</x:v>
      </x:c>
      <x:c r="P303" s="26"/>
      <x:c r="Q303" s="26" t="str">
        <x:v>../Project Recherche Data/tpa-batch01-20260908/selection.json</x:v>
      </x:c>
      <x:c r="R303" s="26" t="str">
        <x:v>047722e4dca24e16c44c810f43990492b2f988012ca2b4bab47826ff4c95f1db</x:v>
      </x:c>
      <x:c r="S303" s="26" t="str">
        <x:v>b59bac572d13ebb68bff211b6453b5a6ed5677e895afe3deede1a8610f4a45ca</x:v>
      </x:c>
      <x:c r="T303" s="26" t="str">
        <x:v>d391e846df3bc2711bbc5cf019a77811a027c890cb23b8ad2728fd4072d185ac</x:v>
      </x:c>
    </x:row>
    <x:row r="304" ht="60" customHeight="1">
      <x:c r="A304" s="26" t="str">
        <x:v>J1524-5625</x:v>
      </x:c>
      <x:c r="B304" s="26" t="str"/>
      <x:c r="C304" s="26" t="str">
        <x:v>NOT_SEARCHED</x:v>
      </x:c>
      <x:c r="D304" s="26"/>
      <x:c r="E304" s="26" t="str">
        <x:v>No observed search</x:v>
      </x:c>
      <x:c r="F304" s="26" t="str">
        <x:v>Retain exclusion for current scope</x:v>
      </x:c>
      <x:c r="G304" s="26" t="str">
        <x:v>TPA EXCLUDED</x:v>
      </x:c>
      <x:c r="H304" s="27" t="n">
        <x:v>222</x:v>
      </x:c>
      <x:c r="I304" s="27" t="n">
        <x:v>28</x:v>
      </x:c>
      <x:c r="J304" s="28" t="n">
        <x:v>1225.4526693115986</x:v>
      </x:c>
      <x:c r="K304" s="26"/>
      <x:c r="L304" s="26" t="str">
        <x:v>published_glitch, insufficient_span_or_epochs</x:v>
      </x:c>
      <x:c r="M304" s="26" t="str">
        <x:v>Absent from named inventory</x:v>
      </x:c>
      <x:c r="N304" s="26" t="str">
        <x:v>Absent from named inventory</x:v>
      </x:c>
      <x:c r="O304" s="26" t="str">
        <x:v>Absent from named inventory</x:v>
      </x:c>
      <x:c r="P304" s="26"/>
      <x:c r="Q304" s="26" t="str">
        <x:v>../Project Recherche Data/tpa-batch01-20260908/selection.json</x:v>
      </x:c>
      <x:c r="R304" s="26" t="str">
        <x:v>047722e4dca24e16c44c810f43990492b2f988012ca2b4bab47826ff4c95f1db</x:v>
      </x:c>
      <x:c r="S304" s="26" t="str">
        <x:v>a25b4c240eeafb0710f4703af7cac4c56198b22350af551e55e88d8845d0680b</x:v>
      </x:c>
      <x:c r="T304" s="26" t="str">
        <x:v>425f5f8bf172ee87a9d5124920ce8d9807c80e9487b1c78ab55026284cc8a0d3</x:v>
      </x:c>
    </x:row>
    <x:row r="305" ht="60" customHeight="1">
      <x:c r="A305" s="26" t="str">
        <x:v>J1527-5552</x:v>
      </x:c>
      <x:c r="B305" s="26" t="str">
        <x:v>B1523-55</x:v>
      </x:c>
      <x:c r="C305" s="26" t="str">
        <x:v>NOT_SEARCHED</x:v>
      </x:c>
      <x:c r="D305" s="26"/>
      <x:c r="E305" s="26" t="str">
        <x:v>No observed search</x:v>
      </x:c>
      <x:c r="F305" s="26" t="str">
        <x:v>Retain exclusion for current scope</x:v>
      </x:c>
      <x:c r="G305" s="26" t="str">
        <x:v>TPA EXCLUDED</x:v>
      </x:c>
      <x:c r="H305" s="27" t="n">
        <x:v>248</x:v>
      </x:c>
      <x:c r="I305" s="27" t="n">
        <x:v>31</x:v>
      </x:c>
      <x:c r="J305" s="28" t="n">
        <x:v>1280.668441974165</x:v>
      </x:c>
      <x:c r="K305" s="26"/>
      <x:c r="L305" s="26" t="str">
        <x:v>insufficient_span_or_epochs</x:v>
      </x:c>
      <x:c r="M305" s="26" t="str">
        <x:v>Absent from named inventory</x:v>
      </x:c>
      <x:c r="N305" s="26" t="str">
        <x:v>Absent from named inventory</x:v>
      </x:c>
      <x:c r="O305" s="26" t="str">
        <x:v>Absent from named inventory</x:v>
      </x:c>
      <x:c r="P305" s="26"/>
      <x:c r="Q305" s="26" t="str">
        <x:v>../Project Recherche Data/tpa-batch01-20260908/selection.json</x:v>
      </x:c>
      <x:c r="R305" s="26" t="str">
        <x:v>047722e4dca24e16c44c810f43990492b2f988012ca2b4bab47826ff4c95f1db</x:v>
      </x:c>
      <x:c r="S305" s="26" t="str">
        <x:v>bb6831d122504be443ae76f50875ed7d108dce7f57d0c54a071426cce9e58b45</x:v>
      </x:c>
      <x:c r="T305" s="26" t="str">
        <x:v>9b5b635f0232c183c0dc3665cebd0f39c3a2348abcc20157dde5a51f7e2a9620</x:v>
      </x:c>
    </x:row>
    <x:row r="306" ht="60" customHeight="1">
      <x:c r="A306" s="26" t="str">
        <x:v>J1528-4109</x:v>
      </x:c>
      <x:c r="B306" s="26" t="str"/>
      <x:c r="C306" s="26" t="str">
        <x:v>NO_TRIGGER</x:v>
      </x:c>
      <x:c r="D306" s="26" t="str">
        <x:v>tpa-batch03-20260908-J1528-4109-run01</x:v>
      </x:c>
      <x:c r="E306" s="26" t="str">
        <x:v>No qualifying signal in eligible 30–400-day cells</x:v>
      </x:c>
      <x:c r="F306" s="26" t="str">
        <x:v>Retain result; consider independent data or a separately defined new scope</x:v>
      </x:c>
      <x:c r="G306" s="26" t="str">
        <x:v>SEARCHED</x:v>
      </x:c>
      <x:c r="H306" s="27" t="n">
        <x:v>415</x:v>
      </x:c>
      <x:c r="I306" s="27" t="n">
        <x:v>52</x:v>
      </x:c>
      <x:c r="J306" s="28" t="n">
        <x:v>1212.6299785733281</x:v>
      </x:c>
      <x:c r="K306" s="26" t="str">
        <x:v>tpa-batch03-20260908</x:v>
      </x:c>
      <x:c r="L306" s="26"/>
      <x:c r="M306" s="26" t="str">
        <x:v>Absent from named inventory</x:v>
      </x:c>
      <x:c r="N306" s="26" t="str">
        <x:v>Absent from named inventory</x:v>
      </x:c>
      <x:c r="O306" s="26" t="str">
        <x:v>Absent from named inventory</x:v>
      </x:c>
      <x:c r="P306" s="26"/>
      <x:c r="Q306" s="26" t="str">
        <x:v>../Project Recherche Data/tpa-batch03-20260908/selection.json</x:v>
      </x:c>
      <x:c r="R306" s="26" t="str">
        <x:v>1cf7dc46e02f8f80971416baec3f4bb7357340d0174269b7b50fc11887c0df28</x:v>
      </x:c>
      <x:c r="S306" s="26" t="str">
        <x:v>9637bee2f83f68fd475c1b5a6c0879d67595679fa6c85f3d5a1bb0fc7f782fdb</x:v>
      </x:c>
      <x:c r="T306" s="26" t="str">
        <x:v>d87bddbd525d8a41c9cd07ebd8b5cebde90986f542f1a6d22259ae307c342b22</x:v>
      </x:c>
    </x:row>
    <x:row r="307" ht="60" customHeight="1">
      <x:c r="A307" s="26" t="str">
        <x:v>J1530-5327</x:v>
      </x:c>
      <x:c r="B307" s="26" t="str"/>
      <x:c r="C307" s="26" t="str">
        <x:v>NO_TRIGGER</x:v>
      </x:c>
      <x:c r="D307" s="26" t="str">
        <x:v>tpa-batch03-20260908-J1530-5327-run01</x:v>
      </x:c>
      <x:c r="E307" s="26" t="str">
        <x:v>No qualifying signal in eligible 30–400-day cells</x:v>
      </x:c>
      <x:c r="F307" s="26" t="str">
        <x:v>Retain result; consider independent data or a separately defined new scope</x:v>
      </x:c>
      <x:c r="G307" s="26" t="str">
        <x:v>SEARCHED</x:v>
      </x:c>
      <x:c r="H307" s="27" t="n">
        <x:v>433</x:v>
      </x:c>
      <x:c r="I307" s="27" t="n">
        <x:v>55</x:v>
      </x:c>
      <x:c r="J307" s="28" t="n">
        <x:v>1235.2607780078615</x:v>
      </x:c>
      <x:c r="K307" s="26" t="str">
        <x:v>tpa-batch03-20260908</x:v>
      </x:c>
      <x:c r="L307" s="26"/>
      <x:c r="M307" s="26" t="str">
        <x:v>Absent from named inventory</x:v>
      </x:c>
      <x:c r="N307" s="26" t="str">
        <x:v>Absent from named inventory</x:v>
      </x:c>
      <x:c r="O307" s="26" t="str">
        <x:v>Absent from named inventory</x:v>
      </x:c>
      <x:c r="P307" s="26"/>
      <x:c r="Q307" s="26" t="str">
        <x:v>../Project Recherche Data/tpa-batch03-20260908/selection.json</x:v>
      </x:c>
      <x:c r="R307" s="26" t="str">
        <x:v>1cf7dc46e02f8f80971416baec3f4bb7357340d0174269b7b50fc11887c0df28</x:v>
      </x:c>
      <x:c r="S307" s="26" t="str">
        <x:v>ca9830713fa3c811fbc39164ce641a34bb5d1f15c3df18e8613c90dd251afdb2</x:v>
      </x:c>
      <x:c r="T307" s="26" t="str">
        <x:v>a0480d7f8d540a2969765198727bc3c410517af89f5682b424144b37ba6ccfa9</x:v>
      </x:c>
    </x:row>
    <x:row r="308" ht="60" customHeight="1">
      <x:c r="A308" s="26" t="str">
        <x:v>J1530-6343</x:v>
      </x:c>
      <x:c r="B308" s="26" t="str"/>
      <x:c r="C308" s="26" t="str">
        <x:v>NOT_SEARCHED</x:v>
      </x:c>
      <x:c r="D308" s="26"/>
      <x:c r="E308" s="26" t="str">
        <x:v>No observed search</x:v>
      </x:c>
      <x:c r="F308" s="26" t="str">
        <x:v>Retain exclusion for current scope</x:v>
      </x:c>
      <x:c r="G308" s="26" t="str">
        <x:v>TPA EXCLUDED</x:v>
      </x:c>
      <x:c r="H308" s="27" t="n">
        <x:v>213</x:v>
      </x:c>
      <x:c r="I308" s="27" t="n">
        <x:v>27</x:v>
      </x:c>
      <x:c r="J308" s="28" t="n">
        <x:v>1134.8867019943937</x:v>
      </x:c>
      <x:c r="K308" s="26"/>
      <x:c r="L308" s="26" t="str">
        <x:v>insufficient_span_or_epochs</x:v>
      </x:c>
      <x:c r="M308" s="26" t="str">
        <x:v>Absent from named inventory</x:v>
      </x:c>
      <x:c r="N308" s="26" t="str">
        <x:v>Absent from named inventory</x:v>
      </x:c>
      <x:c r="O308" s="26" t="str">
        <x:v>Absent from named inventory</x:v>
      </x:c>
      <x:c r="P308" s="26"/>
      <x:c r="Q308" s="26" t="str">
        <x:v>../Project Recherche Data/tpa-batch01-20260908/selection.json</x:v>
      </x:c>
      <x:c r="R308" s="26" t="str">
        <x:v>047722e4dca24e16c44c810f43990492b2f988012ca2b4bab47826ff4c95f1db</x:v>
      </x:c>
      <x:c r="S308" s="26" t="str">
        <x:v>23d15f7ff7bd4b732210244582e63d1c62f2c4a21dd1b34a51d4bae97f83b27f</x:v>
      </x:c>
      <x:c r="T308" s="26" t="str">
        <x:v>3fcd72267acefbfbe64cc13a3566d0b406f31290584726cd7314f61b1cea8d81</x:v>
      </x:c>
    </x:row>
    <x:row r="309" ht="60" customHeight="1">
      <x:c r="A309" s="26" t="str">
        <x:v>J1531-4012</x:v>
      </x:c>
      <x:c r="B309" s="26" t="str"/>
      <x:c r="C309" s="26" t="str">
        <x:v>NOT_SEARCHED</x:v>
      </x:c>
      <x:c r="D309" s="26"/>
      <x:c r="E309" s="26" t="str">
        <x:v>No observed search</x:v>
      </x:c>
      <x:c r="F309" s="26" t="str">
        <x:v>Retain exclusion for current scope</x:v>
      </x:c>
      <x:c r="G309" s="26" t="str">
        <x:v>TPA EXCLUDED</x:v>
      </x:c>
      <x:c r="H309" s="27" t="n">
        <x:v>214</x:v>
      </x:c>
      <x:c r="I309" s="27" t="n">
        <x:v>27</x:v>
      </x:c>
      <x:c r="J309" s="28" t="n">
        <x:v>1134.8632840158243</x:v>
      </x:c>
      <x:c r="K309" s="26"/>
      <x:c r="L309" s="26" t="str">
        <x:v>insufficient_span_or_epochs</x:v>
      </x:c>
      <x:c r="M309" s="26" t="str">
        <x:v>Absent from named inventory</x:v>
      </x:c>
      <x:c r="N309" s="26" t="str">
        <x:v>Absent from named inventory</x:v>
      </x:c>
      <x:c r="O309" s="26" t="str">
        <x:v>Absent from named inventory</x:v>
      </x:c>
      <x:c r="P309" s="26"/>
      <x:c r="Q309" s="26" t="str">
        <x:v>../Project Recherche Data/tpa-batch01-20260908/selection.json</x:v>
      </x:c>
      <x:c r="R309" s="26" t="str">
        <x:v>047722e4dca24e16c44c810f43990492b2f988012ca2b4bab47826ff4c95f1db</x:v>
      </x:c>
      <x:c r="S309" s="26" t="str">
        <x:v>f9adc6ba5e8dce8ff8da62f149c402c5fa6cacf2f4290fb8273e5bcd8f5fab33</x:v>
      </x:c>
      <x:c r="T309" s="26" t="str">
        <x:v>f046c2e37f8b7bd0e6e02d37a03d4458168c4dedfda566bcbf3a9710ea8aa438</x:v>
      </x:c>
    </x:row>
    <x:row r="310" ht="60" customHeight="1">
      <x:c r="A310" s="26" t="str">
        <x:v>J1531-5610</x:v>
      </x:c>
      <x:c r="B310" s="26" t="str"/>
      <x:c r="C310" s="26" t="str">
        <x:v>NOT_SEARCHED</x:v>
      </x:c>
      <x:c r="D310" s="26"/>
      <x:c r="E310" s="26" t="str">
        <x:v>No observed search</x:v>
      </x:c>
      <x:c r="F310" s="26" t="str">
        <x:v>Retain exclusion for current scope</x:v>
      </x:c>
      <x:c r="G310" s="26" t="str">
        <x:v>TPA EXCLUDED</x:v>
      </x:c>
      <x:c r="H310" s="27" t="n">
        <x:v>240</x:v>
      </x:c>
      <x:c r="I310" s="27" t="n">
        <x:v>30</x:v>
      </x:c>
      <x:c r="J310" s="28" t="n">
        <x:v>1225.4538586230337</x:v>
      </x:c>
      <x:c r="K310" s="26"/>
      <x:c r="L310" s="26" t="str">
        <x:v>insufficient_span_or_epochs</x:v>
      </x:c>
      <x:c r="M310" s="26" t="str">
        <x:v>Absent from named inventory</x:v>
      </x:c>
      <x:c r="N310" s="26" t="str">
        <x:v>Absent from named inventory</x:v>
      </x:c>
      <x:c r="O310" s="26" t="str">
        <x:v>Absent from named inventory</x:v>
      </x:c>
      <x:c r="P310" s="26"/>
      <x:c r="Q310" s="26" t="str">
        <x:v>../Project Recherche Data/tpa-batch01-20260908/selection.json</x:v>
      </x:c>
      <x:c r="R310" s="26" t="str">
        <x:v>047722e4dca24e16c44c810f43990492b2f988012ca2b4bab47826ff4c95f1db</x:v>
      </x:c>
      <x:c r="S310" s="26" t="str">
        <x:v>c7b1decd4c69b8fc05bf19647c41776a9a0212081374188e06335d6cb2bfdf47</x:v>
      </x:c>
      <x:c r="T310" s="26" t="str">
        <x:v>17a7c8f5bfde9872dbbf3d29d768f5c91babbb6892c7e00ba98e4fe84666c49c</x:v>
      </x:c>
    </x:row>
    <x:row r="311" ht="60" customHeight="1">
      <x:c r="A311" s="26" t="str">
        <x:v>J1534-4428</x:v>
      </x:c>
      <x:c r="B311" s="26" t="str"/>
      <x:c r="C311" s="26" t="str">
        <x:v>NO_TRIGGER</x:v>
      </x:c>
      <x:c r="D311" s="26" t="str">
        <x:v>tpa-batch06-20260908-J1534-4428-run01</x:v>
      </x:c>
      <x:c r="E311" s="26" t="str">
        <x:v>No qualifying signal in eligible 30–400-day cells</x:v>
      </x:c>
      <x:c r="F311" s="26" t="str">
        <x:v>Retain result; consider independent data or a separately defined new scope</x:v>
      </x:c>
      <x:c r="G311" s="26" t="str">
        <x:v>SEARCHED</x:v>
      </x:c>
      <x:c r="H311" s="27" t="n">
        <x:v>385</x:v>
      </x:c>
      <x:c r="I311" s="27" t="n">
        <x:v>54</x:v>
      </x:c>
      <x:c r="J311" s="28" t="n">
        <x:v>1290.5311804996454</x:v>
      </x:c>
      <x:c r="K311" s="26" t="str">
        <x:v>tpa-batch06-20260908</x:v>
      </x:c>
      <x:c r="L311" s="26"/>
      <x:c r="M311" s="26" t="str">
        <x:v>Absent from named inventory</x:v>
      </x:c>
      <x:c r="N311" s="26" t="str">
        <x:v>Absent from named inventory</x:v>
      </x:c>
      <x:c r="O311" s="26" t="str">
        <x:v>Absent from named inventory</x:v>
      </x:c>
      <x:c r="P311" s="26"/>
      <x:c r="Q311" s="26" t="str">
        <x:v>../Project Recherche Data/tpa-batch06-20260908/selection.json</x:v>
      </x:c>
      <x:c r="R311" s="26" t="str">
        <x:v>aa7dc82ae2f0aa7f4ad390810d65a59ea2811f4802deb69c9130205b6466f356</x:v>
      </x:c>
      <x:c r="S311" s="26" t="str">
        <x:v>bd7be113e6b46052f2d29b4b5089e7b22f88cc506de954dc7f157c861f7ccda9</x:v>
      </x:c>
      <x:c r="T311" s="26" t="str">
        <x:v>290b2a2df61191a2db4399e683be0f02b279f505128a2d49b195c0ebc7dc2f07</x:v>
      </x:c>
    </x:row>
    <x:row r="312" ht="60" customHeight="1">
      <x:c r="A312" s="26" t="str">
        <x:v>J1534-5334</x:v>
      </x:c>
      <x:c r="B312" s="26" t="str">
        <x:v>B1530-53</x:v>
      </x:c>
      <x:c r="C312" s="26" t="str">
        <x:v>NO_TRIGGER</x:v>
      </x:c>
      <x:c r="D312" s="26" t="str">
        <x:v>utmost-batch02-20260909-J1534-5334-run01</x:v>
      </x:c>
      <x:c r="E312" s="26" t="str">
        <x:v>No qualifying signal in eligible 30–400-day cells</x:v>
      </x:c>
      <x:c r="F312" s="26" t="str">
        <x:v>Retain result; consider independent data or a separately defined new scope</x:v>
      </x:c>
      <x:c r="G312" s="26" t="str">
        <x:v>UTMOST SEARCHED</x:v>
      </x:c>
      <x:c r="H312" s="27" t="n">
        <x:v>220</x:v>
      </x:c>
      <x:c r="I312" s="27" t="n">
        <x:v>29</x:v>
      </x:c>
      <x:c r="J312" s="28" t="n">
        <x:v>1248.9176771116763</x:v>
      </x:c>
      <x:c r="K312" s="26"/>
      <x:c r="L312" s="26" t="str">
        <x:v>insufficient_span_or_epochs</x:v>
      </x:c>
      <x:c r="M312" s="26" t="str">
        <x:v>Absent from named inventory</x:v>
      </x:c>
      <x:c r="N312" s="26" t="str">
        <x:v>Absent from named inventory</x:v>
      </x:c>
      <x:c r="O312" s="26" t="str">
        <x:v>Absent from named inventory</x:v>
      </x:c>
      <x:c r="P312" s="26"/>
      <x:c r="Q312" s="26" t="str">
        <x:v>../Project Recherche Data/tpa-batch01-20260908/selection.json</x:v>
      </x:c>
      <x:c r="R312" s="26" t="str">
        <x:v>047722e4dca24e16c44c810f43990492b2f988012ca2b4bab47826ff4c95f1db</x:v>
      </x:c>
      <x:c r="S312" s="26" t="str">
        <x:v>2431e4afaa047339d09f1ce1c3592d653fd3471b5ff6d921fffd7425f9b925a1</x:v>
      </x:c>
      <x:c r="T312" s="26" t="str">
        <x:v>e253bc44fc45d4dfb0076c097469ea2fa27987cb6c643f11aaef80bcaf7ca1af</x:v>
      </x:c>
    </x:row>
    <x:row r="313" ht="60" customHeight="1">
      <x:c r="A313" s="26" t="str">
        <x:v>J1534-5405</x:v>
      </x:c>
      <x:c r="B313" s="26" t="str">
        <x:v>B1530-539</x:v>
      </x:c>
      <x:c r="C313" s="26" t="str">
        <x:v>NOT_SEARCHED</x:v>
      </x:c>
      <x:c r="D313" s="26"/>
      <x:c r="E313" s="26" t="str">
        <x:v>No observed search</x:v>
      </x:c>
      <x:c r="F313" s="26" t="str">
        <x:v>Retain exclusion for current scope</x:v>
      </x:c>
      <x:c r="G313" s="26" t="str">
        <x:v>TPA EXCLUDED</x:v>
      </x:c>
      <x:c r="H313" s="27" t="n">
        <x:v>239</x:v>
      </x:c>
      <x:c r="I313" s="27" t="n">
        <x:v>30</x:v>
      </x:c>
      <x:c r="J313" s="28" t="n">
        <x:v>1204.799051180984</x:v>
      </x:c>
      <x:c r="K313" s="26"/>
      <x:c r="L313" s="26" t="str">
        <x:v>insufficient_span_or_epochs</x:v>
      </x:c>
      <x:c r="M313" s="26" t="str">
        <x:v>Absent from named inventory</x:v>
      </x:c>
      <x:c r="N313" s="26" t="str">
        <x:v>Absent from named inventory</x:v>
      </x:c>
      <x:c r="O313" s="26" t="str">
        <x:v>Absent from named inventory</x:v>
      </x:c>
      <x:c r="P313" s="26"/>
      <x:c r="Q313" s="26" t="str">
        <x:v>../Project Recherche Data/tpa-batch01-20260908/selection.json</x:v>
      </x:c>
      <x:c r="R313" s="26" t="str">
        <x:v>047722e4dca24e16c44c810f43990492b2f988012ca2b4bab47826ff4c95f1db</x:v>
      </x:c>
      <x:c r="S313" s="26" t="str">
        <x:v>f9588782521338c7319ca815988c3fa545ed922ec569f8f64029db57ee3e113a</x:v>
      </x:c>
      <x:c r="T313" s="26" t="str">
        <x:v>f1fd42121f987cceb3b8fe92217c05418fb4175029c2fab4306c7e145743bce9</x:v>
      </x:c>
    </x:row>
    <x:row r="314" ht="60" customHeight="1">
      <x:c r="A314" s="26" t="str">
        <x:v>J1535-4114</x:v>
      </x:c>
      <x:c r="B314" s="26" t="str"/>
      <x:c r="C314" s="26" t="str">
        <x:v>NOT_SEARCHED</x:v>
      </x:c>
      <x:c r="D314" s="26"/>
      <x:c r="E314" s="26" t="str">
        <x:v>No observed search</x:v>
      </x:c>
      <x:c r="F314" s="26" t="str">
        <x:v>Retain exclusion for current scope</x:v>
      </x:c>
      <x:c r="G314" s="26" t="str">
        <x:v>TPA EXCLUDED</x:v>
      </x:c>
      <x:c r="H314" s="27" t="n">
        <x:v>96</x:v>
      </x:c>
      <x:c r="I314" s="27" t="n">
        <x:v>12</x:v>
      </x:c>
      <x:c r="J314" s="28" t="n">
        <x:v>480.90772931667743</x:v>
      </x:c>
      <x:c r="K314" s="26"/>
      <x:c r="L314" s="26" t="str">
        <x:v>insufficient_span_or_epochs</x:v>
      </x:c>
      <x:c r="M314" s="26" t="str">
        <x:v>Absent from named inventory</x:v>
      </x:c>
      <x:c r="N314" s="26" t="str">
        <x:v>Absent from named inventory</x:v>
      </x:c>
      <x:c r="O314" s="26" t="str">
        <x:v>Absent from named inventory</x:v>
      </x:c>
      <x:c r="P314" s="26"/>
      <x:c r="Q314" s="26" t="str">
        <x:v>../Project Recherche Data/tpa-batch01-20260908/selection.json</x:v>
      </x:c>
      <x:c r="R314" s="26" t="str">
        <x:v>047722e4dca24e16c44c810f43990492b2f988012ca2b4bab47826ff4c95f1db</x:v>
      </x:c>
      <x:c r="S314" s="26" t="str">
        <x:v>357812c1938fd3f678e69b31ab86e6c47a0b0ab16c4d9d6acbe544829bd360e6</x:v>
      </x:c>
      <x:c r="T314" s="26" t="str">
        <x:v>2f79e9af129ea80f0f9218c2a7ce5276b354e98e4cc7174a1c354f9f75562950</x:v>
      </x:c>
    </x:row>
    <x:row r="315" ht="60" customHeight="1">
      <x:c r="A315" s="26" t="str">
        <x:v>J1535-5848</x:v>
      </x:c>
      <x:c r="B315" s="26" t="str"/>
      <x:c r="C315" s="26" t="str">
        <x:v>NO_TRIGGER</x:v>
      </x:c>
      <x:c r="D315" s="26" t="str">
        <x:v>tpa-batch04-20260908-J1535-5848-run01</x:v>
      </x:c>
      <x:c r="E315" s="26" t="str">
        <x:v>No qualifying signal in eligible 30–400-day cells</x:v>
      </x:c>
      <x:c r="F315" s="26" t="str">
        <x:v>Retain result; consider independent data or a separately defined new scope</x:v>
      </x:c>
      <x:c r="G315" s="26" t="str">
        <x:v>SEARCHED</x:v>
      </x:c>
      <x:c r="H315" s="27" t="n">
        <x:v>450</x:v>
      </x:c>
      <x:c r="I315" s="27" t="n">
        <x:v>57</x:v>
      </x:c>
      <x:c r="J315" s="28" t="n">
        <x:v>1449.9216669928646</x:v>
      </x:c>
      <x:c r="K315" s="26" t="str">
        <x:v>tpa-batch04-20260908</x:v>
      </x:c>
      <x:c r="L315" s="26"/>
      <x:c r="M315" s="26" t="str">
        <x:v>Absent from named inventory</x:v>
      </x:c>
      <x:c r="N315" s="26" t="str">
        <x:v>Absent from named inventory</x:v>
      </x:c>
      <x:c r="O315" s="26" t="str">
        <x:v>Absent from named inventory</x:v>
      </x:c>
      <x:c r="P315" s="26"/>
      <x:c r="Q315" s="26" t="str">
        <x:v>../Project Recherche Data/tpa-batch04-20260908/selection.json</x:v>
      </x:c>
      <x:c r="R315" s="26" t="str">
        <x:v>88cb06482cd14a2f65e966c23ca1cdea20fdeb356fd59137885e0ec5f3b47d1a</x:v>
      </x:c>
      <x:c r="S315" s="26" t="str">
        <x:v>adf4d993bb102009ddb76917a23ce87aa2922fe889de85797b1c7c3df556ce03</x:v>
      </x:c>
      <x:c r="T315" s="26" t="str">
        <x:v>519fcc59789a3c50ace28653b651d24eb7cd0026fb5c5d463eb88e79b774de18</x:v>
      </x:c>
    </x:row>
    <x:row r="316" ht="60" customHeight="1">
      <x:c r="A316" s="26" t="str">
        <x:v>J1536-3602</x:v>
      </x:c>
      <x:c r="B316" s="26" t="str"/>
      <x:c r="C316" s="26" t="str">
        <x:v>NO_TRIGGER</x:v>
      </x:c>
      <x:c r="D316" s="26" t="str">
        <x:v>tpa-batch04-20260908-J1536-3602-run01</x:v>
      </x:c>
      <x:c r="E316" s="26" t="str">
        <x:v>No qualifying signal in eligible 30–400-day cells</x:v>
      </x:c>
      <x:c r="F316" s="26" t="str">
        <x:v>Retain result; consider independent data or a separately defined new scope</x:v>
      </x:c>
      <x:c r="G316" s="26" t="str">
        <x:v>SEARCHED</x:v>
      </x:c>
      <x:c r="H316" s="27" t="n">
        <x:v>432</x:v>
      </x:c>
      <x:c r="I316" s="27" t="n">
        <x:v>54</x:v>
      </x:c>
      <x:c r="J316" s="28" t="n">
        <x:v>1290.4610364607506</x:v>
      </x:c>
      <x:c r="K316" s="26" t="str">
        <x:v>tpa-batch04-20260908</x:v>
      </x:c>
      <x:c r="L316" s="26"/>
      <x:c r="M316" s="26" t="str">
        <x:v>Absent from named inventory</x:v>
      </x:c>
      <x:c r="N316" s="26" t="str">
        <x:v>Absent from named inventory</x:v>
      </x:c>
      <x:c r="O316" s="26" t="str">
        <x:v>Absent from named inventory</x:v>
      </x:c>
      <x:c r="P316" s="26"/>
      <x:c r="Q316" s="26" t="str">
        <x:v>../Project Recherche Data/tpa-batch04-20260908/selection.json</x:v>
      </x:c>
      <x:c r="R316" s="26" t="str">
        <x:v>88cb06482cd14a2f65e966c23ca1cdea20fdeb356fd59137885e0ec5f3b47d1a</x:v>
      </x:c>
      <x:c r="S316" s="26" t="str">
        <x:v>c7fc3a7dfbd35511cf3dc24899dd8d77dfb38c0ed8c3be728de8a422b04d3f26</x:v>
      </x:c>
      <x:c r="T316" s="26" t="str">
        <x:v>273ba43d6ef8bde096964d9872ce825839fc6a8e29fc111f607bcc75de9d7431</x:v>
      </x:c>
    </x:row>
    <x:row r="317" ht="60" customHeight="1">
      <x:c r="A317" s="26" t="str">
        <x:v>J1537-4912</x:v>
      </x:c>
      <x:c r="B317" s="26" t="str"/>
      <x:c r="C317" s="26" t="str">
        <x:v>NOT_SEARCHED</x:v>
      </x:c>
      <x:c r="D317" s="26"/>
      <x:c r="E317" s="26" t="str">
        <x:v>No observed search</x:v>
      </x:c>
      <x:c r="F317" s="26" t="str">
        <x:v>Retain exclusion for current scope</x:v>
      </x:c>
      <x:c r="G317" s="26" t="str">
        <x:v>TPA EXCLUDED</x:v>
      </x:c>
      <x:c r="H317" s="27" t="n">
        <x:v>286</x:v>
      </x:c>
      <x:c r="I317" s="27" t="n">
        <x:v>36</x:v>
      </x:c>
      <x:c r="J317" s="28" t="n">
        <x:v>1449.9098291851624</x:v>
      </x:c>
      <x:c r="K317" s="26"/>
      <x:c r="L317" s="26" t="str">
        <x:v>insufficient_span_or_epochs</x:v>
      </x:c>
      <x:c r="M317" s="26" t="str">
        <x:v>Absent from named inventory</x:v>
      </x:c>
      <x:c r="N317" s="26" t="str">
        <x:v>Absent from named inventory</x:v>
      </x:c>
      <x:c r="O317" s="26" t="str">
        <x:v>Absent from named inventory</x:v>
      </x:c>
      <x:c r="P317" s="26"/>
      <x:c r="Q317" s="26" t="str">
        <x:v>../Project Recherche Data/tpa-batch01-20260908/selection.json</x:v>
      </x:c>
      <x:c r="R317" s="26" t="str">
        <x:v>047722e4dca24e16c44c810f43990492b2f988012ca2b4bab47826ff4c95f1db</x:v>
      </x:c>
      <x:c r="S317" s="26" t="str">
        <x:v>4745b19dfc4b63c6efec4743ec1bb6edd7f90f950b2f2f276c473f75da3409b1</x:v>
      </x:c>
      <x:c r="T317" s="26" t="str">
        <x:v>b743eebcf3c42432a96992c032de95562dbc31b4f105d7a919f21fa6487f0ab4</x:v>
      </x:c>
    </x:row>
    <x:row r="318" ht="60" customHeight="1">
      <x:c r="A318" s="26" t="str">
        <x:v>J1538-5732</x:v>
      </x:c>
      <x:c r="B318" s="26" t="str"/>
      <x:c r="C318" s="26" t="str">
        <x:v>NOT_SEARCHED</x:v>
      </x:c>
      <x:c r="D318" s="26"/>
      <x:c r="E318" s="26" t="str">
        <x:v>No observed search</x:v>
      </x:c>
      <x:c r="F318" s="26" t="str">
        <x:v>Retain exclusion for current scope</x:v>
      </x:c>
      <x:c r="G318" s="26" t="str">
        <x:v>TPA EXCLUDED</x:v>
      </x:c>
      <x:c r="H318" s="27" t="n">
        <x:v>226</x:v>
      </x:c>
      <x:c r="I318" s="27" t="n">
        <x:v>29</x:v>
      </x:c>
      <x:c r="J318" s="28" t="n">
        <x:v>1440.1217526688924</x:v>
      </x:c>
      <x:c r="K318" s="26"/>
      <x:c r="L318" s="26" t="str">
        <x:v>insufficient_span_or_epochs</x:v>
      </x:c>
      <x:c r="M318" s="26" t="str">
        <x:v>Absent from named inventory</x:v>
      </x:c>
      <x:c r="N318" s="26" t="str">
        <x:v>Absent from named inventory</x:v>
      </x:c>
      <x:c r="O318" s="26" t="str">
        <x:v>Absent from named inventory</x:v>
      </x:c>
      <x:c r="P318" s="26"/>
      <x:c r="Q318" s="26" t="str">
        <x:v>../Project Recherche Data/tpa-batch01-20260908/selection.json</x:v>
      </x:c>
      <x:c r="R318" s="26" t="str">
        <x:v>047722e4dca24e16c44c810f43990492b2f988012ca2b4bab47826ff4c95f1db</x:v>
      </x:c>
      <x:c r="S318" s="26" t="str">
        <x:v>8a18ce1298ec668597c970f6b79318f5784d6d4508b8a88aeb50c86220a0bbef</x:v>
      </x:c>
      <x:c r="T318" s="26" t="str">
        <x:v>5a231b3f1100bc05cf7082ae0e461124ca78acc18c48dc65c686459679348c04</x:v>
      </x:c>
    </x:row>
    <x:row r="319" ht="60" customHeight="1">
      <x:c r="A319" s="26" t="str">
        <x:v>J1539-5626</x:v>
      </x:c>
      <x:c r="B319" s="26" t="str">
        <x:v>B1535-56</x:v>
      </x:c>
      <x:c r="C319" s="26" t="str">
        <x:v>NOT_SEARCHED</x:v>
      </x:c>
      <x:c r="D319" s="26"/>
      <x:c r="E319" s="26" t="str">
        <x:v>No observed search</x:v>
      </x:c>
      <x:c r="F319" s="26" t="str">
        <x:v>Retain exclusion for current scope</x:v>
      </x:c>
      <x:c r="G319" s="26" t="str">
        <x:v>TPA EXCLUDED</x:v>
      </x:c>
      <x:c r="H319" s="27" t="n">
        <x:v>104</x:v>
      </x:c>
      <x:c r="I319" s="27" t="n">
        <x:v>13</x:v>
      </x:c>
      <x:c r="J319" s="28" t="n">
        <x:v>480.9093270620797</x:v>
      </x:c>
      <x:c r="K319" s="26"/>
      <x:c r="L319" s="26" t="str">
        <x:v>insufficient_span_or_epochs</x:v>
      </x:c>
      <x:c r="M319" s="26" t="str">
        <x:v>Absent from named inventory</x:v>
      </x:c>
      <x:c r="N319" s="26" t="str">
        <x:v>Absent from named inventory</x:v>
      </x:c>
      <x:c r="O319" s="26" t="str">
        <x:v>Absent from named inventory</x:v>
      </x:c>
      <x:c r="P319" s="26"/>
      <x:c r="Q319" s="26" t="str">
        <x:v>../Project Recherche Data/tpa-batch01-20260908/selection.json</x:v>
      </x:c>
      <x:c r="R319" s="26" t="str">
        <x:v>047722e4dca24e16c44c810f43990492b2f988012ca2b4bab47826ff4c95f1db</x:v>
      </x:c>
      <x:c r="S319" s="26" t="str">
        <x:v>7c19da52f851d1d81d120482aba84eb9bd5a310853bc87eb3ec0ffa0d7110912</x:v>
      </x:c>
      <x:c r="T319" s="26" t="str">
        <x:v>6ac55461d1578aacc3a06506c82e8bf7d7eb54068983eedc247f2fe639b4ac6c</x:v>
      </x:c>
    </x:row>
    <x:row r="320" ht="60" customHeight="1">
      <x:c r="A320" s="26" t="str">
        <x:v>J1542-5034</x:v>
      </x:c>
      <x:c r="B320" s="26" t="str"/>
      <x:c r="C320" s="26" t="str">
        <x:v>NO_TRIGGER</x:v>
      </x:c>
      <x:c r="D320" s="26" t="str">
        <x:v>tpa-batch03-20260908-J1542-5034-run01</x:v>
      </x:c>
      <x:c r="E320" s="26" t="str">
        <x:v>No qualifying signal in eligible 30–400-day cells</x:v>
      </x:c>
      <x:c r="F320" s="26" t="str">
        <x:v>Retain result; consider independent data or a separately defined new scope</x:v>
      </x:c>
      <x:c r="G320" s="26" t="str">
        <x:v>SEARCHED</x:v>
      </x:c>
      <x:c r="H320" s="27" t="n">
        <x:v>448</x:v>
      </x:c>
      <x:c r="I320" s="27" t="n">
        <x:v>56</x:v>
      </x:c>
      <x:c r="J320" s="28" t="n">
        <x:v>1449.9251255092167</x:v>
      </x:c>
      <x:c r="K320" s="26" t="str">
        <x:v>tpa-batch03-20260908</x:v>
      </x:c>
      <x:c r="L320" s="26"/>
      <x:c r="M320" s="26" t="str">
        <x:v>Absent from named inventory</x:v>
      </x:c>
      <x:c r="N320" s="26" t="str">
        <x:v>Absent from named inventory</x:v>
      </x:c>
      <x:c r="O320" s="26" t="str">
        <x:v>Absent from named inventory</x:v>
      </x:c>
      <x:c r="P320" s="26"/>
      <x:c r="Q320" s="26" t="str">
        <x:v>../Project Recherche Data/tpa-batch03-20260908/selection.json</x:v>
      </x:c>
      <x:c r="R320" s="26" t="str">
        <x:v>1cf7dc46e02f8f80971416baec3f4bb7357340d0174269b7b50fc11887c0df28</x:v>
      </x:c>
      <x:c r="S320" s="26" t="str">
        <x:v>0e0ec1b12f366f195886d8c6331f621afcb730537f6de03838be515e6df05f7a</x:v>
      </x:c>
      <x:c r="T320" s="26" t="str">
        <x:v>fd78c63fa9fac68f80cdc2ae02980b99abe324864b14149df6ee5fcd68917779</x:v>
      </x:c>
    </x:row>
    <x:row r="321" ht="60" customHeight="1">
      <x:c r="A321" s="26" t="str">
        <x:v>J1542-5303</x:v>
      </x:c>
      <x:c r="B321" s="26" t="str"/>
      <x:c r="C321" s="26" t="str">
        <x:v>NOT_SEARCHED</x:v>
      </x:c>
      <x:c r="D321" s="26"/>
      <x:c r="E321" s="26" t="str">
        <x:v>No observed search</x:v>
      </x:c>
      <x:c r="F321" s="26" t="str">
        <x:v>Retain exclusion for current scope</x:v>
      </x:c>
      <x:c r="G321" s="26" t="str">
        <x:v>TPA EXCLUDED</x:v>
      </x:c>
      <x:c r="H321" s="27" t="n">
        <x:v>208</x:v>
      </x:c>
      <x:c r="I321" s="27" t="n">
        <x:v>27</x:v>
      </x:c>
      <x:c r="J321" s="28" t="n">
        <x:v>1131.2571778260026</x:v>
      </x:c>
      <x:c r="K321" s="26"/>
      <x:c r="L321" s="26" t="str">
        <x:v>insufficient_span_or_epochs</x:v>
      </x:c>
      <x:c r="M321" s="26" t="str">
        <x:v>Absent from named inventory</x:v>
      </x:c>
      <x:c r="N321" s="26" t="str">
        <x:v>Absent from named inventory</x:v>
      </x:c>
      <x:c r="O321" s="26" t="str">
        <x:v>Absent from named inventory</x:v>
      </x:c>
      <x:c r="P321" s="26"/>
      <x:c r="Q321" s="26" t="str">
        <x:v>../Project Recherche Data/tpa-batch01-20260908/selection.json</x:v>
      </x:c>
      <x:c r="R321" s="26" t="str">
        <x:v>047722e4dca24e16c44c810f43990492b2f988012ca2b4bab47826ff4c95f1db</x:v>
      </x:c>
      <x:c r="S321" s="26" t="str">
        <x:v>3d5f9217cf82ed4ee1f3d7d0a70670fb336553241cbadae69f02d1eb72331641</x:v>
      </x:c>
      <x:c r="T321" s="26" t="str">
        <x:v>abaff0db7956baa02bb6510bd808cfa0cdc6a62e4aec0e81af6d300eeb8a4911</x:v>
      </x:c>
    </x:row>
    <x:row r="322" ht="60" customHeight="1">
      <x:c r="A322" s="26" t="str">
        <x:v>J1543+0929</x:v>
      </x:c>
      <x:c r="B322" s="26" t="str">
        <x:v>B1541+09</x:v>
      </x:c>
      <x:c r="C322" s="26" t="str">
        <x:v>NO_TRIGGER</x:v>
      </x:c>
      <x:c r="D322" s="26" t="str">
        <x:v>tpa-batch10-20260908-J1543+0929-run01</x:v>
      </x:c>
      <x:c r="E322" s="26" t="str">
        <x:v>No qualifying signal in eligible 30–400-day cells</x:v>
      </x:c>
      <x:c r="F322" s="26" t="str">
        <x:v>Retain result; consider independent data or a separately defined new scope</x:v>
      </x:c>
      <x:c r="G322" s="26" t="str">
        <x:v>SEARCHED</x:v>
      </x:c>
      <x:c r="H322" s="27" t="n">
        <x:v>415</x:v>
      </x:c>
      <x:c r="I322" s="27" t="n">
        <x:v>52</x:v>
      </x:c>
      <x:c r="J322" s="28" t="n">
        <x:v>1280.191250435957</x:v>
      </x:c>
      <x:c r="K322" s="26" t="str">
        <x:v>tpa-batch10-20260908</x:v>
      </x:c>
      <x:c r="L322" s="26"/>
      <x:c r="M322" s="26" t="str">
        <x:v>Present</x:v>
      </x:c>
      <x:c r="N322" s="26" t="str">
        <x:v>Absent from named inventory</x:v>
      </x:c>
      <x:c r="O322" s="26" t="str">
        <x:v>Absent from named inventory</x:v>
      </x:c>
      <x:c r="P322" s="26"/>
      <x:c r="Q322" s="26" t="str">
        <x:v>../Project Recherche Data/tpa-batch10-20260908/selection.json</x:v>
      </x:c>
      <x:c r="R322" s="26" t="str">
        <x:v>f291b1f7787d65b8a00b6e0862fccba716fb6a5f33f3265ceaca9fa5b1fd2c2a</x:v>
      </x:c>
      <x:c r="S322" s="26" t="str">
        <x:v>cda839471f2b807b367093ad803c596251139fb4df9a21a07047aca8b3a4cdc8</x:v>
      </x:c>
      <x:c r="T322" s="26" t="str">
        <x:v>99a997b968405c11cbca3545edceb8bc610f27dc7e6c1e46aac910054db59d04</x:v>
      </x:c>
    </x:row>
    <x:row r="323" ht="60" customHeight="1">
      <x:c r="A323" s="26" t="str">
        <x:v>J1543-0620</x:v>
      </x:c>
      <x:c r="B323" s="26" t="str">
        <x:v>B1540-06</x:v>
      </x:c>
      <x:c r="C323" s="26" t="str">
        <x:v>NO_TRIGGER</x:v>
      </x:c>
      <x:c r="D323" s="26" t="str">
        <x:v>tpa-batch07-20260908-J1543-0620-run01</x:v>
      </x:c>
      <x:c r="E323" s="26" t="str">
        <x:v>No qualifying signal in eligible 30–400-day cells</x:v>
      </x:c>
      <x:c r="F323" s="26" t="str">
        <x:v>Retain result; consider independent data or a separately defined new scope</x:v>
      </x:c>
      <x:c r="G323" s="26" t="str">
        <x:v>SEARCHED</x:v>
      </x:c>
      <x:c r="H323" s="27" t="n">
        <x:v>376</x:v>
      </x:c>
      <x:c r="I323" s="27" t="n">
        <x:v>50</x:v>
      </x:c>
      <x:c r="J323" s="28" t="n">
        <x:v>1290.4691029938767</x:v>
      </x:c>
      <x:c r="K323" s="26" t="str">
        <x:v>tpa-batch07-20260908</x:v>
      </x:c>
      <x:c r="L323" s="26"/>
      <x:c r="M323" s="26" t="str">
        <x:v>Present</x:v>
      </x:c>
      <x:c r="N323" s="26" t="str">
        <x:v>Absent from named inventory</x:v>
      </x:c>
      <x:c r="O323" s="26" t="str">
        <x:v>Absent from named inventory</x:v>
      </x:c>
      <x:c r="P323" s="26"/>
      <x:c r="Q323" s="26" t="str">
        <x:v>../Project Recherche Data/tpa-batch07-20260908/selection.json</x:v>
      </x:c>
      <x:c r="R323" s="26" t="str">
        <x:v>a0944d5da0924367a8ed78a56de7826f64b6d517eb7c66fa044c452abc4894a7</x:v>
      </x:c>
      <x:c r="S323" s="26" t="str">
        <x:v>6a5ec2c2a3c664ab777816b996d1b0a94808a561ddc4d558ec323df1d8ff060a</x:v>
      </x:c>
      <x:c r="T323" s="26" t="str">
        <x:v>4d674b0609e8d7ae336f426c45271af61715d58094c9780db62b55af91bcee16</x:v>
      </x:c>
    </x:row>
    <x:row r="324" ht="60" customHeight="1">
      <x:c r="A324" s="26" t="str">
        <x:v>J1544-5308</x:v>
      </x:c>
      <x:c r="B324" s="26" t="str">
        <x:v>B1541-52</x:v>
      </x:c>
      <x:c r="C324" s="26" t="str">
        <x:v>NO_TRIGGER</x:v>
      </x:c>
      <x:c r="D324" s="26" t="str">
        <x:v>utmost-batch02-20260909-J1544-5308-run01</x:v>
      </x:c>
      <x:c r="E324" s="26" t="str">
        <x:v>No qualifying signal in eligible 30–400-day cells</x:v>
      </x:c>
      <x:c r="F324" s="26" t="str">
        <x:v>Retain result; consider independent data or a separately defined new scope</x:v>
      </x:c>
      <x:c r="G324" s="26" t="str">
        <x:v>UTMOST SEARCHED</x:v>
      </x:c>
      <x:c r="H324" s="27" t="n">
        <x:v>80</x:v>
      </x:c>
      <x:c r="I324" s="27" t="n">
        <x:v>10</x:v>
      </x:c>
      <x:c r="J324" s="28" t="n">
        <x:v>480.91082237655064</x:v>
      </x:c>
      <x:c r="K324" s="26"/>
      <x:c r="L324" s="26" t="str">
        <x:v>insufficient_span_or_epochs</x:v>
      </x:c>
      <x:c r="M324" s="26" t="str">
        <x:v>Absent from named inventory</x:v>
      </x:c>
      <x:c r="N324" s="26" t="str">
        <x:v>Absent from named inventory</x:v>
      </x:c>
      <x:c r="O324" s="26" t="str">
        <x:v>Absent from named inventory</x:v>
      </x:c>
      <x:c r="P324" s="26"/>
      <x:c r="Q324" s="26" t="str">
        <x:v>../Project Recherche Data/tpa-batch01-20260908/selection.json</x:v>
      </x:c>
      <x:c r="R324" s="26" t="str">
        <x:v>047722e4dca24e16c44c810f43990492b2f988012ca2b4bab47826ff4c95f1db</x:v>
      </x:c>
      <x:c r="S324" s="26" t="str">
        <x:v>bc14c9dd9f86de3962dac62df64039e5f9c62989932c3e20fdc68c1eac1b8433</x:v>
      </x:c>
      <x:c r="T324" s="26" t="str">
        <x:v>5c8a8fd75c7748d3abad271c1cda12ead14430645cbc2c92e2cf791d10852061</x:v>
      </x:c>
    </x:row>
    <x:row r="325" ht="60" customHeight="1">
      <x:c r="A325" s="26" t="str">
        <x:v>J1546-5302</x:v>
      </x:c>
      <x:c r="B325" s="26" t="str"/>
      <x:c r="C325" s="26" t="str">
        <x:v>NOT_SEARCHED</x:v>
      </x:c>
      <x:c r="D325" s="26"/>
      <x:c r="E325" s="26" t="str">
        <x:v>No observed search</x:v>
      </x:c>
      <x:c r="F325" s="26" t="str">
        <x:v>Retain exclusion for current scope</x:v>
      </x:c>
      <x:c r="G325" s="26" t="str">
        <x:v>TPA EXCLUDED</x:v>
      </x:c>
      <x:c r="H325" s="27" t="n">
        <x:v>256</x:v>
      </x:c>
      <x:c r="I325" s="27" t="n">
        <x:v>32</x:v>
      </x:c>
      <x:c r="J325" s="28" t="n">
        <x:v>1440.1193955514827</x:v>
      </x:c>
      <x:c r="K325" s="26"/>
      <x:c r="L325" s="26" t="str">
        <x:v>insufficient_span_or_epochs</x:v>
      </x:c>
      <x:c r="M325" s="26" t="str">
        <x:v>Absent from named inventory</x:v>
      </x:c>
      <x:c r="N325" s="26" t="str">
        <x:v>Absent from named inventory</x:v>
      </x:c>
      <x:c r="O325" s="26" t="str">
        <x:v>Absent from named inventory</x:v>
      </x:c>
      <x:c r="P325" s="26"/>
      <x:c r="Q325" s="26" t="str">
        <x:v>../Project Recherche Data/tpa-batch01-20260908/selection.json</x:v>
      </x:c>
      <x:c r="R325" s="26" t="str">
        <x:v>047722e4dca24e16c44c810f43990492b2f988012ca2b4bab47826ff4c95f1db</x:v>
      </x:c>
      <x:c r="S325" s="26" t="str">
        <x:v>f9439b48253949ae1862e61aca16246496f5cc6d0febe442acdfb452066025bf</x:v>
      </x:c>
      <x:c r="T325" s="26" t="str">
        <x:v>d8bf2379a17c6329a2149d7c93256836523cbd60aea29538b6dcc573dffb8850</x:v>
      </x:c>
    </x:row>
    <x:row r="326" ht="60" customHeight="1">
      <x:c r="A326" s="26" t="str">
        <x:v>J1547-5839</x:v>
      </x:c>
      <x:c r="B326" s="26" t="str"/>
      <x:c r="C326" s="26" t="str">
        <x:v>NOT_SEARCHED</x:v>
      </x:c>
      <x:c r="D326" s="26"/>
      <x:c r="E326" s="26" t="str">
        <x:v>No observed search</x:v>
      </x:c>
      <x:c r="F326" s="26" t="str">
        <x:v>Retain exclusion for current scope</x:v>
      </x:c>
      <x:c r="G326" s="26" t="str">
        <x:v>TPA EXCLUDED</x:v>
      </x:c>
      <x:c r="H326" s="27" t="n">
        <x:v>232</x:v>
      </x:c>
      <x:c r="I326" s="27" t="n">
        <x:v>29</x:v>
      </x:c>
      <x:c r="J326" s="28" t="n">
        <x:v>1440.1265930428563</x:v>
      </x:c>
      <x:c r="K326" s="26"/>
      <x:c r="L326" s="26" t="str">
        <x:v>insufficient_span_or_epochs</x:v>
      </x:c>
      <x:c r="M326" s="26" t="str">
        <x:v>Absent from named inventory</x:v>
      </x:c>
      <x:c r="N326" s="26" t="str">
        <x:v>Absent from named inventory</x:v>
      </x:c>
      <x:c r="O326" s="26" t="str">
        <x:v>Absent from named inventory</x:v>
      </x:c>
      <x:c r="P326" s="26"/>
      <x:c r="Q326" s="26" t="str">
        <x:v>../Project Recherche Data/tpa-batch01-20260908/selection.json</x:v>
      </x:c>
      <x:c r="R326" s="26" t="str">
        <x:v>047722e4dca24e16c44c810f43990492b2f988012ca2b4bab47826ff4c95f1db</x:v>
      </x:c>
      <x:c r="S326" s="26" t="str">
        <x:v>a1848957370df4ccfc335507553d0bf7f170a09c7152697dbde03b3d68383cf4</x:v>
      </x:c>
      <x:c r="T326" s="26" t="str">
        <x:v>818b9bdea336444c063cef91fce50a83d41b604476bed442b33f808ebd4950d6</x:v>
      </x:c>
    </x:row>
    <x:row r="327" ht="60" customHeight="1">
      <x:c r="A327" s="26" t="str">
        <x:v>J1548-4821</x:v>
      </x:c>
      <x:c r="B327" s="26" t="str"/>
      <x:c r="C327" s="26" t="str">
        <x:v>NOT_SEARCHED</x:v>
      </x:c>
      <x:c r="D327" s="26"/>
      <x:c r="E327" s="26" t="str">
        <x:v>No observed search</x:v>
      </x:c>
      <x:c r="F327" s="26" t="str">
        <x:v>Retain exclusion for current scope</x:v>
      </x:c>
      <x:c r="G327" s="26" t="str">
        <x:v>TPA EXCLUDED</x:v>
      </x:c>
      <x:c r="H327" s="27" t="n">
        <x:v>216</x:v>
      </x:c>
      <x:c r="I327" s="27" t="n">
        <x:v>27</x:v>
      </x:c>
      <x:c r="J327" s="28" t="n">
        <x:v>1131.2375465114092</x:v>
      </x:c>
      <x:c r="K327" s="26"/>
      <x:c r="L327" s="26" t="str">
        <x:v>insufficient_span_or_epochs</x:v>
      </x:c>
      <x:c r="M327" s="26" t="str">
        <x:v>Absent from named inventory</x:v>
      </x:c>
      <x:c r="N327" s="26" t="str">
        <x:v>Absent from named inventory</x:v>
      </x:c>
      <x:c r="O327" s="26" t="str">
        <x:v>Absent from named inventory</x:v>
      </x:c>
      <x:c r="P327" s="26"/>
      <x:c r="Q327" s="26" t="str">
        <x:v>../Project Recherche Data/tpa-batch01-20260908/selection.json</x:v>
      </x:c>
      <x:c r="R327" s="26" t="str">
        <x:v>047722e4dca24e16c44c810f43990492b2f988012ca2b4bab47826ff4c95f1db</x:v>
      </x:c>
      <x:c r="S327" s="26" t="str">
        <x:v>f1927cf88d80b182fcfdab0020a4d4e3534af77afb0b2ce780aac854bfd6dab7</x:v>
      </x:c>
      <x:c r="T327" s="26" t="str">
        <x:v>0cc3dff83f685dbe29f045c7887224074ad6a4a7e45281ef358ad60ec4368257</x:v>
      </x:c>
    </x:row>
    <x:row r="328" ht="60" customHeight="1">
      <x:c r="A328" s="26" t="str">
        <x:v>J1548-4927</x:v>
      </x:c>
      <x:c r="B328" s="26" t="str"/>
      <x:c r="C328" s="26" t="str">
        <x:v>NO_TRIGGER</x:v>
      </x:c>
      <x:c r="D328" s="26" t="str">
        <x:v>tpa-batch04-20260908-J1548-4927-run01</x:v>
      </x:c>
      <x:c r="E328" s="26" t="str">
        <x:v>No qualifying signal in eligible 30–400-day cells</x:v>
      </x:c>
      <x:c r="F328" s="26" t="str">
        <x:v>Retain result; consider independent data or a separately defined new scope</x:v>
      </x:c>
      <x:c r="G328" s="26" t="str">
        <x:v>SEARCHED</x:v>
      </x:c>
      <x:c r="H328" s="27" t="n">
        <x:v>456</x:v>
      </x:c>
      <x:c r="I328" s="27" t="n">
        <x:v>57</x:v>
      </x:c>
      <x:c r="J328" s="28" t="n">
        <x:v>1367.3374790110902</x:v>
      </x:c>
      <x:c r="K328" s="26" t="str">
        <x:v>tpa-batch04-20260908</x:v>
      </x:c>
      <x:c r="L328" s="26"/>
      <x:c r="M328" s="26" t="str">
        <x:v>Absent from named inventory</x:v>
      </x:c>
      <x:c r="N328" s="26" t="str">
        <x:v>Absent from named inventory</x:v>
      </x:c>
      <x:c r="O328" s="26" t="str">
        <x:v>Absent from named inventory</x:v>
      </x:c>
      <x:c r="P328" s="26"/>
      <x:c r="Q328" s="26" t="str">
        <x:v>../Project Recherche Data/tpa-batch04-20260908/selection.json</x:v>
      </x:c>
      <x:c r="R328" s="26" t="str">
        <x:v>88cb06482cd14a2f65e966c23ca1cdea20fdeb356fd59137885e0ec5f3b47d1a</x:v>
      </x:c>
      <x:c r="S328" s="26" t="str">
        <x:v>a869c0b2079065830ecf4de1bea169f8dcdca3dc215014c98b467278dacc1c8f</x:v>
      </x:c>
      <x:c r="T328" s="26" t="str">
        <x:v>2a3411dbd16360654a481a214d4ee82f899aff98c0fea0c1bd92667d8ef369bc</x:v>
      </x:c>
    </x:row>
    <x:row r="329" ht="60" customHeight="1">
      <x:c r="A329" s="26" t="str">
        <x:v>J1548-5607</x:v>
      </x:c>
      <x:c r="B329" s="26" t="str"/>
      <x:c r="C329" s="26" t="str">
        <x:v>NOT_SEARCHED</x:v>
      </x:c>
      <x:c r="D329" s="26"/>
      <x:c r="E329" s="26" t="str">
        <x:v>No observed search</x:v>
      </x:c>
      <x:c r="F329" s="26" t="str">
        <x:v>Retain exclusion for current scope</x:v>
      </x:c>
      <x:c r="G329" s="26" t="str">
        <x:v>TPA EXCLUDED</x:v>
      </x:c>
      <x:c r="H329" s="27" t="n">
        <x:v>232</x:v>
      </x:c>
      <x:c r="I329" s="27" t="n">
        <x:v>29</x:v>
      </x:c>
      <x:c r="J329" s="28" t="n">
        <x:v>1202.7851079971151</x:v>
      </x:c>
      <x:c r="K329" s="26"/>
      <x:c r="L329" s="26" t="str">
        <x:v>insufficient_span_or_epochs</x:v>
      </x:c>
      <x:c r="M329" s="26" t="str">
        <x:v>Absent from named inventory</x:v>
      </x:c>
      <x:c r="N329" s="26" t="str">
        <x:v>Absent from named inventory</x:v>
      </x:c>
      <x:c r="O329" s="26" t="str">
        <x:v>Absent from named inventory</x:v>
      </x:c>
      <x:c r="P329" s="26"/>
      <x:c r="Q329" s="26" t="str">
        <x:v>../Project Recherche Data/tpa-batch01-20260908/selection.json</x:v>
      </x:c>
      <x:c r="R329" s="26" t="str">
        <x:v>047722e4dca24e16c44c810f43990492b2f988012ca2b4bab47826ff4c95f1db</x:v>
      </x:c>
      <x:c r="S329" s="26" t="str">
        <x:v>f413f8426d456181ed3675336ba36536e6c6edfe98ef3dad919fe6f8e40bbad5</x:v>
      </x:c>
      <x:c r="T329" s="26" t="str">
        <x:v>b64b747481b3070288e85fc2dbf0daaea55ed407e97bd8d397f5d2fdbc2c0827</x:v>
      </x:c>
    </x:row>
    <x:row r="330" ht="60" customHeight="1">
      <x:c r="A330" s="26" t="str">
        <x:v>J1549-4848</x:v>
      </x:c>
      <x:c r="B330" s="26" t="str"/>
      <x:c r="C330" s="26" t="str">
        <x:v>NO_TRIGGER</x:v>
      </x:c>
      <x:c r="D330" s="26" t="str">
        <x:v>tpa-batch05-20260908-J1549-4848-run01</x:v>
      </x:c>
      <x:c r="E330" s="26" t="str">
        <x:v>No qualifying signal in eligible 30–400-day cells</x:v>
      </x:c>
      <x:c r="F330" s="26" t="str">
        <x:v>Retain result; consider independent data or a separately defined new scope</x:v>
      </x:c>
      <x:c r="G330" s="26" t="str">
        <x:v>SEARCHED</x:v>
      </x:c>
      <x:c r="H330" s="27" t="n">
        <x:v>424</x:v>
      </x:c>
      <x:c r="I330" s="27" t="n">
        <x:v>53</x:v>
      </x:c>
      <x:c r="J330" s="28" t="n">
        <x:v>1229.349852222338</x:v>
      </x:c>
      <x:c r="K330" s="26" t="str">
        <x:v>tpa-batch05-20260908</x:v>
      </x:c>
      <x:c r="L330" s="26"/>
      <x:c r="M330" s="26" t="str">
        <x:v>Absent from named inventory</x:v>
      </x:c>
      <x:c r="N330" s="26" t="str">
        <x:v>Absent from named inventory</x:v>
      </x:c>
      <x:c r="O330" s="26" t="str">
        <x:v>Absent from named inventory</x:v>
      </x:c>
      <x:c r="P330" s="26"/>
      <x:c r="Q330" s="26" t="str">
        <x:v>../Project Recherche Data/tpa-batch05-20260908/selection.json</x:v>
      </x:c>
      <x:c r="R330" s="26" t="str">
        <x:v>1212bfb743fa2d3f16f95056ab4d3c2b52ec5dd997358fe385b8fd00313b3907</x:v>
      </x:c>
      <x:c r="S330" s="26" t="str">
        <x:v>cee69088206522f0342940ab1be5c01f36d3099c9dda26cd3dee0f873d65ba65</x:v>
      </x:c>
      <x:c r="T330" s="26" t="str">
        <x:v>5f25154f145c2567c3deb0a3fbe024b4d871672f2ef6947c3b6eb867ccdedc8b</x:v>
      </x:c>
    </x:row>
    <x:row r="331" ht="60" customHeight="1">
      <x:c r="A331" s="26" t="str">
        <x:v>J1550-5242</x:v>
      </x:c>
      <x:c r="B331" s="26" t="str"/>
      <x:c r="C331" s="26" t="str">
        <x:v>NOT_SEARCHED</x:v>
      </x:c>
      <x:c r="D331" s="26"/>
      <x:c r="E331" s="26" t="str">
        <x:v>No observed search</x:v>
      </x:c>
      <x:c r="F331" s="26" t="str">
        <x:v>Retain exclusion for current scope</x:v>
      </x:c>
      <x:c r="G331" s="26" t="str">
        <x:v>TPA EXCLUDED</x:v>
      </x:c>
      <x:c r="H331" s="27" t="n">
        <x:v>256</x:v>
      </x:c>
      <x:c r="I331" s="27" t="n">
        <x:v>32</x:v>
      </x:c>
      <x:c r="J331" s="28" t="n">
        <x:v>1440.125913300195</x:v>
      </x:c>
      <x:c r="K331" s="26"/>
      <x:c r="L331" s="26" t="str">
        <x:v>insufficient_span_or_epochs</x:v>
      </x:c>
      <x:c r="M331" s="26" t="str">
        <x:v>Absent from named inventory</x:v>
      </x:c>
      <x:c r="N331" s="26" t="str">
        <x:v>Absent from named inventory</x:v>
      </x:c>
      <x:c r="O331" s="26" t="str">
        <x:v>Absent from named inventory</x:v>
      </x:c>
      <x:c r="P331" s="26"/>
      <x:c r="Q331" s="26" t="str">
        <x:v>../Project Recherche Data/tpa-batch01-20260908/selection.json</x:v>
      </x:c>
      <x:c r="R331" s="26" t="str">
        <x:v>047722e4dca24e16c44c810f43990492b2f988012ca2b4bab47826ff4c95f1db</x:v>
      </x:c>
      <x:c r="S331" s="26" t="str">
        <x:v>a777b525f1d7774450ea0040813a1df0a10cd2412f9ac594700d402b3003fac8</x:v>
      </x:c>
      <x:c r="T331" s="26" t="str">
        <x:v>96ff73a2c5ff56d2849e201025a7f1f0655a582ea08622862336779914955cbd</x:v>
      </x:c>
    </x:row>
    <x:row r="332" ht="60" customHeight="1">
      <x:c r="A332" s="26" t="str">
        <x:v>J1551-4424</x:v>
      </x:c>
      <x:c r="B332" s="26" t="str"/>
      <x:c r="C332" s="26" t="str">
        <x:v>NOT_SEARCHED</x:v>
      </x:c>
      <x:c r="D332" s="26"/>
      <x:c r="E332" s="26" t="str">
        <x:v>No observed search</x:v>
      </x:c>
      <x:c r="F332" s="26" t="str">
        <x:v>Retain exclusion for current scope</x:v>
      </x:c>
      <x:c r="G332" s="26" t="str">
        <x:v>TPA EXCLUDED</x:v>
      </x:c>
      <x:c r="H332" s="27" t="n">
        <x:v>401</x:v>
      </x:c>
      <x:c r="I332" s="27" t="n">
        <x:v>54</x:v>
      </x:c>
      <x:c r="J332" s="28" t="n">
        <x:v>1194.899949139828</x:v>
      </x:c>
      <x:c r="K332" s="26"/>
      <x:c r="L332" s="26" t="str">
        <x:v>insufficient_span_or_epochs</x:v>
      </x:c>
      <x:c r="M332" s="26" t="str">
        <x:v>Absent from named inventory</x:v>
      </x:c>
      <x:c r="N332" s="26" t="str">
        <x:v>Absent from named inventory</x:v>
      </x:c>
      <x:c r="O332" s="26" t="str">
        <x:v>Absent from named inventory</x:v>
      </x:c>
      <x:c r="P332" s="26"/>
      <x:c r="Q332" s="26" t="str">
        <x:v>../Project Recherche Data/tpa-batch01-20260908/selection.json</x:v>
      </x:c>
      <x:c r="R332" s="26" t="str">
        <x:v>047722e4dca24e16c44c810f43990492b2f988012ca2b4bab47826ff4c95f1db</x:v>
      </x:c>
      <x:c r="S332" s="26" t="str">
        <x:v>aa61aab0c071068d689b016730b8fe915383932d8badc7fe63eadf2e504ac6b3</x:v>
      </x:c>
      <x:c r="T332" s="26" t="str">
        <x:v>c36aaf2d37a56ffb4b13ab7a816ceb6590a72ba404363501240af3838a0b4bc2</x:v>
      </x:c>
    </x:row>
    <x:row r="333" ht="60" customHeight="1">
      <x:c r="A333" s="26" t="str">
        <x:v>J1551-6214</x:v>
      </x:c>
      <x:c r="B333" s="26" t="str"/>
      <x:c r="C333" s="26" t="str">
        <x:v>NOT_SEARCHED</x:v>
      </x:c>
      <x:c r="D333" s="26"/>
      <x:c r="E333" s="26" t="str">
        <x:v>No observed search</x:v>
      </x:c>
      <x:c r="F333" s="26" t="str">
        <x:v>Retain exclusion for current scope</x:v>
      </x:c>
      <x:c r="G333" s="26" t="str">
        <x:v>TPA EXCLUDED</x:v>
      </x:c>
      <x:c r="H333" s="27" t="n">
        <x:v>408</x:v>
      </x:c>
      <x:c r="I333" s="27" t="n">
        <x:v>51</x:v>
      </x:c>
      <x:c r="J333" s="28" t="n">
        <x:v>1141.0358248265693</x:v>
      </x:c>
      <x:c r="K333" s="26"/>
      <x:c r="L333" s="26" t="str">
        <x:v>insufficient_span_or_epochs</x:v>
      </x:c>
      <x:c r="M333" s="26" t="str">
        <x:v>Absent from named inventory</x:v>
      </x:c>
      <x:c r="N333" s="26" t="str">
        <x:v>Absent from named inventory</x:v>
      </x:c>
      <x:c r="O333" s="26" t="str">
        <x:v>Absent from named inventory</x:v>
      </x:c>
      <x:c r="P333" s="26"/>
      <x:c r="Q333" s="26" t="str">
        <x:v>../Project Recherche Data/tpa-batch01-20260908/selection.json</x:v>
      </x:c>
      <x:c r="R333" s="26" t="str">
        <x:v>047722e4dca24e16c44c810f43990492b2f988012ca2b4bab47826ff4c95f1db</x:v>
      </x:c>
      <x:c r="S333" s="26" t="str">
        <x:v>44adb06621b4b38385048a90b8cfe64530642de9eba685230123e2ca11cd8eea</x:v>
      </x:c>
      <x:c r="T333" s="26" t="str">
        <x:v>1525a1b5909eed2e09e3a1e943550f3fc712d6b2b4b4ac986a50f432d59932e9</x:v>
      </x:c>
    </x:row>
    <x:row r="334" ht="60" customHeight="1">
      <x:c r="A334" s="26" t="str">
        <x:v>J1555-2341</x:v>
      </x:c>
      <x:c r="B334" s="26" t="str">
        <x:v>B1552-23</x:v>
      </x:c>
      <x:c r="C334" s="26" t="str">
        <x:v>NO_TRIGGER</x:v>
      </x:c>
      <x:c r="D334" s="26" t="str">
        <x:v>tpa-batch08-20260908-J1555-2341-run01</x:v>
      </x:c>
      <x:c r="E334" s="26" t="str">
        <x:v>No qualifying signal in eligible 30–400-day cells</x:v>
      </x:c>
      <x:c r="F334" s="26" t="str">
        <x:v>Retain result; consider independent data or a separately defined new scope</x:v>
      </x:c>
      <x:c r="G334" s="26" t="str">
        <x:v>SEARCHED</x:v>
      </x:c>
      <x:c r="H334" s="27" t="n">
        <x:v>432</x:v>
      </x:c>
      <x:c r="I334" s="27" t="n">
        <x:v>54</x:v>
      </x:c>
      <x:c r="J334" s="28" t="n">
        <x:v>1290.4696071767103</x:v>
      </x:c>
      <x:c r="K334" s="26" t="str">
        <x:v>tpa-batch08-20260908</x:v>
      </x:c>
      <x:c r="L334" s="26"/>
      <x:c r="M334" s="26" t="str">
        <x:v>Present</x:v>
      </x:c>
      <x:c r="N334" s="26" t="str">
        <x:v>Absent from named inventory</x:v>
      </x:c>
      <x:c r="O334" s="26" t="str">
        <x:v>Absent from named inventory</x:v>
      </x:c>
      <x:c r="P334" s="26"/>
      <x:c r="Q334" s="26" t="str">
        <x:v>../Project Recherche Data/tpa-batch08-20260908/selection.json</x:v>
      </x:c>
      <x:c r="R334" s="26" t="str">
        <x:v>6fe595c0d188861ebc661368dcb361d40c70c01fd3243f0147e51a513ec4e764</x:v>
      </x:c>
      <x:c r="S334" s="26" t="str">
        <x:v>5a2c057d41da96eda8c1e3172c7d949e37c00bf562ed712532fa6144f386ff47</x:v>
      </x:c>
      <x:c r="T334" s="26" t="str">
        <x:v>1fc579b40f1616da2d7617c5062381c3d835411d2cf4065c26dba17be1ae0d16</x:v>
      </x:c>
    </x:row>
    <x:row r="335" ht="60" customHeight="1">
      <x:c r="A335" s="26" t="str">
        <x:v>J1555-3134</x:v>
      </x:c>
      <x:c r="B335" s="26" t="str">
        <x:v>B1552-31</x:v>
      </x:c>
      <x:c r="C335" s="26" t="str">
        <x:v>NOT_SEARCHED</x:v>
      </x:c>
      <x:c r="D335" s="26"/>
      <x:c r="E335" s="26" t="str">
        <x:v>No observed search</x:v>
      </x:c>
      <x:c r="F335" s="26" t="str">
        <x:v>Retain exclusion for current scope</x:v>
      </x:c>
      <x:c r="G335" s="26" t="str">
        <x:v>TPA EXCLUDED</x:v>
      </x:c>
      <x:c r="H335" s="27" t="n">
        <x:v>96</x:v>
      </x:c>
      <x:c r="I335" s="27" t="n">
        <x:v>12</x:v>
      </x:c>
      <x:c r="J335" s="28" t="n">
        <x:v>480.9085019103877</x:v>
      </x:c>
      <x:c r="K335" s="26"/>
      <x:c r="L335" s="26" t="str">
        <x:v>insufficient_span_or_epochs</x:v>
      </x:c>
      <x:c r="M335" s="26" t="str">
        <x:v>Present</x:v>
      </x:c>
      <x:c r="N335" s="26" t="str">
        <x:v>Absent from named inventory</x:v>
      </x:c>
      <x:c r="O335" s="26" t="str">
        <x:v>Absent from named inventory</x:v>
      </x:c>
      <x:c r="P335" s="26"/>
      <x:c r="Q335" s="26" t="str">
        <x:v>../Project Recherche Data/tpa-batch01-20260908/selection.json</x:v>
      </x:c>
      <x:c r="R335" s="26" t="str">
        <x:v>047722e4dca24e16c44c810f43990492b2f988012ca2b4bab47826ff4c95f1db</x:v>
      </x:c>
      <x:c r="S335" s="26" t="str">
        <x:v>d495e61b88cdd0814cfbb8baba702a7f68ac36e3a830356fe13df9202ab25eab</x:v>
      </x:c>
      <x:c r="T335" s="26" t="str">
        <x:v>c18cf7e6ca554425f56f77e6c2544e83631a1688103c6e5b80fd589c05a92f20</x:v>
      </x:c>
    </x:row>
    <x:row r="336" ht="60" customHeight="1">
      <x:c r="A336" s="26" t="str">
        <x:v>J1557-4258</x:v>
      </x:c>
      <x:c r="B336" s="26" t="str"/>
      <x:c r="C336" s="26" t="str">
        <x:v>NO_TRIGGER</x:v>
      </x:c>
      <x:c r="D336" s="26" t="str">
        <x:v>utmost-batch02-20260909-J1557-4258-run01</x:v>
      </x:c>
      <x:c r="E336" s="26" t="str">
        <x:v>No qualifying signal in eligible 30–400-day cells</x:v>
      </x:c>
      <x:c r="F336" s="26" t="str">
        <x:v>Retain result; consider independent data or a separately defined new scope</x:v>
      </x:c>
      <x:c r="G336" s="26" t="str">
        <x:v>UTMOST SEARCHED</x:v>
      </x:c>
      <x:c r="H336" s="27" t="n">
        <x:v>96</x:v>
      </x:c>
      <x:c r="I336" s="27" t="n">
        <x:v>12</x:v>
      </x:c>
      <x:c r="J336" s="28" t="n">
        <x:v>480.91889297626767</x:v>
      </x:c>
      <x:c r="K336" s="26"/>
      <x:c r="L336" s="26" t="str">
        <x:v>insufficient_span_or_epochs</x:v>
      </x:c>
      <x:c r="M336" s="26" t="str">
        <x:v>Absent from named inventory</x:v>
      </x:c>
      <x:c r="N336" s="26" t="str">
        <x:v>Absent from named inventory</x:v>
      </x:c>
      <x:c r="O336" s="26" t="str">
        <x:v>Absent from named inventory</x:v>
      </x:c>
      <x:c r="P336" s="26"/>
      <x:c r="Q336" s="26" t="str">
        <x:v>../Project Recherche Data/tpa-batch01-20260908/selection.json</x:v>
      </x:c>
      <x:c r="R336" s="26" t="str">
        <x:v>047722e4dca24e16c44c810f43990492b2f988012ca2b4bab47826ff4c95f1db</x:v>
      </x:c>
      <x:c r="S336" s="26" t="str">
        <x:v>f535ff20076d8cdc4c84b23ae43ef52f244ec8dc7487b6df56f9b1eaafdc1c0b</x:v>
      </x:c>
      <x:c r="T336" s="26" t="str">
        <x:v>711911aadeeaae1f06d17ae471bed0ef4794c313f0c1a3119786c614d09a63d4</x:v>
      </x:c>
    </x:row>
    <x:row r="337" ht="60" customHeight="1">
      <x:c r="A337" s="26" t="str">
        <x:v>J1559-4438</x:v>
      </x:c>
      <x:c r="B337" s="26" t="str">
        <x:v>B1556-44</x:v>
      </x:c>
      <x:c r="C337" s="26" t="str">
        <x:v>NO_TRIGGER</x:v>
      </x:c>
      <x:c r="D337" s="26" t="str">
        <x:v>utmost-batch02-20260909-J1559-4438-run01</x:v>
      </x:c>
      <x:c r="E337" s="26" t="str">
        <x:v>No qualifying signal in eligible 30–400-day cells</x:v>
      </x:c>
      <x:c r="F337" s="26" t="str">
        <x:v>Retain result; consider independent data or a separately defined new scope</x:v>
      </x:c>
      <x:c r="G337" s="26" t="str">
        <x:v>UTMOST SEARCHED</x:v>
      </x:c>
      <x:c r="H337" s="27" t="n">
        <x:v>96</x:v>
      </x:c>
      <x:c r="I337" s="27" t="n">
        <x:v>12</x:v>
      </x:c>
      <x:c r="J337" s="28" t="n">
        <x:v>480.92786459739</x:v>
      </x:c>
      <x:c r="K337" s="26"/>
      <x:c r="L337" s="26" t="str">
        <x:v>insufficient_span_or_epochs</x:v>
      </x:c>
      <x:c r="M337" s="26" t="str">
        <x:v>Absent from named inventory</x:v>
      </x:c>
      <x:c r="N337" s="26" t="str">
        <x:v>Absent from named inventory</x:v>
      </x:c>
      <x:c r="O337" s="26" t="str">
        <x:v>Absent from named inventory</x:v>
      </x:c>
      <x:c r="P337" s="26"/>
      <x:c r="Q337" s="26" t="str">
        <x:v>../Project Recherche Data/tpa-batch01-20260908/selection.json</x:v>
      </x:c>
      <x:c r="R337" s="26" t="str">
        <x:v>047722e4dca24e16c44c810f43990492b2f988012ca2b4bab47826ff4c95f1db</x:v>
      </x:c>
      <x:c r="S337" s="26" t="str">
        <x:v>adb3847eed481999f1fcff16240de86e0bb51077fd8d859985a8cad9140bd6d5</x:v>
      </x:c>
      <x:c r="T337" s="26" t="str">
        <x:v>c8d3c37b6fa249bf3732c4bfb1d89431651bbad6bb6b6fa38b2f02761aeb9c09</x:v>
      </x:c>
    </x:row>
    <x:row r="338" ht="60" customHeight="1">
      <x:c r="A338" s="26" t="str">
        <x:v>J1600-5044</x:v>
      </x:c>
      <x:c r="B338" s="26" t="str">
        <x:v>B1557-50</x:v>
      </x:c>
      <x:c r="C338" s="26" t="str">
        <x:v>NO_TRIGGER</x:v>
      </x:c>
      <x:c r="D338" s="26" t="str">
        <x:v>utmost-batch04-20260909-J1600-5044-run01</x:v>
      </x:c>
      <x:c r="E338" s="26" t="str">
        <x:v>No qualifying signal in eligible 30–400-day cells</x:v>
      </x:c>
      <x:c r="F338" s="26" t="str">
        <x:v>Retain result; consider independent data or a separately defined new scope</x:v>
      </x:c>
      <x:c r="G338" s="26" t="str">
        <x:v>UTMOST SEARCHED</x:v>
      </x:c>
      <x:c r="H338" s="27" t="n">
        <x:v>408</x:v>
      </x:c>
      <x:c r="I338" s="27" t="n">
        <x:v>51</x:v>
      </x:c>
      <x:c r="J338" s="28" t="n">
        <x:v>1258.7205681149062</x:v>
      </x:c>
      <x:c r="K338" s="26" t="str">
        <x:v>tpa-batch02-20260908</x:v>
      </x:c>
      <x:c r="L338" s="26"/>
      <x:c r="M338" s="26" t="str">
        <x:v>Absent from named inventory</x:v>
      </x:c>
      <x:c r="N338" s="26" t="str">
        <x:v>Absent from named inventory</x:v>
      </x:c>
      <x:c r="O338" s="26" t="str">
        <x:v>Absent from named inventory</x:v>
      </x:c>
      <x:c r="P338" s="26"/>
      <x:c r="Q338" s="26" t="str">
        <x:v>../Project Recherche Data/tpa-batch02-20260908/selection.json</x:v>
      </x:c>
      <x:c r="R338" s="26" t="str">
        <x:v>eafdf9d3c8016443c502ba19ffd89257148144d3a88befddff9c95b47674d326</x:v>
      </x:c>
      <x:c r="S338" s="26" t="str">
        <x:v>4b5385911471439ad206903d89e15dacb7e4c95de0ff271a8d34c4fec49404fe</x:v>
      </x:c>
      <x:c r="T338" s="26" t="str">
        <x:v>08af5a7086425fbccbe41a625e0790afe7fbc950e3f4593deb17bb3b9a8b2094</x:v>
      </x:c>
    </x:row>
    <x:row r="339" ht="60" customHeight="1">
      <x:c r="A339" s="26" t="str">
        <x:v>J1600-5751</x:v>
      </x:c>
      <x:c r="B339" s="26" t="str">
        <x:v>B1556-57</x:v>
      </x:c>
      <x:c r="C339" s="26" t="str">
        <x:v>NOT_SEARCHED</x:v>
      </x:c>
      <x:c r="D339" s="26"/>
      <x:c r="E339" s="26" t="str">
        <x:v>No observed search</x:v>
      </x:c>
      <x:c r="F339" s="26" t="str">
        <x:v>Retain exclusion for current scope</x:v>
      </x:c>
      <x:c r="G339" s="26" t="str">
        <x:v>TPA EXCLUDED</x:v>
      </x:c>
      <x:c r="H339" s="27" t="n">
        <x:v>96</x:v>
      </x:c>
      <x:c r="I339" s="27" t="n">
        <x:v>12</x:v>
      </x:c>
      <x:c r="J339" s="28" t="n">
        <x:v>480.92353114208527</x:v>
      </x:c>
      <x:c r="K339" s="26"/>
      <x:c r="L339" s="26" t="str">
        <x:v>insufficient_span_or_epochs</x:v>
      </x:c>
      <x:c r="M339" s="26" t="str">
        <x:v>Absent from named inventory</x:v>
      </x:c>
      <x:c r="N339" s="26" t="str">
        <x:v>Absent from named inventory</x:v>
      </x:c>
      <x:c r="O339" s="26" t="str">
        <x:v>Absent from named inventory</x:v>
      </x:c>
      <x:c r="P339" s="26"/>
      <x:c r="Q339" s="26" t="str">
        <x:v>../Project Recherche Data/tpa-batch01-20260908/selection.json</x:v>
      </x:c>
      <x:c r="R339" s="26" t="str">
        <x:v>047722e4dca24e16c44c810f43990492b2f988012ca2b4bab47826ff4c95f1db</x:v>
      </x:c>
      <x:c r="S339" s="26" t="str">
        <x:v>0cc79534c0e3832367ba002c2c4e41535a96628dea805e960878582de623be91</x:v>
      </x:c>
      <x:c r="T339" s="26" t="str">
        <x:v>bcfe0c2f9c36fb102811e954481e94962417e80a1a3c2b816b81a4c0735a0150</x:v>
      </x:c>
    </x:row>
    <x:row r="340" ht="60" customHeight="1">
      <x:c r="A340" s="26" t="str">
        <x:v>J1602-5100</x:v>
      </x:c>
      <x:c r="B340" s="26" t="str">
        <x:v>B1558-50</x:v>
      </x:c>
      <x:c r="C340" s="26" t="str">
        <x:v>NO_TRIGGER</x:v>
      </x:c>
      <x:c r="D340" s="26" t="str">
        <x:v>tpa-batch05-20260908-J1602-5100-run01</x:v>
      </x:c>
      <x:c r="E340" s="26" t="str">
        <x:v>No qualifying signal in eligible 30–400-day cells</x:v>
      </x:c>
      <x:c r="F340" s="26" t="str">
        <x:v>Retain result; consider independent data or a separately defined new scope</x:v>
      </x:c>
      <x:c r="G340" s="26" t="str">
        <x:v>SEARCHED</x:v>
      </x:c>
      <x:c r="H340" s="27" t="n">
        <x:v>455</x:v>
      </x:c>
      <x:c r="I340" s="27" t="n">
        <x:v>57</x:v>
      </x:c>
      <x:c r="J340" s="28" t="n">
        <x:v>1469.8758390878356</x:v>
      </x:c>
      <x:c r="K340" s="26" t="str">
        <x:v>tpa-batch05-20260908</x:v>
      </x:c>
      <x:c r="L340" s="26"/>
      <x:c r="M340" s="26" t="str">
        <x:v>Absent from named inventory</x:v>
      </x:c>
      <x:c r="N340" s="26" t="str">
        <x:v>Absent from named inventory</x:v>
      </x:c>
      <x:c r="O340" s="26" t="str">
        <x:v>Absent from named inventory</x:v>
      </x:c>
      <x:c r="P340" s="26"/>
      <x:c r="Q340" s="26" t="str">
        <x:v>../Project Recherche Data/tpa-batch05-20260908/selection.json</x:v>
      </x:c>
      <x:c r="R340" s="26" t="str">
        <x:v>1212bfb743fa2d3f16f95056ab4d3c2b52ec5dd997358fe385b8fd00313b3907</x:v>
      </x:c>
      <x:c r="S340" s="26" t="str">
        <x:v>5188aea15e77503a6d019513aa8e210ada47bb40d208aa812ccc39cb8ed5649e</x:v>
      </x:c>
      <x:c r="T340" s="26" t="str">
        <x:v>98931c4a070b14325d01ab6a42ff7df4dae70e8fbfe4de23600d3e293a774edc</x:v>
      </x:c>
    </x:row>
    <x:row r="341" ht="60" customHeight="1">
      <x:c r="A341" s="26" t="str">
        <x:v>J1603-2712</x:v>
      </x:c>
      <x:c r="B341" s="26" t="str">
        <x:v>B1600-27</x:v>
      </x:c>
      <x:c r="C341" s="26" t="str">
        <x:v>NO_TRIGGER</x:v>
      </x:c>
      <x:c r="D341" s="26" t="str">
        <x:v>tpa-batch09-20260908-J1603-2712-run01</x:v>
      </x:c>
      <x:c r="E341" s="26" t="str">
        <x:v>No qualifying signal in eligible 30–400-day cells</x:v>
      </x:c>
      <x:c r="F341" s="26" t="str">
        <x:v>Retain result; consider independent data or a separately defined new scope</x:v>
      </x:c>
      <x:c r="G341" s="26" t="str">
        <x:v>SEARCHED</x:v>
      </x:c>
      <x:c r="H341" s="27" t="n">
        <x:v>436</x:v>
      </x:c>
      <x:c r="I341" s="27" t="n">
        <x:v>56</x:v>
      </x:c>
      <x:c r="J341" s="28" t="n">
        <x:v>1284.4018311056934</x:v>
      </x:c>
      <x:c r="K341" s="26" t="str">
        <x:v>tpa-batch09-20260908</x:v>
      </x:c>
      <x:c r="L341" s="26"/>
      <x:c r="M341" s="26" t="str">
        <x:v>Present</x:v>
      </x:c>
      <x:c r="N341" s="26" t="str">
        <x:v>Absent from named inventory</x:v>
      </x:c>
      <x:c r="O341" s="26" t="str">
        <x:v>Absent from named inventory</x:v>
      </x:c>
      <x:c r="P341" s="26"/>
      <x:c r="Q341" s="26" t="str">
        <x:v>../Project Recherche Data/tpa-batch09-20260908/selection.json</x:v>
      </x:c>
      <x:c r="R341" s="26" t="str">
        <x:v>395304d24c4ccc368723e19c91081b318fa94afe187f103f7b2ae19ebdbfa4d6</x:v>
      </x:c>
      <x:c r="S341" s="26" t="str">
        <x:v>99bf191f6ccfaef021cf1eae91a6eed17984934b49ebab81e634c9737badf31d</x:v>
      </x:c>
      <x:c r="T341" s="26" t="str">
        <x:v>2bc06c64d45535b9684948e0eecf667f4e7c67321447ebbba254b2a5a1c328d3</x:v>
      </x:c>
    </x:row>
    <x:row r="342" ht="60" customHeight="1">
      <x:c r="A342" s="26" t="str">
        <x:v>J1603-3539</x:v>
      </x:c>
      <x:c r="B342" s="26" t="str"/>
      <x:c r="C342" s="26" t="str">
        <x:v>NOT_SEARCHED</x:v>
      </x:c>
      <x:c r="D342" s="26"/>
      <x:c r="E342" s="26" t="str">
        <x:v>No observed search</x:v>
      </x:c>
      <x:c r="F342" s="26" t="str">
        <x:v>Retain exclusion for current scope</x:v>
      </x:c>
      <x:c r="G342" s="26" t="str">
        <x:v>TPA EXCLUDED</x:v>
      </x:c>
      <x:c r="H342" s="27" t="n">
        <x:v>232</x:v>
      </x:c>
      <x:c r="I342" s="27" t="n">
        <x:v>29</x:v>
      </x:c>
      <x:c r="J342" s="28" t="n">
        <x:v>1280.732661570939</x:v>
      </x:c>
      <x:c r="K342" s="26"/>
      <x:c r="L342" s="26" t="str">
        <x:v>insufficient_span_or_epochs</x:v>
      </x:c>
      <x:c r="M342" s="26" t="str">
        <x:v>Absent from named inventory</x:v>
      </x:c>
      <x:c r="N342" s="26" t="str">
        <x:v>Absent from named inventory</x:v>
      </x:c>
      <x:c r="O342" s="26" t="str">
        <x:v>Absent from named inventory</x:v>
      </x:c>
      <x:c r="P342" s="26"/>
      <x:c r="Q342" s="26" t="str">
        <x:v>../Project Recherche Data/tpa-batch01-20260908/selection.json</x:v>
      </x:c>
      <x:c r="R342" s="26" t="str">
        <x:v>047722e4dca24e16c44c810f43990492b2f988012ca2b4bab47826ff4c95f1db</x:v>
      </x:c>
      <x:c r="S342" s="26" t="str">
        <x:v>4e05a599755e6577cd47e88e20d45f1b3f0586355a778d88971572381f72787b</x:v>
      </x:c>
      <x:c r="T342" s="26" t="str">
        <x:v>5b2b71e7ee162479d84e30759600d033feef9b66dce08e08e279a8ea66a48b0d</x:v>
      </x:c>
    </x:row>
    <x:row r="343" ht="60" customHeight="1">
      <x:c r="A343" s="26" t="str">
        <x:v>J1603-5657</x:v>
      </x:c>
      <x:c r="B343" s="26" t="str"/>
      <x:c r="C343" s="26" t="str">
        <x:v>NO_TRIGGER</x:v>
      </x:c>
      <x:c r="D343" s="26" t="str">
        <x:v>tpa-batch03-20260908-J1603-5657-run01</x:v>
      </x:c>
      <x:c r="E343" s="26" t="str">
        <x:v>No qualifying signal in eligible 30–400-day cells</x:v>
      </x:c>
      <x:c r="F343" s="26" t="str">
        <x:v>Retain result; consider independent data or a separately defined new scope</x:v>
      </x:c>
      <x:c r="G343" s="26" t="str">
        <x:v>SEARCHED</x:v>
      </x:c>
      <x:c r="H343" s="27" t="n">
        <x:v>431</x:v>
      </x:c>
      <x:c r="I343" s="27" t="n">
        <x:v>54</x:v>
      </x:c>
      <x:c r="J343" s="28" t="n">
        <x:v>1229.3212414419177</x:v>
      </x:c>
      <x:c r="K343" s="26" t="str">
        <x:v>tpa-batch03-20260908</x:v>
      </x:c>
      <x:c r="L343" s="26"/>
      <x:c r="M343" s="26" t="str">
        <x:v>Absent from named inventory</x:v>
      </x:c>
      <x:c r="N343" s="26" t="str">
        <x:v>Absent from named inventory</x:v>
      </x:c>
      <x:c r="O343" s="26" t="str">
        <x:v>Absent from named inventory</x:v>
      </x:c>
      <x:c r="P343" s="26"/>
      <x:c r="Q343" s="26" t="str">
        <x:v>../Project Recherche Data/tpa-batch03-20260908/selection.json</x:v>
      </x:c>
      <x:c r="R343" s="26" t="str">
        <x:v>1cf7dc46e02f8f80971416baec3f4bb7357340d0174269b7b50fc11887c0df28</x:v>
      </x:c>
      <x:c r="S343" s="26" t="str">
        <x:v>7a093262fae4114e4749fcf8cf838ea819ef2d6c39babc9c76ba77b771ae85ea</x:v>
      </x:c>
      <x:c r="T343" s="26" t="str">
        <x:v>2a22a6f4616e72ebeeb3ff1ee515b97392a6bf987d0444b542b76552b0df7ecf</x:v>
      </x:c>
    </x:row>
    <x:row r="344" ht="60" customHeight="1">
      <x:c r="A344" s="26" t="str">
        <x:v>J1604-4909</x:v>
      </x:c>
      <x:c r="B344" s="26" t="str">
        <x:v>B1600-49</x:v>
      </x:c>
      <x:c r="C344" s="26" t="str">
        <x:v>NO_TRIGGER</x:v>
      </x:c>
      <x:c r="D344" s="26" t="str">
        <x:v>utmost-batch02-20260909-J1604-4909-run01</x:v>
      </x:c>
      <x:c r="E344" s="26" t="str">
        <x:v>No qualifying signal in eligible 30–400-day cells</x:v>
      </x:c>
      <x:c r="F344" s="26" t="str">
        <x:v>Retain result; consider independent data or a separately defined new scope</x:v>
      </x:c>
      <x:c r="G344" s="26" t="str">
        <x:v>UTMOST SEARCHED</x:v>
      </x:c>
      <x:c r="H344" s="27" t="n">
        <x:v>96</x:v>
      </x:c>
      <x:c r="I344" s="27" t="n">
        <x:v>12</x:v>
      </x:c>
      <x:c r="J344" s="28" t="n">
        <x:v>480.9120935062092</x:v>
      </x:c>
      <x:c r="K344" s="26"/>
      <x:c r="L344" s="26" t="str">
        <x:v>insufficient_span_or_epochs</x:v>
      </x:c>
      <x:c r="M344" s="26" t="str">
        <x:v>Absent from named inventory</x:v>
      </x:c>
      <x:c r="N344" s="26" t="str">
        <x:v>Absent from named inventory</x:v>
      </x:c>
      <x:c r="O344" s="26" t="str">
        <x:v>Absent from named inventory</x:v>
      </x:c>
      <x:c r="P344" s="26"/>
      <x:c r="Q344" s="26" t="str">
        <x:v>../Project Recherche Data/tpa-batch01-20260908/selection.json</x:v>
      </x:c>
      <x:c r="R344" s="26" t="str">
        <x:v>047722e4dca24e16c44c810f43990492b2f988012ca2b4bab47826ff4c95f1db</x:v>
      </x:c>
      <x:c r="S344" s="26" t="str">
        <x:v>119ae52623f9546cc92f8a74da0e208ccc5cf292cfcfa7b7c7a1a8a7920e0c6f</x:v>
      </x:c>
      <x:c r="T344" s="26" t="str">
        <x:v>42de7e1b542e85a77e5dcb2de5566317850716ea6f76a7bb0f9dc810c00a9db3</x:v>
      </x:c>
    </x:row>
    <x:row r="345" ht="60" customHeight="1">
      <x:c r="A345" s="26" t="str">
        <x:v>J1605-5257</x:v>
      </x:c>
      <x:c r="B345" s="26" t="str">
        <x:v>B1601-52</x:v>
      </x:c>
      <x:c r="C345" s="26" t="str">
        <x:v>NO_TRIGGER</x:v>
      </x:c>
      <x:c r="D345" s="26" t="str">
        <x:v>utmost-batch04-20260909-J1605-5257-run01</x:v>
      </x:c>
      <x:c r="E345" s="26" t="str">
        <x:v>No qualifying signal in eligible 30–400-day cells</x:v>
      </x:c>
      <x:c r="F345" s="26" t="str">
        <x:v>Retain result; consider independent data or a separately defined new scope</x:v>
      </x:c>
      <x:c r="G345" s="26" t="str">
        <x:v>UTMOST SEARCHED</x:v>
      </x:c>
      <x:c r="H345" s="27" t="n">
        <x:v>438</x:v>
      </x:c>
      <x:c r="I345" s="27" t="n">
        <x:v>56</x:v>
      </x:c>
      <x:c r="J345" s="28" t="n">
        <x:v>1519.679565813669</x:v>
      </x:c>
      <x:c r="K345" s="26" t="str">
        <x:v>tpa-batch05-20260908</x:v>
      </x:c>
      <x:c r="L345" s="26"/>
      <x:c r="M345" s="26" t="str">
        <x:v>Absent from named inventory</x:v>
      </x:c>
      <x:c r="N345" s="26" t="str">
        <x:v>Absent from named inventory</x:v>
      </x:c>
      <x:c r="O345" s="26" t="str">
        <x:v>Absent from named inventory</x:v>
      </x:c>
      <x:c r="P345" s="26"/>
      <x:c r="Q345" s="26" t="str">
        <x:v>../Project Recherche Data/tpa-batch05-20260908/selection.json</x:v>
      </x:c>
      <x:c r="R345" s="26" t="str">
        <x:v>1212bfb743fa2d3f16f95056ab4d3c2b52ec5dd997358fe385b8fd00313b3907</x:v>
      </x:c>
      <x:c r="S345" s="26" t="str">
        <x:v>626e2417b7efa3f636246b70d6541256dd76d389e23d9419ee8adae96645ca24</x:v>
      </x:c>
      <x:c r="T345" s="26" t="str">
        <x:v>27d4dba8ccb708eea46c4f9e459c817065c755283861d770593fcbad74abdfb5</x:v>
      </x:c>
    </x:row>
    <x:row r="346" ht="60" customHeight="1">
      <x:c r="A346" s="26" t="str">
        <x:v>J1607-0032</x:v>
      </x:c>
      <x:c r="B346" s="26" t="str">
        <x:v>B1604-00</x:v>
      </x:c>
      <x:c r="C346" s="26" t="str">
        <x:v>NO_TRIGGER</x:v>
      </x:c>
      <x:c r="D346" s="26" t="str">
        <x:v>tpa-batch08-20260908-J1607-0032-run01</x:v>
      </x:c>
      <x:c r="E346" s="26" t="str">
        <x:v>No qualifying signal in eligible 30–400-day cells</x:v>
      </x:c>
      <x:c r="F346" s="26" t="str">
        <x:v>Retain result; consider independent data or a separately defined new scope</x:v>
      </x:c>
      <x:c r="G346" s="26" t="str">
        <x:v>SEARCHED</x:v>
      </x:c>
      <x:c r="H346" s="27" t="n">
        <x:v>403</x:v>
      </x:c>
      <x:c r="I346" s="27" t="n">
        <x:v>53</x:v>
      </x:c>
      <x:c r="J346" s="28" t="n">
        <x:v>1290.3725802256522</x:v>
      </x:c>
      <x:c r="K346" s="26" t="str">
        <x:v>tpa-batch08-20260908</x:v>
      </x:c>
      <x:c r="L346" s="26"/>
      <x:c r="M346" s="26" t="str">
        <x:v>Present</x:v>
      </x:c>
      <x:c r="N346" s="26" t="str">
        <x:v>Absent from named inventory</x:v>
      </x:c>
      <x:c r="O346" s="26" t="str">
        <x:v>Absent from named inventory</x:v>
      </x:c>
      <x:c r="P346" s="26"/>
      <x:c r="Q346" s="26" t="str">
        <x:v>../Project Recherche Data/tpa-batch08-20260908/selection.json</x:v>
      </x:c>
      <x:c r="R346" s="26" t="str">
        <x:v>6fe595c0d188861ebc661368dcb361d40c70c01fd3243f0147e51a513ec4e764</x:v>
      </x:c>
      <x:c r="S346" s="26" t="str">
        <x:v>fa6b7538168ab9116e4fb4db36d1f3d319a846745434baec5b78c82d2caa1021</x:v>
      </x:c>
      <x:c r="T346" s="26" t="str">
        <x:v>d2e0dbf0d8c4695fef7bfd301cc556306e9aa51711313e250b6795d54fee08b5</x:v>
      </x:c>
    </x:row>
    <x:row r="347" ht="60" customHeight="1">
      <x:c r="A347" s="26" t="str">
        <x:v>J1609-4616</x:v>
      </x:c>
      <x:c r="B347" s="26" t="str"/>
      <x:c r="C347" s="26" t="str">
        <x:v>NO_TRIGGER</x:v>
      </x:c>
      <x:c r="D347" s="26" t="str">
        <x:v>tpa-batch02-20260908-J1609-4616-run01</x:v>
      </x:c>
      <x:c r="E347" s="26" t="str">
        <x:v>No qualifying signal in eligible 30–400-day cells</x:v>
      </x:c>
      <x:c r="F347" s="26" t="str">
        <x:v>Retain result; consider independent data or a separately defined new scope</x:v>
      </x:c>
      <x:c r="G347" s="26" t="str">
        <x:v>SEARCHED</x:v>
      </x:c>
      <x:c r="H347" s="27" t="n">
        <x:v>440</x:v>
      </x:c>
      <x:c r="I347" s="27" t="n">
        <x:v>55</x:v>
      </x:c>
      <x:c r="J347" s="28" t="n">
        <x:v>1390.1682894512924</x:v>
      </x:c>
      <x:c r="K347" s="26" t="str">
        <x:v>tpa-batch02-20260908</x:v>
      </x:c>
      <x:c r="L347" s="26"/>
      <x:c r="M347" s="26" t="str">
        <x:v>Absent from named inventory</x:v>
      </x:c>
      <x:c r="N347" s="26" t="str">
        <x:v>Absent from named inventory</x:v>
      </x:c>
      <x:c r="O347" s="26" t="str">
        <x:v>Absent from named inventory</x:v>
      </x:c>
      <x:c r="P347" s="26"/>
      <x:c r="Q347" s="26" t="str">
        <x:v>../Project Recherche Data/tpa-batch02-20260908/selection.json</x:v>
      </x:c>
      <x:c r="R347" s="26" t="str">
        <x:v>eafdf9d3c8016443c502ba19ffd89257148144d3a88befddff9c95b47674d326</x:v>
      </x:c>
      <x:c r="S347" s="26" t="str">
        <x:v>fd53ae46e3f89c8a2fa0e114d6502b743ebf9cc52ed8deac709805a6e9103e6f</x:v>
      </x:c>
      <x:c r="T347" s="26" t="str">
        <x:v>6a5aca13923bda6ede6af5332bf8ee1e506cd8b7045e3420595b1e25541a686f</x:v>
      </x:c>
    </x:row>
    <x:row r="348" ht="60" customHeight="1">
      <x:c r="A348" s="26" t="str">
        <x:v>J1611-4949</x:v>
      </x:c>
      <x:c r="B348" s="26" t="str"/>
      <x:c r="C348" s="26" t="str">
        <x:v>NOT_SEARCHED</x:v>
      </x:c>
      <x:c r="D348" s="26"/>
      <x:c r="E348" s="26" t="str">
        <x:v>No observed search</x:v>
      </x:c>
      <x:c r="F348" s="26" t="str">
        <x:v>Retain exclusion for current scope</x:v>
      </x:c>
      <x:c r="G348" s="26" t="str">
        <x:v>TPA EXCLUDED</x:v>
      </x:c>
      <x:c r="H348" s="27" t="n">
        <x:v>214</x:v>
      </x:c>
      <x:c r="I348" s="27" t="n">
        <x:v>27</x:v>
      </x:c>
      <x:c r="J348" s="28" t="n">
        <x:v>1128.9940041155496</x:v>
      </x:c>
      <x:c r="K348" s="26"/>
      <x:c r="L348" s="26" t="str">
        <x:v>insufficient_span_or_epochs</x:v>
      </x:c>
      <x:c r="M348" s="26" t="str">
        <x:v>Absent from named inventory</x:v>
      </x:c>
      <x:c r="N348" s="26" t="str">
        <x:v>Absent from named inventory</x:v>
      </x:c>
      <x:c r="O348" s="26" t="str">
        <x:v>Absent from named inventory</x:v>
      </x:c>
      <x:c r="P348" s="26"/>
      <x:c r="Q348" s="26" t="str">
        <x:v>../Project Recherche Data/tpa-batch01-20260908/selection.json</x:v>
      </x:c>
      <x:c r="R348" s="26" t="str">
        <x:v>047722e4dca24e16c44c810f43990492b2f988012ca2b4bab47826ff4c95f1db</x:v>
      </x:c>
      <x:c r="S348" s="26" t="str">
        <x:v>9c325ce2ab8061b1eb58b80d9c21cd6c5f1c2873c4819ff5c7c3b9b81158e744</x:v>
      </x:c>
      <x:c r="T348" s="26" t="str">
        <x:v>82fc0d2eee5d1e34afa8068c3788544945f582851cb48f6ec31be73824ebc4d3</x:v>
      </x:c>
    </x:row>
    <x:row r="349" ht="60" customHeight="1">
      <x:c r="A349" s="26" t="str">
        <x:v>J1611-5209</x:v>
      </x:c>
      <x:c r="B349" s="26" t="str">
        <x:v>B1607-52</x:v>
      </x:c>
      <x:c r="C349" s="26" t="str">
        <x:v>NOT_SEARCHED</x:v>
      </x:c>
      <x:c r="D349" s="26"/>
      <x:c r="E349" s="26" t="str">
        <x:v>No observed search</x:v>
      </x:c>
      <x:c r="F349" s="26" t="str">
        <x:v>Retain exclusion for current scope</x:v>
      </x:c>
      <x:c r="G349" s="26" t="str">
        <x:v>TPA EXCLUDED</x:v>
      </x:c>
      <x:c r="H349" s="27" t="n">
        <x:v>96</x:v>
      </x:c>
      <x:c r="I349" s="27" t="n">
        <x:v>12</x:v>
      </x:c>
      <x:c r="J349" s="28" t="n">
        <x:v>451.55557659279293</x:v>
      </x:c>
      <x:c r="K349" s="26"/>
      <x:c r="L349" s="26" t="str">
        <x:v>insufficient_span_or_epochs</x:v>
      </x:c>
      <x:c r="M349" s="26" t="str">
        <x:v>Absent from named inventory</x:v>
      </x:c>
      <x:c r="N349" s="26" t="str">
        <x:v>Absent from named inventory</x:v>
      </x:c>
      <x:c r="O349" s="26" t="str">
        <x:v>Absent from named inventory</x:v>
      </x:c>
      <x:c r="P349" s="26"/>
      <x:c r="Q349" s="26" t="str">
        <x:v>../Project Recherche Data/tpa-batch01-20260908/selection.json</x:v>
      </x:c>
      <x:c r="R349" s="26" t="str">
        <x:v>047722e4dca24e16c44c810f43990492b2f988012ca2b4bab47826ff4c95f1db</x:v>
      </x:c>
      <x:c r="S349" s="26" t="str">
        <x:v>d5b1e6153ebb4a1bd38c5aa45c3184a7d48ddb99a1ac2ded672b420d2139e71c</x:v>
      </x:c>
      <x:c r="T349" s="26" t="str">
        <x:v>19db9045e55ddc05af6edf3b7e774ed9da3c13e59d0af8b4fbc5dab586238c81</x:v>
      </x:c>
    </x:row>
    <x:row r="350" ht="60" customHeight="1">
      <x:c r="A350" s="26" t="str">
        <x:v>J1612-5805</x:v>
      </x:c>
      <x:c r="B350" s="26" t="str"/>
      <x:c r="C350" s="26" t="str">
        <x:v>NOT_SEARCHED</x:v>
      </x:c>
      <x:c r="D350" s="26"/>
      <x:c r="E350" s="26" t="str">
        <x:v>No observed search</x:v>
      </x:c>
      <x:c r="F350" s="26" t="str">
        <x:v>Retain exclusion for current scope</x:v>
      </x:c>
      <x:c r="G350" s="26" t="str">
        <x:v>TPA EXCLUDED</x:v>
      </x:c>
      <x:c r="H350" s="27" t="n">
        <x:v>252</x:v>
      </x:c>
      <x:c r="I350" s="27" t="n">
        <x:v>32</x:v>
      </x:c>
      <x:c r="J350" s="28" t="n">
        <x:v>1440.1320133965492</x:v>
      </x:c>
      <x:c r="K350" s="26"/>
      <x:c r="L350" s="26" t="str">
        <x:v>insufficient_span_or_epochs</x:v>
      </x:c>
      <x:c r="M350" s="26" t="str">
        <x:v>Absent from named inventory</x:v>
      </x:c>
      <x:c r="N350" s="26" t="str">
        <x:v>Absent from named inventory</x:v>
      </x:c>
      <x:c r="O350" s="26" t="str">
        <x:v>Absent from named inventory</x:v>
      </x:c>
      <x:c r="P350" s="26"/>
      <x:c r="Q350" s="26" t="str">
        <x:v>../Project Recherche Data/tpa-batch01-20260908/selection.json</x:v>
      </x:c>
      <x:c r="R350" s="26" t="str">
        <x:v>047722e4dca24e16c44c810f43990492b2f988012ca2b4bab47826ff4c95f1db</x:v>
      </x:c>
      <x:c r="S350" s="26" t="str">
        <x:v>7584a4251f88ce9f64e24780c304de83394944be0c02240649d70010f82fc539</x:v>
      </x:c>
      <x:c r="T350" s="26" t="str">
        <x:v>694b99dcf4ff8787aec2b3b604741b5b04e49a564e1034377bb159edb9058007</x:v>
      </x:c>
    </x:row>
    <x:row r="351" ht="60" customHeight="1">
      <x:c r="A351" s="26" t="str">
        <x:v>J1613-4714</x:v>
      </x:c>
      <x:c r="B351" s="26" t="str">
        <x:v>B1609-47</x:v>
      </x:c>
      <x:c r="C351" s="26" t="str">
        <x:v>NOT_SEARCHED</x:v>
      </x:c>
      <x:c r="D351" s="26"/>
      <x:c r="E351" s="26" t="str">
        <x:v>No observed search</x:v>
      </x:c>
      <x:c r="F351" s="26" t="str">
        <x:v>Retain exclusion for current scope</x:v>
      </x:c>
      <x:c r="G351" s="26" t="str">
        <x:v>TPA EXCLUDED</x:v>
      </x:c>
      <x:c r="H351" s="27" t="n">
        <x:v>232</x:v>
      </x:c>
      <x:c r="I351" s="27" t="n">
        <x:v>29</x:v>
      </x:c>
      <x:c r="J351" s="28" t="n">
        <x:v>1219.5574356728102</x:v>
      </x:c>
      <x:c r="K351" s="26"/>
      <x:c r="L351" s="26" t="str">
        <x:v>insufficient_span_or_epochs</x:v>
      </x:c>
      <x:c r="M351" s="26" t="str">
        <x:v>Absent from named inventory</x:v>
      </x:c>
      <x:c r="N351" s="26" t="str">
        <x:v>Absent from named inventory</x:v>
      </x:c>
      <x:c r="O351" s="26" t="str">
        <x:v>Absent from named inventory</x:v>
      </x:c>
      <x:c r="P351" s="26"/>
      <x:c r="Q351" s="26" t="str">
        <x:v>../Project Recherche Data/tpa-batch01-20260908/selection.json</x:v>
      </x:c>
      <x:c r="R351" s="26" t="str">
        <x:v>047722e4dca24e16c44c810f43990492b2f988012ca2b4bab47826ff4c95f1db</x:v>
      </x:c>
      <x:c r="S351" s="26" t="str">
        <x:v>5c41e2045b214fe9038d32b667dd5f02e01f200e3b727b61226cd24eca2e680d</x:v>
      </x:c>
      <x:c r="T351" s="26" t="str">
        <x:v>8292506ea1e541832ec2a36f20ba31a2cf9a375985c17bcd8f4272d565246184</x:v>
      </x:c>
    </x:row>
    <x:row r="352" ht="60" customHeight="1">
      <x:c r="A352" s="26" t="str">
        <x:v>J1613-5211</x:v>
      </x:c>
      <x:c r="B352" s="26" t="str"/>
      <x:c r="C352" s="26" t="str">
        <x:v>NOT_SEARCHED</x:v>
      </x:c>
      <x:c r="D352" s="26"/>
      <x:c r="E352" s="26" t="str">
        <x:v>No observed search</x:v>
      </x:c>
      <x:c r="F352" s="26" t="str">
        <x:v>Retain exclusion for current scope</x:v>
      </x:c>
      <x:c r="G352" s="26" t="str">
        <x:v>TPA EXCLUDED</x:v>
      </x:c>
      <x:c r="H352" s="27" t="n">
        <x:v>191</x:v>
      </x:c>
      <x:c r="I352" s="27" t="n">
        <x:v>27</x:v>
      </x:c>
      <x:c r="J352" s="28" t="n">
        <x:v>1440.1267976744202</x:v>
      </x:c>
      <x:c r="K352" s="26"/>
      <x:c r="L352" s="26" t="str">
        <x:v>insufficient_span_or_epochs</x:v>
      </x:c>
      <x:c r="M352" s="26" t="str">
        <x:v>Absent from named inventory</x:v>
      </x:c>
      <x:c r="N352" s="26" t="str">
        <x:v>Absent from named inventory</x:v>
      </x:c>
      <x:c r="O352" s="26" t="str">
        <x:v>Absent from named inventory</x:v>
      </x:c>
      <x:c r="P352" s="26"/>
      <x:c r="Q352" s="26" t="str">
        <x:v>../Project Recherche Data/tpa-batch01-20260908/selection.json</x:v>
      </x:c>
      <x:c r="R352" s="26" t="str">
        <x:v>047722e4dca24e16c44c810f43990492b2f988012ca2b4bab47826ff4c95f1db</x:v>
      </x:c>
      <x:c r="S352" s="26" t="str">
        <x:v>b1684fe2d129f18079c902a7820705ba375e1ee3b90bd7d5349179ddc33ed9ba</x:v>
      </x:c>
      <x:c r="T352" s="26" t="str">
        <x:v>48554707a7240f9bb85b955c0db38de9345cc31dbb15057d0f5b2b85a5de0658</x:v>
      </x:c>
    </x:row>
    <x:row r="353" ht="60" customHeight="1">
      <x:c r="A353" s="26" t="str">
        <x:v>J1614+0737</x:v>
      </x:c>
      <x:c r="B353" s="26" t="str">
        <x:v>B1612+07</x:v>
      </x:c>
      <x:c r="C353" s="26" t="str">
        <x:v>NOT_SEARCHED</x:v>
      </x:c>
      <x:c r="D353" s="26"/>
      <x:c r="E353" s="26" t="str">
        <x:v>No observed search</x:v>
      </x:c>
      <x:c r="F353" s="26" t="str">
        <x:v>Retain exclusion for current scope</x:v>
      </x:c>
      <x:c r="G353" s="26" t="str">
        <x:v>TPA EXCLUDED</x:v>
      </x:c>
      <x:c r="H353" s="27" t="n">
        <x:v>205</x:v>
      </x:c>
      <x:c r="I353" s="27" t="n">
        <x:v>27</x:v>
      </x:c>
      <x:c r="J353" s="28" t="n">
        <x:v>1176.987176569106</x:v>
      </x:c>
      <x:c r="K353" s="26"/>
      <x:c r="L353" s="26" t="str">
        <x:v>insufficient_span_or_epochs</x:v>
      </x:c>
      <x:c r="M353" s="26" t="str">
        <x:v>Present</x:v>
      </x:c>
      <x:c r="N353" s="26" t="str">
        <x:v>Absent from named inventory</x:v>
      </x:c>
      <x:c r="O353" s="26" t="str">
        <x:v>Absent from named inventory</x:v>
      </x:c>
      <x:c r="P353" s="26"/>
      <x:c r="Q353" s="26" t="str">
        <x:v>../Project Recherche Data/tpa-batch01-20260908/selection.json</x:v>
      </x:c>
      <x:c r="R353" s="26" t="str">
        <x:v>047722e4dca24e16c44c810f43990492b2f988012ca2b4bab47826ff4c95f1db</x:v>
      </x:c>
      <x:c r="S353" s="26" t="str">
        <x:v>5b3eb8c5d085dac6e6c76e969c83744378b755c7e406494edf0dd4101867f7a2</x:v>
      </x:c>
      <x:c r="T353" s="26" t="str">
        <x:v>c9f11f4ad02bd811b6eedd894aad1145cd0bdf93966199a7d95f4c9d2f521cbd</x:v>
      </x:c>
    </x:row>
    <x:row r="354" ht="60" customHeight="1">
      <x:c r="A354" s="26" t="str">
        <x:v>J1614-3937</x:v>
      </x:c>
      <x:c r="B354" s="26" t="str"/>
      <x:c r="C354" s="26" t="str">
        <x:v>NOT_SEARCHED</x:v>
      </x:c>
      <x:c r="D354" s="26"/>
      <x:c r="E354" s="26" t="str">
        <x:v>No observed search</x:v>
      </x:c>
      <x:c r="F354" s="26" t="str">
        <x:v>Retain exclusion for current scope</x:v>
      </x:c>
      <x:c r="G354" s="26" t="str">
        <x:v>TPA EXCLUDED</x:v>
      </x:c>
      <x:c r="H354" s="27" t="n">
        <x:v>246</x:v>
      </x:c>
      <x:c r="I354" s="27" t="n">
        <x:v>31</x:v>
      </x:c>
      <x:c r="J354" s="28" t="n">
        <x:v>1280.7315523788857</x:v>
      </x:c>
      <x:c r="K354" s="26"/>
      <x:c r="L354" s="26" t="str">
        <x:v>insufficient_span_or_epochs</x:v>
      </x:c>
      <x:c r="M354" s="26" t="str">
        <x:v>Absent from named inventory</x:v>
      </x:c>
      <x:c r="N354" s="26" t="str">
        <x:v>Absent from named inventory</x:v>
      </x:c>
      <x:c r="O354" s="26" t="str">
        <x:v>Absent from named inventory</x:v>
      </x:c>
      <x:c r="P354" s="26"/>
      <x:c r="Q354" s="26" t="str">
        <x:v>../Project Recherche Data/tpa-batch01-20260908/selection.json</x:v>
      </x:c>
      <x:c r="R354" s="26" t="str">
        <x:v>047722e4dca24e16c44c810f43990492b2f988012ca2b4bab47826ff4c95f1db</x:v>
      </x:c>
      <x:c r="S354" s="26" t="str">
        <x:v>59284c6514a003d1cbd26b60fba672c6ae4717956d194c132627288efe8978dd</x:v>
      </x:c>
      <x:c r="T354" s="26" t="str">
        <x:v>a0f77ebfb6403538f58c60fbb9fea0dde5a8e4ffad253de031e157011b67c701</x:v>
      </x:c>
    </x:row>
    <x:row r="355" ht="60" customHeight="1">
      <x:c r="A355" s="26" t="str">
        <x:v>J1615-5537</x:v>
      </x:c>
      <x:c r="B355" s="26" t="str">
        <x:v>B1611-55</x:v>
      </x:c>
      <x:c r="C355" s="26" t="str">
        <x:v>NO_TRIGGER</x:v>
      </x:c>
      <x:c r="D355" s="26" t="str">
        <x:v>tpa-batch06-20260908-J1615-5537-run01</x:v>
      </x:c>
      <x:c r="E355" s="26" t="str">
        <x:v>No qualifying signal in eligible 30–400-day cells</x:v>
      </x:c>
      <x:c r="F355" s="26" t="str">
        <x:v>Retain result; consider independent data or a separately defined new scope</x:v>
      </x:c>
      <x:c r="G355" s="26" t="str">
        <x:v>SEARCHED</x:v>
      </x:c>
      <x:c r="H355" s="27" t="n">
        <x:v>425</x:v>
      </x:c>
      <x:c r="I355" s="27" t="n">
        <x:v>55</x:v>
      </x:c>
      <x:c r="J355" s="28" t="n">
        <x:v>1290.454917524301</x:v>
      </x:c>
      <x:c r="K355" s="26" t="str">
        <x:v>tpa-batch06-20260908</x:v>
      </x:c>
      <x:c r="L355" s="26"/>
      <x:c r="M355" s="26" t="str">
        <x:v>Absent from named inventory</x:v>
      </x:c>
      <x:c r="N355" s="26" t="str">
        <x:v>Absent from named inventory</x:v>
      </x:c>
      <x:c r="O355" s="26" t="str">
        <x:v>Absent from named inventory</x:v>
      </x:c>
      <x:c r="P355" s="26"/>
      <x:c r="Q355" s="26" t="str">
        <x:v>../Project Recherche Data/tpa-batch06-20260908/selection.json</x:v>
      </x:c>
      <x:c r="R355" s="26" t="str">
        <x:v>aa7dc82ae2f0aa7f4ad390810d65a59ea2811f4802deb69c9130205b6466f356</x:v>
      </x:c>
      <x:c r="S355" s="26" t="str">
        <x:v>2db69bb4dcdb180be2c43c26a2859928f9e94565b0645ada187115cb991c82a6</x:v>
      </x:c>
      <x:c r="T355" s="26" t="str">
        <x:v>cfffbae5e2ea3c5294258cf5a5c152fb713cd455b10bae18ec1566c79f13ef1d</x:v>
      </x:c>
    </x:row>
    <x:row r="356" ht="60" customHeight="1">
      <x:c r="A356" s="26" t="str">
        <x:v>J1617-4216</x:v>
      </x:c>
      <x:c r="B356" s="26" t="str"/>
      <x:c r="C356" s="26" t="str">
        <x:v>NOT_SEARCHED</x:v>
      </x:c>
      <x:c r="D356" s="26"/>
      <x:c r="E356" s="26" t="str">
        <x:v>No observed search</x:v>
      </x:c>
      <x:c r="F356" s="26" t="str">
        <x:v>Retain exclusion for current scope</x:v>
      </x:c>
      <x:c r="G356" s="26" t="str">
        <x:v>TPA EXCLUDED</x:v>
      </x:c>
      <x:c r="H356" s="27" t="n">
        <x:v>404</x:v>
      </x:c>
      <x:c r="I356" s="27" t="n">
        <x:v>51</x:v>
      </x:c>
      <x:c r="J356" s="28" t="n">
        <x:v>1129.9161202769465</x:v>
      </x:c>
      <x:c r="K356" s="26"/>
      <x:c r="L356" s="26" t="str">
        <x:v>insufficient_span_or_epochs</x:v>
      </x:c>
      <x:c r="M356" s="26" t="str">
        <x:v>Absent from named inventory</x:v>
      </x:c>
      <x:c r="N356" s="26" t="str">
        <x:v>Absent from named inventory</x:v>
      </x:c>
      <x:c r="O356" s="26" t="str">
        <x:v>Absent from named inventory</x:v>
      </x:c>
      <x:c r="P356" s="26"/>
      <x:c r="Q356" s="26" t="str">
        <x:v>../Project Recherche Data/tpa-batch01-20260908/selection.json</x:v>
      </x:c>
      <x:c r="R356" s="26" t="str">
        <x:v>047722e4dca24e16c44c810f43990492b2f988012ca2b4bab47826ff4c95f1db</x:v>
      </x:c>
      <x:c r="S356" s="26" t="str">
        <x:v>4fd6302b7dea549ead98f91494900ee693a4c60f96e5d0a2317585dff459767a</x:v>
      </x:c>
      <x:c r="T356" s="26" t="str">
        <x:v>b4bac8b1f58de3e22f2952098c4694355a02db91f7c190011d7f50f0893da119</x:v>
      </x:c>
    </x:row>
    <x:row r="357" ht="60" customHeight="1">
      <x:c r="A357" s="26" t="str">
        <x:v>J1618-4723</x:v>
      </x:c>
      <x:c r="B357" s="26" t="str"/>
      <x:c r="C357" s="26" t="str">
        <x:v>NOT_SEARCHED</x:v>
      </x:c>
      <x:c r="D357" s="26"/>
      <x:c r="E357" s="26" t="str">
        <x:v>No observed search</x:v>
      </x:c>
      <x:c r="F357" s="26" t="str">
        <x:v>Retain exclusion for current scope</x:v>
      </x:c>
      <x:c r="G357" s="26" t="str">
        <x:v>TPA EXCLUDED</x:v>
      </x:c>
      <x:c r="H357" s="27" t="n">
        <x:v>240</x:v>
      </x:c>
      <x:c r="I357" s="27" t="n">
        <x:v>30</x:v>
      </x:c>
      <x:c r="J357" s="28" t="n">
        <x:v>1280.7544707612033</x:v>
      </x:c>
      <x:c r="K357" s="26"/>
      <x:c r="L357" s="26" t="str">
        <x:v>harmonic_timing_convention, insufficient_span_or_epochs</x:v>
      </x:c>
      <x:c r="M357" s="26" t="str">
        <x:v>Absent from named inventory</x:v>
      </x:c>
      <x:c r="N357" s="26" t="str">
        <x:v>Absent from named inventory</x:v>
      </x:c>
      <x:c r="O357" s="26" t="str">
        <x:v>Absent from named inventory</x:v>
      </x:c>
      <x:c r="P357" s="26"/>
      <x:c r="Q357" s="26" t="str">
        <x:v>../Project Recherche Data/tpa-batch01-20260908/selection.json</x:v>
      </x:c>
      <x:c r="R357" s="26" t="str">
        <x:v>047722e4dca24e16c44c810f43990492b2f988012ca2b4bab47826ff4c95f1db</x:v>
      </x:c>
      <x:c r="S357" s="26" t="str">
        <x:v>44e26826933922b54004acb0c4e69eeb27198461329999e6461dc2cb2d03b3b6</x:v>
      </x:c>
      <x:c r="T357" s="26" t="str">
        <x:v>30e1aded25ed95054e9836cbfbfbcf7fee4a8e6a686dd3e0c3bfb43160cd6559</x:v>
      </x:c>
    </x:row>
    <x:row r="358" ht="60" customHeight="1">
      <x:c r="A358" s="26" t="str">
        <x:v>J1621-5039</x:v>
      </x:c>
      <x:c r="B358" s="26" t="str"/>
      <x:c r="C358" s="26" t="str">
        <x:v>NOT_SEARCHED</x:v>
      </x:c>
      <x:c r="D358" s="26"/>
      <x:c r="E358" s="26" t="str">
        <x:v>No observed search</x:v>
      </x:c>
      <x:c r="F358" s="26" t="str">
        <x:v>Retain exclusion for current scope</x:v>
      </x:c>
      <x:c r="G358" s="26" t="str">
        <x:v>TPA EXCLUDED</x:v>
      </x:c>
      <x:c r="H358" s="27" t="n">
        <x:v>216</x:v>
      </x:c>
      <x:c r="I358" s="27" t="n">
        <x:v>27</x:v>
      </x:c>
      <x:c r="J358" s="28" t="n">
        <x:v>1128.9592960411173</x:v>
      </x:c>
      <x:c r="K358" s="26"/>
      <x:c r="L358" s="26" t="str">
        <x:v>insufficient_span_or_epochs</x:v>
      </x:c>
      <x:c r="M358" s="26" t="str">
        <x:v>Absent from named inventory</x:v>
      </x:c>
      <x:c r="N358" s="26" t="str">
        <x:v>Absent from named inventory</x:v>
      </x:c>
      <x:c r="O358" s="26" t="str">
        <x:v>Absent from named inventory</x:v>
      </x:c>
      <x:c r="P358" s="26"/>
      <x:c r="Q358" s="26" t="str">
        <x:v>../Project Recherche Data/tpa-batch01-20260908/selection.json</x:v>
      </x:c>
      <x:c r="R358" s="26" t="str">
        <x:v>047722e4dca24e16c44c810f43990492b2f988012ca2b4bab47826ff4c95f1db</x:v>
      </x:c>
      <x:c r="S358" s="26" t="str">
        <x:v>1c5cd0e5cc287c464595bba58068a5e84d2c961adac3967505892acd10417afa</x:v>
      </x:c>
      <x:c r="T358" s="26" t="str">
        <x:v>d23b7a4718fb22de7b780919a299f2c1ab227fd975c2c16a7f2aa3115021eeaa</x:v>
      </x:c>
    </x:row>
    <x:row r="359" ht="60" customHeight="1">
      <x:c r="A359" s="26" t="str">
        <x:v>J1621-5243</x:v>
      </x:c>
      <x:c r="B359" s="26" t="str"/>
      <x:c r="C359" s="26" t="str">
        <x:v>NOT_SEARCHED</x:v>
      </x:c>
      <x:c r="D359" s="26"/>
      <x:c r="E359" s="26" t="str">
        <x:v>No observed search</x:v>
      </x:c>
      <x:c r="F359" s="26" t="str">
        <x:v>Retain exclusion for current scope</x:v>
      </x:c>
      <x:c r="G359" s="26" t="str">
        <x:v>TPA EXCLUDED</x:v>
      </x:c>
      <x:c r="H359" s="27" t="n">
        <x:v>211</x:v>
      </x:c>
      <x:c r="I359" s="27" t="n">
        <x:v>27</x:v>
      </x:c>
      <x:c r="J359" s="28" t="n">
        <x:v>1440.145711069992</x:v>
      </x:c>
      <x:c r="K359" s="26"/>
      <x:c r="L359" s="26" t="str">
        <x:v>insufficient_span_or_epochs</x:v>
      </x:c>
      <x:c r="M359" s="26" t="str">
        <x:v>Absent from named inventory</x:v>
      </x:c>
      <x:c r="N359" s="26" t="str">
        <x:v>Absent from named inventory</x:v>
      </x:c>
      <x:c r="O359" s="26" t="str">
        <x:v>Absent from named inventory</x:v>
      </x:c>
      <x:c r="P359" s="26"/>
      <x:c r="Q359" s="26" t="str">
        <x:v>../Project Recherche Data/tpa-batch01-20260908/selection.json</x:v>
      </x:c>
      <x:c r="R359" s="26" t="str">
        <x:v>047722e4dca24e16c44c810f43990492b2f988012ca2b4bab47826ff4c95f1db</x:v>
      </x:c>
      <x:c r="S359" s="26" t="str">
        <x:v>a3b7f80fa262b58bb01c337a4ec45126e3dd3d6239ff883d82a6a58378efffc4</x:v>
      </x:c>
      <x:c r="T359" s="26" t="str">
        <x:v>93b6d9397be9f857a69cf7461dd1db6dede45627cfe889fde309a1ff912e1cb8</x:v>
      </x:c>
    </x:row>
    <x:row r="360" ht="60" customHeight="1">
      <x:c r="A360" s="26" t="str">
        <x:v>J1622-4332</x:v>
      </x:c>
      <x:c r="B360" s="26" t="str"/>
      <x:c r="C360" s="26" t="str">
        <x:v>NOT_SEARCHED</x:v>
      </x:c>
      <x:c r="D360" s="26"/>
      <x:c r="E360" s="26" t="str">
        <x:v>No observed search</x:v>
      </x:c>
      <x:c r="F360" s="26" t="str">
        <x:v>Retain exclusion for current scope</x:v>
      </x:c>
      <x:c r="G360" s="26" t="str">
        <x:v>TPA EXCLUDED</x:v>
      </x:c>
      <x:c r="H360" s="27" t="n">
        <x:v>416</x:v>
      </x:c>
      <x:c r="I360" s="27" t="n">
        <x:v>52</x:v>
      </x:c>
      <x:c r="J360" s="28" t="n">
        <x:v>1138.6910234066963</x:v>
      </x:c>
      <x:c r="K360" s="26"/>
      <x:c r="L360" s="26" t="str">
        <x:v>insufficient_span_or_epochs</x:v>
      </x:c>
      <x:c r="M360" s="26" t="str">
        <x:v>Absent from named inventory</x:v>
      </x:c>
      <x:c r="N360" s="26" t="str">
        <x:v>Absent from named inventory</x:v>
      </x:c>
      <x:c r="O360" s="26" t="str">
        <x:v>Absent from named inventory</x:v>
      </x:c>
      <x:c r="P360" s="26"/>
      <x:c r="Q360" s="26" t="str">
        <x:v>../Project Recherche Data/tpa-batch01-20260908/selection.json</x:v>
      </x:c>
      <x:c r="R360" s="26" t="str">
        <x:v>047722e4dca24e16c44c810f43990492b2f988012ca2b4bab47826ff4c95f1db</x:v>
      </x:c>
      <x:c r="S360" s="26" t="str">
        <x:v>3ff95994d63cc8a4533bbd72e05a9a1be6c0a1422281685411904e2fcb5e6ac4</x:v>
      </x:c>
      <x:c r="T360" s="26" t="str">
        <x:v>701b2c74d8c8934c0653c84f00c1e11aedb7d6ef18f74f6c28b5c95ab3f1c755</x:v>
      </x:c>
    </x:row>
    <x:row r="361" ht="60" customHeight="1">
      <x:c r="A361" s="26" t="str">
        <x:v>J1622-4802</x:v>
      </x:c>
      <x:c r="B361" s="26" t="str"/>
      <x:c r="C361" s="26" t="str">
        <x:v>NOT_SEARCHED</x:v>
      </x:c>
      <x:c r="D361" s="26"/>
      <x:c r="E361" s="26" t="str">
        <x:v>No observed search</x:v>
      </x:c>
      <x:c r="F361" s="26" t="str">
        <x:v>Retain exclusion for current scope</x:v>
      </x:c>
      <x:c r="G361" s="26" t="str">
        <x:v>TPA EXCLUDED</x:v>
      </x:c>
      <x:c r="H361" s="27" t="n">
        <x:v>239</x:v>
      </x:c>
      <x:c r="I361" s="27" t="n">
        <x:v>30</x:v>
      </x:c>
      <x:c r="J361" s="28" t="n">
        <x:v>1280.7594365583864</x:v>
      </x:c>
      <x:c r="K361" s="26"/>
      <x:c r="L361" s="26" t="str">
        <x:v>insufficient_span_or_epochs</x:v>
      </x:c>
      <x:c r="M361" s="26" t="str">
        <x:v>Absent from named inventory</x:v>
      </x:c>
      <x:c r="N361" s="26" t="str">
        <x:v>Absent from named inventory</x:v>
      </x:c>
      <x:c r="O361" s="26" t="str">
        <x:v>Absent from named inventory</x:v>
      </x:c>
      <x:c r="P361" s="26"/>
      <x:c r="Q361" s="26" t="str">
        <x:v>../Project Recherche Data/tpa-batch01-20260908/selection.json</x:v>
      </x:c>
      <x:c r="R361" s="26" t="str">
        <x:v>047722e4dca24e16c44c810f43990492b2f988012ca2b4bab47826ff4c95f1db</x:v>
      </x:c>
      <x:c r="S361" s="26" t="str">
        <x:v>40c3768407e34a332df3810a515ab4bc0de1a950fa5fbc4a5f89845d59bc443c</x:v>
      </x:c>
      <x:c r="T361" s="26" t="str">
        <x:v>ccd0057672569c9ebdd86771c431c637f8cf5fad6e6089a57722d22b9592d0ba</x:v>
      </x:c>
    </x:row>
    <x:row r="362" ht="60" customHeight="1">
      <x:c r="A362" s="26" t="str">
        <x:v>J1623-0908</x:v>
      </x:c>
      <x:c r="B362" s="26" t="str">
        <x:v>B1620-09</x:v>
      </x:c>
      <x:c r="C362" s="26" t="str">
        <x:v>NO_TRIGGER</x:v>
      </x:c>
      <x:c r="D362" s="26" t="str">
        <x:v>tpa-batch08-20260908-J1623-0908-run01</x:v>
      </x:c>
      <x:c r="E362" s="26" t="str">
        <x:v>No qualifying signal in eligible 30–400-day cells</x:v>
      </x:c>
      <x:c r="F362" s="26" t="str">
        <x:v>Retain result; consider independent data or a separately defined new scope</x:v>
      </x:c>
      <x:c r="G362" s="26" t="str">
        <x:v>SEARCHED</x:v>
      </x:c>
      <x:c r="H362" s="27" t="n">
        <x:v>420</x:v>
      </x:c>
      <x:c r="I362" s="27" t="n">
        <x:v>53</x:v>
      </x:c>
      <x:c r="J362" s="28" t="n">
        <x:v>1367.0811092185395</x:v>
      </x:c>
      <x:c r="K362" s="26" t="str">
        <x:v>tpa-batch08-20260908</x:v>
      </x:c>
      <x:c r="L362" s="26"/>
      <x:c r="M362" s="26" t="str">
        <x:v>Present</x:v>
      </x:c>
      <x:c r="N362" s="26" t="str">
        <x:v>Absent from named inventory</x:v>
      </x:c>
      <x:c r="O362" s="26" t="str">
        <x:v>Absent from named inventory</x:v>
      </x:c>
      <x:c r="P362" s="26"/>
      <x:c r="Q362" s="26" t="str">
        <x:v>../Project Recherche Data/tpa-batch08-20260908/selection.json</x:v>
      </x:c>
      <x:c r="R362" s="26" t="str">
        <x:v>6fe595c0d188861ebc661368dcb361d40c70c01fd3243f0147e51a513ec4e764</x:v>
      </x:c>
      <x:c r="S362" s="26" t="str">
        <x:v>c3b34a295354043790c27f435259e1f7abfcee98657296eac7e44479e251b973</x:v>
      </x:c>
      <x:c r="T362" s="26" t="str">
        <x:v>0e5cf3c190d0f2f361fdcdcf7750df4b5481016ed1bdfaf0d924866c13d7a981</x:v>
      </x:c>
    </x:row>
    <x:row r="363" ht="60" customHeight="1">
      <x:c r="A363" s="26" t="str">
        <x:v>J1623-4949</x:v>
      </x:c>
      <x:c r="B363" s="26" t="str"/>
      <x:c r="C363" s="26" t="str">
        <x:v>NOT_SEARCHED</x:v>
      </x:c>
      <x:c r="D363" s="26"/>
      <x:c r="E363" s="26" t="str">
        <x:v>No observed search</x:v>
      </x:c>
      <x:c r="F363" s="26" t="str">
        <x:v>Retain exclusion for current scope</x:v>
      </x:c>
      <x:c r="G363" s="26" t="str">
        <x:v>TPA EXCLUDED</x:v>
      </x:c>
      <x:c r="H363" s="27" t="n">
        <x:v>229</x:v>
      </x:c>
      <x:c r="I363" s="27" t="n">
        <x:v>29</x:v>
      </x:c>
      <x:c r="J363" s="28" t="n">
        <x:v>1380.3995366249</x:v>
      </x:c>
      <x:c r="K363" s="26"/>
      <x:c r="L363" s="26" t="str">
        <x:v>insufficient_span_or_epochs</x:v>
      </x:c>
      <x:c r="M363" s="26" t="str">
        <x:v>Absent from named inventory</x:v>
      </x:c>
      <x:c r="N363" s="26" t="str">
        <x:v>Absent from named inventory</x:v>
      </x:c>
      <x:c r="O363" s="26" t="str">
        <x:v>Absent from named inventory</x:v>
      </x:c>
      <x:c r="P363" s="26"/>
      <x:c r="Q363" s="26" t="str">
        <x:v>../Project Recherche Data/tpa-batch01-20260908/selection.json</x:v>
      </x:c>
      <x:c r="R363" s="26" t="str">
        <x:v>047722e4dca24e16c44c810f43990492b2f988012ca2b4bab47826ff4c95f1db</x:v>
      </x:c>
      <x:c r="S363" s="26" t="str">
        <x:v>dcbccceb20143ccd58c72a22d6f7fd3ffc390cd88222f7431b65d6f7d9238d69</x:v>
      </x:c>
      <x:c r="T363" s="26" t="str">
        <x:v>5401c5c937665692a8cefff8d4f3e97ca43796bdfa1013e8a7440cc3c61fd8b2</x:v>
      </x:c>
    </x:row>
    <x:row r="364" ht="60" customHeight="1">
      <x:c r="A364" s="26" t="str">
        <x:v>J1624-4411</x:v>
      </x:c>
      <x:c r="B364" s="26" t="str"/>
      <x:c r="C364" s="26" t="str">
        <x:v>NOT_SEARCHED</x:v>
      </x:c>
      <x:c r="D364" s="26"/>
      <x:c r="E364" s="26" t="str">
        <x:v>No observed search</x:v>
      </x:c>
      <x:c r="F364" s="26" t="str">
        <x:v>Retain exclusion for current scope</x:v>
      </x:c>
      <x:c r="G364" s="26" t="str">
        <x:v>TPA EXCLUDED</x:v>
      </x:c>
      <x:c r="H364" s="27" t="n">
        <x:v>232</x:v>
      </x:c>
      <x:c r="I364" s="27" t="n">
        <x:v>29</x:v>
      </x:c>
      <x:c r="J364" s="28" t="n">
        <x:v>1380.3984439995984</x:v>
      </x:c>
      <x:c r="K364" s="26"/>
      <x:c r="L364" s="26" t="str">
        <x:v>insufficient_span_or_epochs</x:v>
      </x:c>
      <x:c r="M364" s="26" t="str">
        <x:v>Absent from named inventory</x:v>
      </x:c>
      <x:c r="N364" s="26" t="str">
        <x:v>Absent from named inventory</x:v>
      </x:c>
      <x:c r="O364" s="26" t="str">
        <x:v>Absent from named inventory</x:v>
      </x:c>
      <x:c r="P364" s="26"/>
      <x:c r="Q364" s="26" t="str">
        <x:v>../Project Recherche Data/tpa-batch01-20260908/selection.json</x:v>
      </x:c>
      <x:c r="R364" s="26" t="str">
        <x:v>047722e4dca24e16c44c810f43990492b2f988012ca2b4bab47826ff4c95f1db</x:v>
      </x:c>
      <x:c r="S364" s="26" t="str">
        <x:v>533fea2293ba9951a75056de46949e42df1bb13422d301048f9daa0aa7a28879</x:v>
      </x:c>
      <x:c r="T364" s="26" t="str">
        <x:v>cd5af318bcafcdce1c194ccfa8eee379e2e83ae4fdefd59e9f349c1615f9d9e7</x:v>
      </x:c>
    </x:row>
    <x:row r="365" ht="60" customHeight="1">
      <x:c r="A365" s="26" t="str">
        <x:v>J1626-4537</x:v>
      </x:c>
      <x:c r="B365" s="26" t="str"/>
      <x:c r="C365" s="26" t="str">
        <x:v>NO_TRIGGER</x:v>
      </x:c>
      <x:c r="D365" s="26" t="str">
        <x:v>tpa-batch05-20260908-J1626-4537-run01</x:v>
      </x:c>
      <x:c r="E365" s="26" t="str">
        <x:v>No qualifying signal in eligible 30–400-day cells</x:v>
      </x:c>
      <x:c r="F365" s="26" t="str">
        <x:v>Retain result; consider independent data or a separately defined new scope</x:v>
      </x:c>
      <x:c r="G365" s="26" t="str">
        <x:v>SEARCHED</x:v>
      </x:c>
      <x:c r="H365" s="27" t="n">
        <x:v>432</x:v>
      </x:c>
      <x:c r="I365" s="27" t="n">
        <x:v>54</x:v>
      </x:c>
      <x:c r="J365" s="28" t="n">
        <x:v>1229.3239382208994</x:v>
      </x:c>
      <x:c r="K365" s="26" t="str">
        <x:v>tpa-batch05-20260908</x:v>
      </x:c>
      <x:c r="L365" s="26"/>
      <x:c r="M365" s="26" t="str">
        <x:v>Absent from named inventory</x:v>
      </x:c>
      <x:c r="N365" s="26" t="str">
        <x:v>Absent from named inventory</x:v>
      </x:c>
      <x:c r="O365" s="26" t="str">
        <x:v>Absent from named inventory</x:v>
      </x:c>
      <x:c r="P365" s="26"/>
      <x:c r="Q365" s="26" t="str">
        <x:v>../Project Recherche Data/tpa-batch05-20260908/selection.json</x:v>
      </x:c>
      <x:c r="R365" s="26" t="str">
        <x:v>1212bfb743fa2d3f16f95056ab4d3c2b52ec5dd997358fe385b8fd00313b3907</x:v>
      </x:c>
      <x:c r="S365" s="26" t="str">
        <x:v>030b3557b58a3d65c6d349286cb803aaf9132c8d9574fb3c27a013b33ab831df</x:v>
      </x:c>
      <x:c r="T365" s="26" t="str">
        <x:v>fe419c2760ae0cc1fd207e93f67cbb05e9cb5ff011e69d477aebbbf4e21e91c7</x:v>
      </x:c>
    </x:row>
    <x:row r="366" ht="60" customHeight="1">
      <x:c r="A366" s="26" t="str">
        <x:v>J1627-5547</x:v>
      </x:c>
      <x:c r="B366" s="26" t="str"/>
      <x:c r="C366" s="26" t="str">
        <x:v>NOT_SEARCHED</x:v>
      </x:c>
      <x:c r="D366" s="26"/>
      <x:c r="E366" s="26" t="str">
        <x:v>No observed search</x:v>
      </x:c>
      <x:c r="F366" s="26" t="str">
        <x:v>Retain exclusion for current scope</x:v>
      </x:c>
      <x:c r="G366" s="26" t="str">
        <x:v>TPA EXCLUDED</x:v>
      </x:c>
      <x:c r="H366" s="27" t="n">
        <x:v>224</x:v>
      </x:c>
      <x:c r="I366" s="27" t="n">
        <x:v>28</x:v>
      </x:c>
      <x:c r="J366" s="28" t="n">
        <x:v>1357.6074629748036</x:v>
      </x:c>
      <x:c r="K366" s="26"/>
      <x:c r="L366" s="26" t="str">
        <x:v>insufficient_span_or_epochs</x:v>
      </x:c>
      <x:c r="M366" s="26" t="str">
        <x:v>Absent from named inventory</x:v>
      </x:c>
      <x:c r="N366" s="26" t="str">
        <x:v>Absent from named inventory</x:v>
      </x:c>
      <x:c r="O366" s="26" t="str">
        <x:v>Absent from named inventory</x:v>
      </x:c>
      <x:c r="P366" s="26"/>
      <x:c r="Q366" s="26" t="str">
        <x:v>../Project Recherche Data/tpa-batch01-20260908/selection.json</x:v>
      </x:c>
      <x:c r="R366" s="26" t="str">
        <x:v>047722e4dca24e16c44c810f43990492b2f988012ca2b4bab47826ff4c95f1db</x:v>
      </x:c>
      <x:c r="S366" s="26" t="str">
        <x:v>e543d821cdae581bbdca00a4d302fc97ae934ebc0ea2cfb87620105c25d1d1fa</x:v>
      </x:c>
      <x:c r="T366" s="26" t="str">
        <x:v>531d3f0b272bf4f4b2ede26e21b8dd5c863d7bec55083e3a30838ad2e75edbd1</x:v>
      </x:c>
    </x:row>
    <x:row r="367" ht="60" customHeight="1">
      <x:c r="A367" s="26" t="str">
        <x:v>J1627-5936</x:v>
      </x:c>
      <x:c r="B367" s="26" t="str"/>
      <x:c r="C367" s="26" t="str">
        <x:v>NO_TRIGGER</x:v>
      </x:c>
      <x:c r="D367" s="26" t="str">
        <x:v>tpa-batch06-20260908-J1627-5936-run01</x:v>
      </x:c>
      <x:c r="E367" s="26" t="str">
        <x:v>No qualifying signal in eligible 30–400-day cells</x:v>
      </x:c>
      <x:c r="F367" s="26" t="str">
        <x:v>Retain result; consider independent data or a separately defined new scope</x:v>
      </x:c>
      <x:c r="G367" s="26" t="str">
        <x:v>SEARCHED</x:v>
      </x:c>
      <x:c r="H367" s="27" t="n">
        <x:v>404</x:v>
      </x:c>
      <x:c r="I367" s="27" t="n">
        <x:v>55</x:v>
      </x:c>
      <x:c r="J367" s="28" t="n">
        <x:v>1290.4988970535705</x:v>
      </x:c>
      <x:c r="K367" s="26" t="str">
        <x:v>tpa-batch06-20260908</x:v>
      </x:c>
      <x:c r="L367" s="26"/>
      <x:c r="M367" s="26" t="str">
        <x:v>Absent from named inventory</x:v>
      </x:c>
      <x:c r="N367" s="26" t="str">
        <x:v>Absent from named inventory</x:v>
      </x:c>
      <x:c r="O367" s="26" t="str">
        <x:v>Absent from named inventory</x:v>
      </x:c>
      <x:c r="P367" s="26"/>
      <x:c r="Q367" s="26" t="str">
        <x:v>../Project Recherche Data/tpa-batch06-20260908/selection.json</x:v>
      </x:c>
      <x:c r="R367" s="26" t="str">
        <x:v>aa7dc82ae2f0aa7f4ad390810d65a59ea2811f4802deb69c9130205b6466f356</x:v>
      </x:c>
      <x:c r="S367" s="26" t="str">
        <x:v>f38785c7707ebc5e17bcf34a4c479de86c8acc47e926af86e73e3be243dbe8af</x:v>
      </x:c>
      <x:c r="T367" s="26" t="str">
        <x:v>06598eb8146426abd205c29c03db26fc784835adca1ea4177e472a46a157f153</x:v>
      </x:c>
    </x:row>
    <x:row r="368" ht="60" customHeight="1">
      <x:c r="A368" s="26" t="str">
        <x:v>J1629-3825</x:v>
      </x:c>
      <x:c r="B368" s="26" t="str"/>
      <x:c r="C368" s="26" t="str">
        <x:v>NOT_SEARCHED</x:v>
      </x:c>
      <x:c r="D368" s="26"/>
      <x:c r="E368" s="26" t="str">
        <x:v>No observed search</x:v>
      </x:c>
      <x:c r="F368" s="26" t="str">
        <x:v>Retain exclusion for current scope</x:v>
      </x:c>
      <x:c r="G368" s="26" t="str">
        <x:v>TPA EXCLUDED</x:v>
      </x:c>
      <x:c r="H368" s="27" t="n">
        <x:v>200</x:v>
      </x:c>
      <x:c r="I368" s="27" t="n">
        <x:v>27</x:v>
      </x:c>
      <x:c r="J368" s="28" t="n">
        <x:v>1120.066310531991</x:v>
      </x:c>
      <x:c r="K368" s="26"/>
      <x:c r="L368" s="26" t="str">
        <x:v>insufficient_span_or_epochs</x:v>
      </x:c>
      <x:c r="M368" s="26" t="str">
        <x:v>Absent from named inventory</x:v>
      </x:c>
      <x:c r="N368" s="26" t="str">
        <x:v>Absent from named inventory</x:v>
      </x:c>
      <x:c r="O368" s="26" t="str">
        <x:v>Absent from named inventory</x:v>
      </x:c>
      <x:c r="P368" s="26"/>
      <x:c r="Q368" s="26" t="str">
        <x:v>../Project Recherche Data/tpa-batch01-20260908/selection.json</x:v>
      </x:c>
      <x:c r="R368" s="26" t="str">
        <x:v>047722e4dca24e16c44c810f43990492b2f988012ca2b4bab47826ff4c95f1db</x:v>
      </x:c>
      <x:c r="S368" s="26" t="str">
        <x:v>cce02b15661ba9c389347a643c4a97ebc4e9dc7123f679303e06a61a41e4721f</x:v>
      </x:c>
      <x:c r="T368" s="26" t="str">
        <x:v>dc1462579c401f4e472a8ed00f6fcbc825caf11f92680144b757e68f347a941c</x:v>
      </x:c>
    </x:row>
    <x:row r="369" ht="60" customHeight="1">
      <x:c r="A369" s="26" t="str">
        <x:v>J1630-4719</x:v>
      </x:c>
      <x:c r="B369" s="26" t="str"/>
      <x:c r="C369" s="26" t="str">
        <x:v>NOT_SEARCHED</x:v>
      </x:c>
      <x:c r="D369" s="26"/>
      <x:c r="E369" s="26" t="str">
        <x:v>No observed search</x:v>
      </x:c>
      <x:c r="F369" s="26" t="str">
        <x:v>Retain exclusion for current scope</x:v>
      </x:c>
      <x:c r="G369" s="26" t="str">
        <x:v>TPA EXCLUDED</x:v>
      </x:c>
      <x:c r="H369" s="27" t="n">
        <x:v>247</x:v>
      </x:c>
      <x:c r="I369" s="27" t="n">
        <x:v>31</x:v>
      </x:c>
      <x:c r="J369" s="28" t="n">
        <x:v>1380.412505669061</x:v>
      </x:c>
      <x:c r="K369" s="26"/>
      <x:c r="L369" s="26" t="str">
        <x:v>insufficient_span_or_epochs</x:v>
      </x:c>
      <x:c r="M369" s="26" t="str">
        <x:v>Absent from named inventory</x:v>
      </x:c>
      <x:c r="N369" s="26" t="str">
        <x:v>Absent from named inventory</x:v>
      </x:c>
      <x:c r="O369" s="26" t="str">
        <x:v>Absent from named inventory</x:v>
      </x:c>
      <x:c r="P369" s="26"/>
      <x:c r="Q369" s="26" t="str">
        <x:v>../Project Recherche Data/tpa-batch01-20260908/selection.json</x:v>
      </x:c>
      <x:c r="R369" s="26" t="str">
        <x:v>047722e4dca24e16c44c810f43990492b2f988012ca2b4bab47826ff4c95f1db</x:v>
      </x:c>
      <x:c r="S369" s="26" t="str">
        <x:v>beacdd0a4f81d6cbbf1ec682b3b61de9cf83e0ab96803a71afcd6c383c63f1ff</x:v>
      </x:c>
      <x:c r="T369" s="26" t="str">
        <x:v>37fbfa86a345d68d669a1832c7f42e602db24579da49c859a84de92e05e39c7f</x:v>
      </x:c>
    </x:row>
    <x:row r="370" ht="60" customHeight="1">
      <x:c r="A370" s="26" t="str">
        <x:v>J1632-4621</x:v>
      </x:c>
      <x:c r="B370" s="26" t="str"/>
      <x:c r="C370" s="26" t="str">
        <x:v>NOT_SEARCHED</x:v>
      </x:c>
      <x:c r="D370" s="26"/>
      <x:c r="E370" s="26" t="str">
        <x:v>No observed search</x:v>
      </x:c>
      <x:c r="F370" s="26" t="str">
        <x:v>Retain exclusion for current scope</x:v>
      </x:c>
      <x:c r="G370" s="26" t="str">
        <x:v>TPA EXCLUDED</x:v>
      </x:c>
      <x:c r="H370" s="27" t="n">
        <x:v>239</x:v>
      </x:c>
      <x:c r="I370" s="27" t="n">
        <x:v>30</x:v>
      </x:c>
      <x:c r="J370" s="28" t="n">
        <x:v>1225.523154066308</x:v>
      </x:c>
      <x:c r="K370" s="26"/>
      <x:c r="L370" s="26" t="str">
        <x:v>insufficient_span_or_epochs</x:v>
      </x:c>
      <x:c r="M370" s="26" t="str">
        <x:v>Absent from named inventory</x:v>
      </x:c>
      <x:c r="N370" s="26" t="str">
        <x:v>Absent from named inventory</x:v>
      </x:c>
      <x:c r="O370" s="26" t="str">
        <x:v>Absent from named inventory</x:v>
      </x:c>
      <x:c r="P370" s="26"/>
      <x:c r="Q370" s="26" t="str">
        <x:v>../Project Recherche Data/tpa-batch01-20260908/selection.json</x:v>
      </x:c>
      <x:c r="R370" s="26" t="str">
        <x:v>047722e4dca24e16c44c810f43990492b2f988012ca2b4bab47826ff4c95f1db</x:v>
      </x:c>
      <x:c r="S370" s="26" t="str">
        <x:v>7bc65d5cff8cad84ee8f3096a4e9bfbcd11ef83103ab550594b2241ae7709f6e</x:v>
      </x:c>
      <x:c r="T370" s="26" t="str">
        <x:v>ff2c511922233d48d449a5089808d44d4b7c101506ea692e4e89a7427e155a63</x:v>
      </x:c>
    </x:row>
    <x:row r="371" ht="60" customHeight="1">
      <x:c r="A371" s="26" t="str">
        <x:v>J1633-5015</x:v>
      </x:c>
      <x:c r="B371" s="26" t="str">
        <x:v>B1629-50</x:v>
      </x:c>
      <x:c r="C371" s="26" t="str">
        <x:v>NO_TRIGGER</x:v>
      </x:c>
      <x:c r="D371" s="26" t="str">
        <x:v>utmost-batch02-20260909-J1633-5015-run01</x:v>
      </x:c>
      <x:c r="E371" s="26" t="str">
        <x:v>No qualifying signal in eligible 30–400-day cells</x:v>
      </x:c>
      <x:c r="F371" s="26" t="str">
        <x:v>Retain result; consider independent data or a separately defined new scope</x:v>
      </x:c>
      <x:c r="G371" s="26" t="str">
        <x:v>UTMOST SEARCHED</x:v>
      </x:c>
      <x:c r="H371" s="27" t="n">
        <x:v>96</x:v>
      </x:c>
      <x:c r="I371" s="27" t="n">
        <x:v>12</x:v>
      </x:c>
      <x:c r="J371" s="28" t="n">
        <x:v>480.5948138288295</x:v>
      </x:c>
      <x:c r="K371" s="26"/>
      <x:c r="L371" s="26" t="str">
        <x:v>insufficient_span_or_epochs</x:v>
      </x:c>
      <x:c r="M371" s="26" t="str">
        <x:v>Absent from named inventory</x:v>
      </x:c>
      <x:c r="N371" s="26" t="str">
        <x:v>Absent from named inventory</x:v>
      </x:c>
      <x:c r="O371" s="26" t="str">
        <x:v>Absent from named inventory</x:v>
      </x:c>
      <x:c r="P371" s="26"/>
      <x:c r="Q371" s="26" t="str">
        <x:v>../Project Recherche Data/tpa-batch01-20260908/selection.json</x:v>
      </x:c>
      <x:c r="R371" s="26" t="str">
        <x:v>047722e4dca24e16c44c810f43990492b2f988012ca2b4bab47826ff4c95f1db</x:v>
      </x:c>
      <x:c r="S371" s="26" t="str">
        <x:v>0c4cf043ee4683e4608f8b41f4c13f7c8015bf401309408f7eb36b43ffc17562</x:v>
      </x:c>
      <x:c r="T371" s="26" t="str">
        <x:v>92c483fad0b9786f3415bcdb73408ab7469fd3a7cce147aa61e980aa59cec4c3</x:v>
      </x:c>
    </x:row>
    <x:row r="372" ht="60" customHeight="1">
      <x:c r="A372" s="26" t="str">
        <x:v>J1634-5640</x:v>
      </x:c>
      <x:c r="B372" s="26" t="str"/>
      <x:c r="C372" s="26" t="str">
        <x:v>NOT_SEARCHED</x:v>
      </x:c>
      <x:c r="D372" s="26"/>
      <x:c r="E372" s="26" t="str">
        <x:v>No observed search</x:v>
      </x:c>
      <x:c r="F372" s="26" t="str">
        <x:v>Retain exclusion for current scope</x:v>
      </x:c>
      <x:c r="G372" s="26" t="str">
        <x:v>TPA EXCLUDED</x:v>
      </x:c>
      <x:c r="H372" s="27" t="n">
        <x:v>231</x:v>
      </x:c>
      <x:c r="I372" s="27" t="n">
        <x:v>29</x:v>
      </x:c>
      <x:c r="J372" s="28" t="n">
        <x:v>1440.1668685329714</x:v>
      </x:c>
      <x:c r="K372" s="26"/>
      <x:c r="L372" s="26" t="str">
        <x:v>insufficient_span_or_epochs</x:v>
      </x:c>
      <x:c r="M372" s="26" t="str">
        <x:v>Absent from named inventory</x:v>
      </x:c>
      <x:c r="N372" s="26" t="str">
        <x:v>Absent from named inventory</x:v>
      </x:c>
      <x:c r="O372" s="26" t="str">
        <x:v>Absent from named inventory</x:v>
      </x:c>
      <x:c r="P372" s="26"/>
      <x:c r="Q372" s="26" t="str">
        <x:v>../Project Recherche Data/tpa-batch01-20260908/selection.json</x:v>
      </x:c>
      <x:c r="R372" s="26" t="str">
        <x:v>047722e4dca24e16c44c810f43990492b2f988012ca2b4bab47826ff4c95f1db</x:v>
      </x:c>
      <x:c r="S372" s="26" t="str">
        <x:v>d7c2eb2354b1806e97b07a238bf39d4b347031bd671f7df87f5c70f95fccc861</x:v>
      </x:c>
      <x:c r="T372" s="26" t="str">
        <x:v>2fb88f77bfca4509fb7563031374aa1f1dd51a0175d3bae1f4c5cc8c08a8a7d2</x:v>
      </x:c>
    </x:row>
    <x:row r="373" ht="60" customHeight="1">
      <x:c r="A373" s="26" t="str">
        <x:v>J1635-5954</x:v>
      </x:c>
      <x:c r="B373" s="26" t="str">
        <x:v>B1630-59</x:v>
      </x:c>
      <x:c r="C373" s="26" t="str">
        <x:v>NOT_SEARCHED</x:v>
      </x:c>
      <x:c r="D373" s="26"/>
      <x:c r="E373" s="26" t="str">
        <x:v>No observed search</x:v>
      </x:c>
      <x:c r="F373" s="26" t="str">
        <x:v>Retain exclusion for current scope</x:v>
      </x:c>
      <x:c r="G373" s="26" t="str">
        <x:v>TPA EXCLUDED</x:v>
      </x:c>
      <x:c r="H373" s="27" t="n">
        <x:v>232</x:v>
      </x:c>
      <x:c r="I373" s="27" t="n">
        <x:v>29</x:v>
      </x:c>
      <x:c r="J373" s="28" t="n">
        <x:v>1182.9284851587363</x:v>
      </x:c>
      <x:c r="K373" s="26"/>
      <x:c r="L373" s="26" t="str">
        <x:v>insufficient_span_or_epochs</x:v>
      </x:c>
      <x:c r="M373" s="26" t="str">
        <x:v>Absent from named inventory</x:v>
      </x:c>
      <x:c r="N373" s="26" t="str">
        <x:v>Absent from named inventory</x:v>
      </x:c>
      <x:c r="O373" s="26" t="str">
        <x:v>Absent from named inventory</x:v>
      </x:c>
      <x:c r="P373" s="26"/>
      <x:c r="Q373" s="26" t="str">
        <x:v>../Project Recherche Data/tpa-batch01-20260908/selection.json</x:v>
      </x:c>
      <x:c r="R373" s="26" t="str">
        <x:v>047722e4dca24e16c44c810f43990492b2f988012ca2b4bab47826ff4c95f1db</x:v>
      </x:c>
      <x:c r="S373" s="26" t="str">
        <x:v>7741a5ab5624d8cb6bcaf4741170f35e13f90c2737129f1a81ba5797b1508aea</x:v>
      </x:c>
      <x:c r="T373" s="26" t="str">
        <x:v>9b9274494749ad4037c831bf07f5a67e52dff86881847db3c9eff7ac57b4d120</x:v>
      </x:c>
    </x:row>
    <x:row r="374" ht="60" customHeight="1">
      <x:c r="A374" s="26" t="str">
        <x:v>J1637-4450</x:v>
      </x:c>
      <x:c r="B374" s="26" t="str"/>
      <x:c r="C374" s="26" t="str">
        <x:v>NOT_SEARCHED</x:v>
      </x:c>
      <x:c r="D374" s="26"/>
      <x:c r="E374" s="26" t="str">
        <x:v>No observed search</x:v>
      </x:c>
      <x:c r="F374" s="26" t="str">
        <x:v>Retain exclusion for current scope</x:v>
      </x:c>
      <x:c r="G374" s="26" t="str">
        <x:v>TPA EXCLUDED</x:v>
      </x:c>
      <x:c r="H374" s="27" t="n">
        <x:v>224</x:v>
      </x:c>
      <x:c r="I374" s="27" t="n">
        <x:v>28</x:v>
      </x:c>
      <x:c r="J374" s="28" t="n">
        <x:v>1380.4098378759882</x:v>
      </x:c>
      <x:c r="K374" s="26"/>
      <x:c r="L374" s="26" t="str">
        <x:v>insufficient_span_or_epochs</x:v>
      </x:c>
      <x:c r="M374" s="26" t="str">
        <x:v>Absent from named inventory</x:v>
      </x:c>
      <x:c r="N374" s="26" t="str">
        <x:v>Absent from named inventory</x:v>
      </x:c>
      <x:c r="O374" s="26" t="str">
        <x:v>Absent from named inventory</x:v>
      </x:c>
      <x:c r="P374" s="26"/>
      <x:c r="Q374" s="26" t="str">
        <x:v>../Project Recherche Data/tpa-batch01-20260908/selection.json</x:v>
      </x:c>
      <x:c r="R374" s="26" t="str">
        <x:v>047722e4dca24e16c44c810f43990492b2f988012ca2b4bab47826ff4c95f1db</x:v>
      </x:c>
      <x:c r="S374" s="26" t="str">
        <x:v>0f3fec1bbd4956df99b939f5cbec67835fc0e8efd311525da99f4cfe3b8bb837</x:v>
      </x:c>
      <x:c r="T374" s="26" t="str">
        <x:v>e507b384f4ec2c511bc7c43b82dc7f02b8dadb13672e8c76602520e508d895fc</x:v>
      </x:c>
    </x:row>
    <x:row r="375" ht="60" customHeight="1">
      <x:c r="A375" s="26" t="str">
        <x:v>J1637-4553</x:v>
      </x:c>
      <x:c r="B375" s="26" t="str">
        <x:v>B1634-45</x:v>
      </x:c>
      <x:c r="C375" s="26" t="str">
        <x:v>NOT_SEARCHED</x:v>
      </x:c>
      <x:c r="D375" s="26"/>
      <x:c r="E375" s="26" t="str">
        <x:v>No observed search</x:v>
      </x:c>
      <x:c r="F375" s="26" t="str">
        <x:v>Retain exclusion for current scope</x:v>
      </x:c>
      <x:c r="G375" s="26" t="str">
        <x:v>TPA EXCLUDED</x:v>
      </x:c>
      <x:c r="H375" s="27" t="n">
        <x:v>232</x:v>
      </x:c>
      <x:c r="I375" s="27" t="n">
        <x:v>29</x:v>
      </x:c>
      <x:c r="J375" s="28" t="n">
        <x:v>1219.5694583177537</x:v>
      </x:c>
      <x:c r="K375" s="26"/>
      <x:c r="L375" s="26" t="str">
        <x:v>insufficient_span_or_epochs</x:v>
      </x:c>
      <x:c r="M375" s="26" t="str">
        <x:v>Absent from named inventory</x:v>
      </x:c>
      <x:c r="N375" s="26" t="str">
        <x:v>Absent from named inventory</x:v>
      </x:c>
      <x:c r="O375" s="26" t="str">
        <x:v>Absent from named inventory</x:v>
      </x:c>
      <x:c r="P375" s="26"/>
      <x:c r="Q375" s="26" t="str">
        <x:v>../Project Recherche Data/tpa-batch01-20260908/selection.json</x:v>
      </x:c>
      <x:c r="R375" s="26" t="str">
        <x:v>047722e4dca24e16c44c810f43990492b2f988012ca2b4bab47826ff4c95f1db</x:v>
      </x:c>
      <x:c r="S375" s="26" t="str">
        <x:v>0c2cdf899eac7c338916bf1f57d3801b9eedb9895b970ba890fb069cedf9d0d6</x:v>
      </x:c>
      <x:c r="T375" s="26" t="str">
        <x:v>7d80d26c468e25c236cde1dcd8aacf8d823b9b1dfd4da020dcc5ee0892f74ecc</x:v>
      </x:c>
    </x:row>
    <x:row r="376" ht="60" customHeight="1">
      <x:c r="A376" s="26" t="str">
        <x:v>J1637-4642</x:v>
      </x:c>
      <x:c r="B376" s="26" t="str"/>
      <x:c r="C376" s="26" t="str">
        <x:v>NOT_SEARCHED</x:v>
      </x:c>
      <x:c r="D376" s="26"/>
      <x:c r="E376" s="26" t="str">
        <x:v>No observed search</x:v>
      </x:c>
      <x:c r="F376" s="26" t="str">
        <x:v>Retain exclusion for current scope</x:v>
      </x:c>
      <x:c r="G376" s="26" t="str">
        <x:v>TPA EXCLUDED</x:v>
      </x:c>
      <x:c r="H376" s="27" t="n">
        <x:v>231</x:v>
      </x:c>
      <x:c r="I376" s="27" t="n">
        <x:v>29</x:v>
      </x:c>
      <x:c r="J376" s="28" t="n">
        <x:v>1185.1014291725805</x:v>
      </x:c>
      <x:c r="K376" s="26"/>
      <x:c r="L376" s="26" t="str">
        <x:v>insufficient_span_or_epochs</x:v>
      </x:c>
      <x:c r="M376" s="26" t="str">
        <x:v>Absent from named inventory</x:v>
      </x:c>
      <x:c r="N376" s="26" t="str">
        <x:v>Absent from named inventory</x:v>
      </x:c>
      <x:c r="O376" s="26" t="str">
        <x:v>Absent from named inventory</x:v>
      </x:c>
      <x:c r="P376" s="26"/>
      <x:c r="Q376" s="26" t="str">
        <x:v>../Project Recherche Data/tpa-batch01-20260908/selection.json</x:v>
      </x:c>
      <x:c r="R376" s="26" t="str">
        <x:v>047722e4dca24e16c44c810f43990492b2f988012ca2b4bab47826ff4c95f1db</x:v>
      </x:c>
      <x:c r="S376" s="26" t="str">
        <x:v>9973134d9b815fa3d7ce1f1acb7b534ae6e2abd3521b49106070f476d994740b</x:v>
      </x:c>
      <x:c r="T376" s="26" t="str">
        <x:v>fa63fa28f9ffb667575495db6b3a5337080341b79b19f2b25784dbc51a14afc5</x:v>
      </x:c>
    </x:row>
    <x:row r="377" ht="60" customHeight="1">
      <x:c r="A377" s="26" t="str">
        <x:v>J1638-3815</x:v>
      </x:c>
      <x:c r="B377" s="26" t="str"/>
      <x:c r="C377" s="26" t="str">
        <x:v>NOT_SEARCHED</x:v>
      </x:c>
      <x:c r="D377" s="26"/>
      <x:c r="E377" s="26" t="str">
        <x:v>No observed search</x:v>
      </x:c>
      <x:c r="F377" s="26" t="str">
        <x:v>Retain exclusion for current scope</x:v>
      </x:c>
      <x:c r="G377" s="26" t="str">
        <x:v>TPA EXCLUDED</x:v>
      </x:c>
      <x:c r="H377" s="27" t="n">
        <x:v>256</x:v>
      </x:c>
      <x:c r="I377" s="27" t="n">
        <x:v>32</x:v>
      </x:c>
      <x:c r="J377" s="28" t="n">
        <x:v>1357.3407008125141</x:v>
      </x:c>
      <x:c r="K377" s="26"/>
      <x:c r="L377" s="26" t="str">
        <x:v>insufficient_span_or_epochs</x:v>
      </x:c>
      <x:c r="M377" s="26" t="str">
        <x:v>Absent from named inventory</x:v>
      </x:c>
      <x:c r="N377" s="26" t="str">
        <x:v>Absent from named inventory</x:v>
      </x:c>
      <x:c r="O377" s="26" t="str">
        <x:v>Absent from named inventory</x:v>
      </x:c>
      <x:c r="P377" s="26"/>
      <x:c r="Q377" s="26" t="str">
        <x:v>../Project Recherche Data/tpa-batch01-20260908/selection.json</x:v>
      </x:c>
      <x:c r="R377" s="26" t="str">
        <x:v>047722e4dca24e16c44c810f43990492b2f988012ca2b4bab47826ff4c95f1db</x:v>
      </x:c>
      <x:c r="S377" s="26" t="str">
        <x:v>f2f1d419f31fac55f538c4bf384c49482a52225c978644ea30eea72e733564a9</x:v>
      </x:c>
      <x:c r="T377" s="26" t="str">
        <x:v>6a01068aed3e06db0743517967f9eec02369034d82e8525e663aec575107f964</x:v>
      </x:c>
    </x:row>
    <x:row r="378" ht="60" customHeight="1">
      <x:c r="A378" s="26" t="str">
        <x:v>J1638-4417</x:v>
      </x:c>
      <x:c r="B378" s="26" t="str"/>
      <x:c r="C378" s="26" t="str">
        <x:v>NOT_SEARCHED</x:v>
      </x:c>
      <x:c r="D378" s="26"/>
      <x:c r="E378" s="26" t="str">
        <x:v>No observed search</x:v>
      </x:c>
      <x:c r="F378" s="26" t="str">
        <x:v>Retain exclusion for current scope</x:v>
      </x:c>
      <x:c r="G378" s="26" t="str">
        <x:v>TPA EXCLUDED</x:v>
      </x:c>
      <x:c r="H378" s="27" t="n">
        <x:v>214</x:v>
      </x:c>
      <x:c r="I378" s="27" t="n">
        <x:v>27</x:v>
      </x:c>
      <x:c r="J378" s="28" t="n">
        <x:v>1120.0680524939162</x:v>
      </x:c>
      <x:c r="K378" s="26"/>
      <x:c r="L378" s="26" t="str">
        <x:v>insufficient_span_or_epochs</x:v>
      </x:c>
      <x:c r="M378" s="26" t="str">
        <x:v>Absent from named inventory</x:v>
      </x:c>
      <x:c r="N378" s="26" t="str">
        <x:v>Absent from named inventory</x:v>
      </x:c>
      <x:c r="O378" s="26" t="str">
        <x:v>Absent from named inventory</x:v>
      </x:c>
      <x:c r="P378" s="26"/>
      <x:c r="Q378" s="26" t="str">
        <x:v>../Project Recherche Data/tpa-batch01-20260908/selection.json</x:v>
      </x:c>
      <x:c r="R378" s="26" t="str">
        <x:v>047722e4dca24e16c44c810f43990492b2f988012ca2b4bab47826ff4c95f1db</x:v>
      </x:c>
      <x:c r="S378" s="26" t="str">
        <x:v>3d9f34cd6ca753c556be52c8e71f8a824e94530912a2c8d8365c24a843116d6b</x:v>
      </x:c>
      <x:c r="T378" s="26" t="str">
        <x:v>8b2317739fb40f9c1262fcf3cc542549573f97b5a0f4830f67c17a3a49047d04</x:v>
      </x:c>
    </x:row>
    <x:row r="379" ht="60" customHeight="1">
      <x:c r="A379" s="26" t="str">
        <x:v>J1638-5226</x:v>
      </x:c>
      <x:c r="B379" s="26" t="str"/>
      <x:c r="C379" s="26" t="str">
        <x:v>NO_TRIGGER</x:v>
      </x:c>
      <x:c r="D379" s="26" t="str">
        <x:v>tpa-batch05-20260908-J1638-5226-run01</x:v>
      </x:c>
      <x:c r="E379" s="26" t="str">
        <x:v>No qualifying signal in eligible 30–400-day cells</x:v>
      </x:c>
      <x:c r="F379" s="26" t="str">
        <x:v>Retain result; consider independent data or a separately defined new scope</x:v>
      </x:c>
      <x:c r="G379" s="26" t="str">
        <x:v>SEARCHED</x:v>
      </x:c>
      <x:c r="H379" s="27" t="n">
        <x:v>447</x:v>
      </x:c>
      <x:c r="I379" s="27" t="n">
        <x:v>56</x:v>
      </x:c>
      <x:c r="J379" s="28" t="n">
        <x:v>1367.3564934993046</x:v>
      </x:c>
      <x:c r="K379" s="26" t="str">
        <x:v>tpa-batch05-20260908</x:v>
      </x:c>
      <x:c r="L379" s="26"/>
      <x:c r="M379" s="26" t="str">
        <x:v>Absent from named inventory</x:v>
      </x:c>
      <x:c r="N379" s="26" t="str">
        <x:v>Absent from named inventory</x:v>
      </x:c>
      <x:c r="O379" s="26" t="str">
        <x:v>Absent from named inventory</x:v>
      </x:c>
      <x:c r="P379" s="26"/>
      <x:c r="Q379" s="26" t="str">
        <x:v>../Project Recherche Data/tpa-batch05-20260908/selection.json</x:v>
      </x:c>
      <x:c r="R379" s="26" t="str">
        <x:v>1212bfb743fa2d3f16f95056ab4d3c2b52ec5dd997358fe385b8fd00313b3907</x:v>
      </x:c>
      <x:c r="S379" s="26" t="str">
        <x:v>2ace50d6e7629e3927b52f225950b29a9f4ba2faae64d292d332719c9517119a</x:v>
      </x:c>
      <x:c r="T379" s="26" t="str">
        <x:v>aa1b01dc4418ab586ef288cd436fbd98a1d8b2700c844d2dc197a673236dde18</x:v>
      </x:c>
    </x:row>
    <x:row r="380" ht="60" customHeight="1">
      <x:c r="A380" s="26" t="str">
        <x:v>J1639-4604</x:v>
      </x:c>
      <x:c r="B380" s="26" t="str">
        <x:v>B1635-45</x:v>
      </x:c>
      <x:c r="C380" s="26" t="str">
        <x:v>NOT_SEARCHED</x:v>
      </x:c>
      <x:c r="D380" s="26"/>
      <x:c r="E380" s="26" t="str">
        <x:v>No observed search</x:v>
      </x:c>
      <x:c r="F380" s="26" t="str">
        <x:v>Retain exclusion for current scope</x:v>
      </x:c>
      <x:c r="G380" s="26" t="str">
        <x:v>TPA EXCLUDED</x:v>
      </x:c>
      <x:c r="H380" s="27" t="n">
        <x:v>240</x:v>
      </x:c>
      <x:c r="I380" s="27" t="n">
        <x:v>30</x:v>
      </x:c>
      <x:c r="J380" s="28" t="n">
        <x:v>1280.7245765055486</x:v>
      </x:c>
      <x:c r="K380" s="26"/>
      <x:c r="L380" s="26" t="str">
        <x:v>harmonic_timing_convention, insufficient_span_or_epochs</x:v>
      </x:c>
      <x:c r="M380" s="26" t="str">
        <x:v>Absent from named inventory</x:v>
      </x:c>
      <x:c r="N380" s="26" t="str">
        <x:v>Absent from named inventory</x:v>
      </x:c>
      <x:c r="O380" s="26" t="str">
        <x:v>Absent from named inventory</x:v>
      </x:c>
      <x:c r="P380" s="26"/>
      <x:c r="Q380" s="26" t="str">
        <x:v>../Project Recherche Data/tpa-batch01-20260908/selection.json</x:v>
      </x:c>
      <x:c r="R380" s="26" t="str">
        <x:v>047722e4dca24e16c44c810f43990492b2f988012ca2b4bab47826ff4c95f1db</x:v>
      </x:c>
      <x:c r="S380" s="26" t="str">
        <x:v>e99397f9d19d3edf4b30c0a384672ee5e18932f1391f6968b0eef8848cd50717</x:v>
      </x:c>
      <x:c r="T380" s="26" t="str">
        <x:v>cbc9d74c02b6d9729a7f1b9010beada4af8e39bc9cb36e049ba715284028b4f8</x:v>
      </x:c>
    </x:row>
    <x:row r="381" ht="60" customHeight="1">
      <x:c r="A381" s="26" t="str">
        <x:v>J1640-4715</x:v>
      </x:c>
      <x:c r="B381" s="26" t="str">
        <x:v>B1636-47</x:v>
      </x:c>
      <x:c r="C381" s="26" t="str">
        <x:v>NOT_SEARCHED</x:v>
      </x:c>
      <x:c r="D381" s="26"/>
      <x:c r="E381" s="26" t="str">
        <x:v>No observed search</x:v>
      </x:c>
      <x:c r="F381" s="26" t="str">
        <x:v>Retain exclusion for current scope</x:v>
      </x:c>
      <x:c r="G381" s="26" t="str">
        <x:v>TPA EXCLUDED</x:v>
      </x:c>
      <x:c r="H381" s="27" t="n">
        <x:v>229</x:v>
      </x:c>
      <x:c r="I381" s="27" t="n">
        <x:v>29</x:v>
      </x:c>
      <x:c r="J381" s="28" t="n">
        <x:v>1219.5714744310098</x:v>
      </x:c>
      <x:c r="K381" s="26"/>
      <x:c r="L381" s="26" t="str">
        <x:v>insufficient_span_or_epochs</x:v>
      </x:c>
      <x:c r="M381" s="26" t="str">
        <x:v>Absent from named inventory</x:v>
      </x:c>
      <x:c r="N381" s="26" t="str">
        <x:v>Absent from named inventory</x:v>
      </x:c>
      <x:c r="O381" s="26" t="str">
        <x:v>Absent from named inventory</x:v>
      </x:c>
      <x:c r="P381" s="26"/>
      <x:c r="Q381" s="26" t="str">
        <x:v>../Project Recherche Data/tpa-batch01-20260908/selection.json</x:v>
      </x:c>
      <x:c r="R381" s="26" t="str">
        <x:v>047722e4dca24e16c44c810f43990492b2f988012ca2b4bab47826ff4c95f1db</x:v>
      </x:c>
      <x:c r="S381" s="26" t="str">
        <x:v>182f17e0c6bb08d91697cee4a8076b7776e70a1df1c91c28acc888c32b667738</x:v>
      </x:c>
      <x:c r="T381" s="26" t="str">
        <x:v>81ad1d33881a4c843dfc767e0aa80ca97dd1bcdcd9c662a8f135e8c1c91989bd</x:v>
      </x:c>
    </x:row>
    <x:row r="382" ht="60" customHeight="1">
      <x:c r="A382" s="26" t="str">
        <x:v>J1643-4550</x:v>
      </x:c>
      <x:c r="B382" s="26" t="str"/>
      <x:c r="C382" s="26" t="str">
        <x:v>NOT_SEARCHED</x:v>
      </x:c>
      <x:c r="D382" s="26"/>
      <x:c r="E382" s="26" t="str">
        <x:v>No observed search</x:v>
      </x:c>
      <x:c r="F382" s="26" t="str">
        <x:v>Retain exclusion for current scope</x:v>
      </x:c>
      <x:c r="G382" s="26" t="str">
        <x:v>TPA EXCLUDED</x:v>
      </x:c>
      <x:c r="H382" s="27" t="n">
        <x:v>256</x:v>
      </x:c>
      <x:c r="I382" s="27" t="n">
        <x:v>32</x:v>
      </x:c>
      <x:c r="J382" s="28" t="n">
        <x:v>1412.2478788802182</x:v>
      </x:c>
      <x:c r="K382" s="26"/>
      <x:c r="L382" s="26" t="str">
        <x:v>insufficient_span_or_epochs</x:v>
      </x:c>
      <x:c r="M382" s="26" t="str">
        <x:v>Absent from named inventory</x:v>
      </x:c>
      <x:c r="N382" s="26" t="str">
        <x:v>Absent from named inventory</x:v>
      </x:c>
      <x:c r="O382" s="26" t="str">
        <x:v>Absent from named inventory</x:v>
      </x:c>
      <x:c r="P382" s="26"/>
      <x:c r="Q382" s="26" t="str">
        <x:v>../Project Recherche Data/tpa-batch01-20260908/selection.json</x:v>
      </x:c>
      <x:c r="R382" s="26" t="str">
        <x:v>047722e4dca24e16c44c810f43990492b2f988012ca2b4bab47826ff4c95f1db</x:v>
      </x:c>
      <x:c r="S382" s="26" t="str">
        <x:v>3c23857029c71d06fc4cedfed97829d2cde2fe9822c35c9f6e41b8349c871e51</x:v>
      </x:c>
      <x:c r="T382" s="26" t="str">
        <x:v>bc84780afb0593672d4783536081194e641f52aca3262079ab65d53d86df75d6</x:v>
      </x:c>
    </x:row>
    <x:row r="383" ht="60" customHeight="1">
      <x:c r="A383" s="26" t="str">
        <x:v>J1645-0317</x:v>
      </x:c>
      <x:c r="B383" s="26" t="str">
        <x:v>B1642-03</x:v>
      </x:c>
      <x:c r="C383" s="26" t="str">
        <x:v>NO_TRIGGER</x:v>
      </x:c>
      <x:c r="D383" s="26" t="str">
        <x:v>tpa-batch02-20260908-J1645-0317-run01</x:v>
      </x:c>
      <x:c r="E383" s="26" t="str">
        <x:v>No qualifying signal in eligible 30–400-day cells</x:v>
      </x:c>
      <x:c r="F383" s="26" t="str">
        <x:v>Retain result; consider independent data or a separately defined new scope</x:v>
      </x:c>
      <x:c r="G383" s="26" t="str">
        <x:v>SEARCHED</x:v>
      </x:c>
      <x:c r="H383" s="27" t="n">
        <x:v>408</x:v>
      </x:c>
      <x:c r="I383" s="27" t="n">
        <x:v>51</x:v>
      </x:c>
      <x:c r="J383" s="28" t="n">
        <x:v>1258.277189181943</x:v>
      </x:c>
      <x:c r="K383" s="26" t="str">
        <x:v>tpa-batch02-20260908</x:v>
      </x:c>
      <x:c r="L383" s="26"/>
      <x:c r="M383" s="26" t="str">
        <x:v>Absent from named inventory</x:v>
      </x:c>
      <x:c r="N383" s="26" t="str">
        <x:v>Absent from named inventory</x:v>
      </x:c>
      <x:c r="O383" s="26" t="str">
        <x:v>Absent from named inventory</x:v>
      </x:c>
      <x:c r="P383" s="26"/>
      <x:c r="Q383" s="26" t="str">
        <x:v>../Project Recherche Data/tpa-batch02-20260908/selection.json</x:v>
      </x:c>
      <x:c r="R383" s="26" t="str">
        <x:v>eafdf9d3c8016443c502ba19ffd89257148144d3a88befddff9c95b47674d326</x:v>
      </x:c>
      <x:c r="S383" s="26" t="str">
        <x:v>e18c403ec260fda85632c2b1b02a2762508b3b9f3cc1e66e3bea24e9ac2c1e24</x:v>
      </x:c>
      <x:c r="T383" s="26" t="str">
        <x:v>e1ca8ff8cca6a52ba11cda9cd58079c88311ef5c606c743f8c20b0cdde129b93</x:v>
      </x:c>
    </x:row>
    <x:row r="384" ht="60" customHeight="1">
      <x:c r="A384" s="26" t="str">
        <x:v>J1646-6831</x:v>
      </x:c>
      <x:c r="B384" s="26" t="str">
        <x:v>B1641-68</x:v>
      </x:c>
      <x:c r="C384" s="26" t="str">
        <x:v>NO_TRIGGER</x:v>
      </x:c>
      <x:c r="D384" s="26" t="str">
        <x:v>tpa-batch05-20260908-J1646-6831-run01</x:v>
      </x:c>
      <x:c r="E384" s="26" t="str">
        <x:v>No qualifying signal in eligible 30–400-day cells</x:v>
      </x:c>
      <x:c r="F384" s="26" t="str">
        <x:v>Retain result; consider independent data or a separately defined new scope</x:v>
      </x:c>
      <x:c r="G384" s="26" t="str">
        <x:v>SEARCHED</x:v>
      </x:c>
      <x:c r="H384" s="27" t="n">
        <x:v>432</x:v>
      </x:c>
      <x:c r="I384" s="27" t="n">
        <x:v>54</x:v>
      </x:c>
      <x:c r="J384" s="28" t="n">
        <x:v>1212.268351553299</x:v>
      </x:c>
      <x:c r="K384" s="26" t="str">
        <x:v>tpa-batch05-20260908</x:v>
      </x:c>
      <x:c r="L384" s="26"/>
      <x:c r="M384" s="26" t="str">
        <x:v>Absent from named inventory</x:v>
      </x:c>
      <x:c r="N384" s="26" t="str">
        <x:v>Absent from named inventory</x:v>
      </x:c>
      <x:c r="O384" s="26" t="str">
        <x:v>Absent from named inventory</x:v>
      </x:c>
      <x:c r="P384" s="26"/>
      <x:c r="Q384" s="26" t="str">
        <x:v>../Project Recherche Data/tpa-batch05-20260908/selection.json</x:v>
      </x:c>
      <x:c r="R384" s="26" t="str">
        <x:v>1212bfb743fa2d3f16f95056ab4d3c2b52ec5dd997358fe385b8fd00313b3907</x:v>
      </x:c>
      <x:c r="S384" s="26" t="str">
        <x:v>d8018087bc4eba6cbfe46f1f1e6a516c066ea93e82c48ae7f51280ea0e575d6e</x:v>
      </x:c>
      <x:c r="T384" s="26" t="str">
        <x:v>bcfca65b032642eadf1d35177161b6c29fd69a07e886f0396c26cbb3a411b948</x:v>
      </x:c>
    </x:row>
    <x:row r="385" ht="60" customHeight="1">
      <x:c r="A385" s="26" t="str">
        <x:v>J1648-3256</x:v>
      </x:c>
      <x:c r="B385" s="26" t="str"/>
      <x:c r="C385" s="26" t="str">
        <x:v>NOT_SEARCHED</x:v>
      </x:c>
      <x:c r="D385" s="26"/>
      <x:c r="E385" s="26" t="str">
        <x:v>No observed search</x:v>
      </x:c>
      <x:c r="F385" s="26" t="str">
        <x:v>Retain exclusion for current scope</x:v>
      </x:c>
      <x:c r="G385" s="26" t="str">
        <x:v>TPA EXCLUDED</x:v>
      </x:c>
      <x:c r="H385" s="27" t="n">
        <x:v>240</x:v>
      </x:c>
      <x:c r="I385" s="27" t="n">
        <x:v>30</x:v>
      </x:c>
      <x:c r="J385" s="28" t="n">
        <x:v>1236.4997853776003</x:v>
      </x:c>
      <x:c r="K385" s="26"/>
      <x:c r="L385" s="26" t="str">
        <x:v>insufficient_span_or_epochs</x:v>
      </x:c>
      <x:c r="M385" s="26" t="str">
        <x:v>Present</x:v>
      </x:c>
      <x:c r="N385" s="26" t="str">
        <x:v>Absent from named inventory</x:v>
      </x:c>
      <x:c r="O385" s="26" t="str">
        <x:v>Absent from named inventory</x:v>
      </x:c>
      <x:c r="P385" s="26"/>
      <x:c r="Q385" s="26" t="str">
        <x:v>../Project Recherche Data/tpa-batch01-20260908/selection.json</x:v>
      </x:c>
      <x:c r="R385" s="26" t="str">
        <x:v>047722e4dca24e16c44c810f43990492b2f988012ca2b4bab47826ff4c95f1db</x:v>
      </x:c>
      <x:c r="S385" s="26" t="str">
        <x:v>a4598a4fcacd0ea319e8a09cfdceef292efb5756e6ea9a2d9707ab2920440d67</x:v>
      </x:c>
      <x:c r="T385" s="26" t="str">
        <x:v>e18729482a7608f8da4e3819e0f1e1fa38290ced472f59eebcd45d77bf4bce4e</x:v>
      </x:c>
    </x:row>
    <x:row r="386" ht="60" customHeight="1">
      <x:c r="A386" s="26" t="str">
        <x:v>J1648-4611</x:v>
      </x:c>
      <x:c r="B386" s="26" t="str"/>
      <x:c r="C386" s="26" t="str">
        <x:v>NOT_SEARCHED</x:v>
      </x:c>
      <x:c r="D386" s="26"/>
      <x:c r="E386" s="26" t="str">
        <x:v>No observed search</x:v>
      </x:c>
      <x:c r="F386" s="26" t="str">
        <x:v>Retain exclusion for current scope</x:v>
      </x:c>
      <x:c r="G386" s="26" t="str">
        <x:v>TPA EXCLUDED</x:v>
      </x:c>
      <x:c r="H386" s="27" t="n">
        <x:v>209</x:v>
      </x:c>
      <x:c r="I386" s="27" t="n">
        <x:v>27</x:v>
      </x:c>
      <x:c r="J386" s="28" t="n">
        <x:v>1202.8581516890044</x:v>
      </x:c>
      <x:c r="K386" s="26"/>
      <x:c r="L386" s="26" t="str">
        <x:v>insufficient_span_or_epochs</x:v>
      </x:c>
      <x:c r="M386" s="26" t="str">
        <x:v>Absent from named inventory</x:v>
      </x:c>
      <x:c r="N386" s="26" t="str">
        <x:v>Absent from named inventory</x:v>
      </x:c>
      <x:c r="O386" s="26" t="str">
        <x:v>Absent from named inventory</x:v>
      </x:c>
      <x:c r="P386" s="26"/>
      <x:c r="Q386" s="26" t="str">
        <x:v>../Project Recherche Data/tpa-batch01-20260908/selection.json</x:v>
      </x:c>
      <x:c r="R386" s="26" t="str">
        <x:v>047722e4dca24e16c44c810f43990492b2f988012ca2b4bab47826ff4c95f1db</x:v>
      </x:c>
      <x:c r="S386" s="26" t="str">
        <x:v>3a5e9008722f338390b53b2cc16b4a87e2e399e328beb0eef2db2ca21cb28fd7</x:v>
      </x:c>
      <x:c r="T386" s="26" t="str">
        <x:v>d2aef116cfbd591027a1dad40686e51402f26ab3b73918efdcb90440655bf9a0</x:v>
      </x:c>
    </x:row>
    <x:row r="387" ht="60" customHeight="1">
      <x:c r="A387" s="26" t="str">
        <x:v>J1648-6044</x:v>
      </x:c>
      <x:c r="B387" s="26" t="str"/>
      <x:c r="C387" s="26" t="str">
        <x:v>NO_TRIGGER</x:v>
      </x:c>
      <x:c r="D387" s="26" t="str">
        <x:v>tpa-batch06-20260908-J1648-6044-run01</x:v>
      </x:c>
      <x:c r="E387" s="26" t="str">
        <x:v>No qualifying signal in eligible 30–400-day cells</x:v>
      </x:c>
      <x:c r="F387" s="26" t="str">
        <x:v>Retain result; consider independent data or a separately defined new scope</x:v>
      </x:c>
      <x:c r="G387" s="26" t="str">
        <x:v>SEARCHED</x:v>
      </x:c>
      <x:c r="H387" s="27" t="n">
        <x:v>411</x:v>
      </x:c>
      <x:c r="I387" s="27" t="n">
        <x:v>54</x:v>
      </x:c>
      <x:c r="J387" s="28" t="n">
        <x:v>1290.4974821014039</x:v>
      </x:c>
      <x:c r="K387" s="26" t="str">
        <x:v>tpa-batch06-20260908</x:v>
      </x:c>
      <x:c r="L387" s="26"/>
      <x:c r="M387" s="26" t="str">
        <x:v>Absent from named inventory</x:v>
      </x:c>
      <x:c r="N387" s="26" t="str">
        <x:v>Absent from named inventory</x:v>
      </x:c>
      <x:c r="O387" s="26" t="str">
        <x:v>Absent from named inventory</x:v>
      </x:c>
      <x:c r="P387" s="26"/>
      <x:c r="Q387" s="26" t="str">
        <x:v>../Project Recherche Data/tpa-batch06-20260908/selection.json</x:v>
      </x:c>
      <x:c r="R387" s="26" t="str">
        <x:v>aa7dc82ae2f0aa7f4ad390810d65a59ea2811f4802deb69c9130205b6466f356</x:v>
      </x:c>
      <x:c r="S387" s="26" t="str">
        <x:v>cf721bc67f68fbe6df8a9b6a8fe792ee1c3a076bd11e09bbedb82d7a9275cc0b</x:v>
      </x:c>
      <x:c r="T387" s="26" t="str">
        <x:v>a5559ab9fb376873ed05a2e0e2e7f44cc053598a5831507427e2c004298862e3</x:v>
      </x:c>
    </x:row>
    <x:row r="388" ht="60" customHeight="1">
      <x:c r="A388" s="26" t="str">
        <x:v>J1649-3805</x:v>
      </x:c>
      <x:c r="B388" s="26" t="str"/>
      <x:c r="C388" s="26" t="str">
        <x:v>NOT_SEARCHED</x:v>
      </x:c>
      <x:c r="D388" s="26"/>
      <x:c r="E388" s="26" t="str">
        <x:v>No observed search</x:v>
      </x:c>
      <x:c r="F388" s="26" t="str">
        <x:v>Retain exclusion for current scope</x:v>
      </x:c>
      <x:c r="G388" s="26" t="str">
        <x:v>TPA EXCLUDED</x:v>
      </x:c>
      <x:c r="H388" s="27" t="n">
        <x:v>240</x:v>
      </x:c>
      <x:c r="I388" s="27" t="n">
        <x:v>30</x:v>
      </x:c>
      <x:c r="J388" s="28" t="n">
        <x:v>1236.55888864406</x:v>
      </x:c>
      <x:c r="K388" s="26"/>
      <x:c r="L388" s="26" t="str">
        <x:v>insufficient_span_or_epochs</x:v>
      </x:c>
      <x:c r="M388" s="26" t="str">
        <x:v>Absent from named inventory</x:v>
      </x:c>
      <x:c r="N388" s="26" t="str">
        <x:v>Absent from named inventory</x:v>
      </x:c>
      <x:c r="O388" s="26" t="str">
        <x:v>Absent from named inventory</x:v>
      </x:c>
      <x:c r="P388" s="26"/>
      <x:c r="Q388" s="26" t="str">
        <x:v>../Project Recherche Data/tpa-batch01-20260908/selection.json</x:v>
      </x:c>
      <x:c r="R388" s="26" t="str">
        <x:v>047722e4dca24e16c44c810f43990492b2f988012ca2b4bab47826ff4c95f1db</x:v>
      </x:c>
      <x:c r="S388" s="26" t="str">
        <x:v>7c281422ed69d322874fd13853b47a3f095808f0b058ec9db09f00312c5d8d1f</x:v>
      </x:c>
      <x:c r="T388" s="26" t="str">
        <x:v>e7a997e6cad2f27646dd519e1dd63438e59b92bbd36f17a6866c3393adc6054e</x:v>
      </x:c>
    </x:row>
    <x:row r="389" ht="60" customHeight="1">
      <x:c r="A389" s="26" t="str">
        <x:v>J1649-4349</x:v>
      </x:c>
      <x:c r="B389" s="26" t="str"/>
      <x:c r="C389" s="26" t="str">
        <x:v>NOT_SEARCHED</x:v>
      </x:c>
      <x:c r="D389" s="26"/>
      <x:c r="E389" s="26" t="str">
        <x:v>No observed search</x:v>
      </x:c>
      <x:c r="F389" s="26" t="str">
        <x:v>Retain exclusion for current scope</x:v>
      </x:c>
      <x:c r="G389" s="26" t="str">
        <x:v>TPA EXCLUDED</x:v>
      </x:c>
      <x:c r="H389" s="27" t="n">
        <x:v>233</x:v>
      </x:c>
      <x:c r="I389" s="27" t="n">
        <x:v>30</x:v>
      </x:c>
      <x:c r="J389" s="28" t="n">
        <x:v>1280.7425803066872</x:v>
      </x:c>
      <x:c r="K389" s="26"/>
      <x:c r="L389" s="26" t="str">
        <x:v>insufficient_span_or_epochs</x:v>
      </x:c>
      <x:c r="M389" s="26" t="str">
        <x:v>Absent from named inventory</x:v>
      </x:c>
      <x:c r="N389" s="26" t="str">
        <x:v>Absent from named inventory</x:v>
      </x:c>
      <x:c r="O389" s="26" t="str">
        <x:v>Absent from named inventory</x:v>
      </x:c>
      <x:c r="P389" s="26"/>
      <x:c r="Q389" s="26" t="str">
        <x:v>../Project Recherche Data/tpa-batch01-20260908/selection.json</x:v>
      </x:c>
      <x:c r="R389" s="26" t="str">
        <x:v>047722e4dca24e16c44c810f43990492b2f988012ca2b4bab47826ff4c95f1db</x:v>
      </x:c>
      <x:c r="S389" s="26" t="str">
        <x:v>42f8512f43d1248ffd91bf1cffa9b29456c33422af72c0243ed789c745401cbc</x:v>
      </x:c>
      <x:c r="T389" s="26" t="str">
        <x:v>2dd975dbef8c6bf99837dd60f25eea8f3dfa4651f50dbe978191fd1677add319</x:v>
      </x:c>
    </x:row>
    <x:row r="390" ht="60" customHeight="1">
      <x:c r="A390" s="26" t="str">
        <x:v>J1650-1654</x:v>
      </x:c>
      <x:c r="B390" s="26" t="str"/>
      <x:c r="C390" s="26" t="str">
        <x:v>NOT_SEARCHED</x:v>
      </x:c>
      <x:c r="D390" s="26"/>
      <x:c r="E390" s="26" t="str">
        <x:v>No observed search</x:v>
      </x:c>
      <x:c r="F390" s="26" t="str">
        <x:v>Retain exclusion for current scope</x:v>
      </x:c>
      <x:c r="G390" s="26" t="str">
        <x:v>TPA EXCLUDED</x:v>
      </x:c>
      <x:c r="H390" s="27" t="n">
        <x:v>220</x:v>
      </x:c>
      <x:c r="I390" s="27" t="n">
        <x:v>29</x:v>
      </x:c>
      <x:c r="J390" s="28" t="n">
        <x:v>1238.5068189419326</x:v>
      </x:c>
      <x:c r="K390" s="26"/>
      <x:c r="L390" s="26" t="str">
        <x:v>insufficient_span_or_epochs</x:v>
      </x:c>
      <x:c r="M390" s="26" t="str">
        <x:v>Present</x:v>
      </x:c>
      <x:c r="N390" s="26" t="str">
        <x:v>Absent from named inventory</x:v>
      </x:c>
      <x:c r="O390" s="26" t="str">
        <x:v>Absent from named inventory</x:v>
      </x:c>
      <x:c r="P390" s="26"/>
      <x:c r="Q390" s="26" t="str">
        <x:v>../Project Recherche Data/tpa-batch01-20260908/selection.json</x:v>
      </x:c>
      <x:c r="R390" s="26" t="str">
        <x:v>047722e4dca24e16c44c810f43990492b2f988012ca2b4bab47826ff4c95f1db</x:v>
      </x:c>
      <x:c r="S390" s="26" t="str">
        <x:v>8ce72b299b05ff4e43d79144b8c54d8d346e1ea70dfc93efbcc069d84f008cdf</x:v>
      </x:c>
      <x:c r="T390" s="26" t="str">
        <x:v>2ae89935a3e2eea674b1e8b96414fbe59c7f7b596e97705ef723d12723e49f0c</x:v>
      </x:c>
    </x:row>
    <x:row r="391" ht="60" customHeight="1">
      <x:c r="A391" s="26" t="str">
        <x:v>J1650-4126</x:v>
      </x:c>
      <x:c r="B391" s="26" t="str"/>
      <x:c r="C391" s="26" t="str">
        <x:v>NOT_SEARCHED</x:v>
      </x:c>
      <x:c r="D391" s="26"/>
      <x:c r="E391" s="26" t="str">
        <x:v>No observed search</x:v>
      </x:c>
      <x:c r="F391" s="26" t="str">
        <x:v>Retain exclusion for current scope</x:v>
      </x:c>
      <x:c r="G391" s="26" t="str">
        <x:v>TPA EXCLUDED</x:v>
      </x:c>
      <x:c r="H391" s="27" t="n">
        <x:v>216</x:v>
      </x:c>
      <x:c r="I391" s="27" t="n">
        <x:v>27</x:v>
      </x:c>
      <x:c r="J391" s="28" t="n">
        <x:v>1120.05973659562</x:v>
      </x:c>
      <x:c r="K391" s="26"/>
      <x:c r="L391" s="26" t="str">
        <x:v>insufficient_span_or_epochs</x:v>
      </x:c>
      <x:c r="M391" s="26" t="str">
        <x:v>Absent from named inventory</x:v>
      </x:c>
      <x:c r="N391" s="26" t="str">
        <x:v>Absent from named inventory</x:v>
      </x:c>
      <x:c r="O391" s="26" t="str">
        <x:v>Absent from named inventory</x:v>
      </x:c>
      <x:c r="P391" s="26"/>
      <x:c r="Q391" s="26" t="str">
        <x:v>../Project Recherche Data/tpa-batch01-20260908/selection.json</x:v>
      </x:c>
      <x:c r="R391" s="26" t="str">
        <x:v>047722e4dca24e16c44c810f43990492b2f988012ca2b4bab47826ff4c95f1db</x:v>
      </x:c>
      <x:c r="S391" s="26" t="str">
        <x:v>9730ee57c1e1e96531f7ddbda40363bb025a660eae77b109e6ae134f63ea41fc</x:v>
      </x:c>
      <x:c r="T391" s="26" t="str">
        <x:v>dfb4c0f2af7546fa2a99eba0a397c5feebe3bb7f4f9b530ac76a57289a6885ea</x:v>
      </x:c>
    </x:row>
    <x:row r="392" ht="60" customHeight="1">
      <x:c r="A392" s="26" t="str">
        <x:v>J1650-4921</x:v>
      </x:c>
      <x:c r="B392" s="26" t="str"/>
      <x:c r="C392" s="26" t="str">
        <x:v>NOT_SEARCHED</x:v>
      </x:c>
      <x:c r="D392" s="26"/>
      <x:c r="E392" s="26" t="str">
        <x:v>No observed search</x:v>
      </x:c>
      <x:c r="F392" s="26" t="str">
        <x:v>Retain exclusion for current scope</x:v>
      </x:c>
      <x:c r="G392" s="26" t="str">
        <x:v>TPA EXCLUDED</x:v>
      </x:c>
      <x:c r="H392" s="27" t="n">
        <x:v>215</x:v>
      </x:c>
      <x:c r="I392" s="27" t="n">
        <x:v>27</x:v>
      </x:c>
      <x:c r="J392" s="28" t="n">
        <x:v>1120.0518573292866</x:v>
      </x:c>
      <x:c r="K392" s="26"/>
      <x:c r="L392" s="26" t="str">
        <x:v>insufficient_span_or_epochs</x:v>
      </x:c>
      <x:c r="M392" s="26" t="str">
        <x:v>Absent from named inventory</x:v>
      </x:c>
      <x:c r="N392" s="26" t="str">
        <x:v>Absent from named inventory</x:v>
      </x:c>
      <x:c r="O392" s="26" t="str">
        <x:v>Absent from named inventory</x:v>
      </x:c>
      <x:c r="P392" s="26"/>
      <x:c r="Q392" s="26" t="str">
        <x:v>../Project Recherche Data/tpa-batch01-20260908/selection.json</x:v>
      </x:c>
      <x:c r="R392" s="26" t="str">
        <x:v>047722e4dca24e16c44c810f43990492b2f988012ca2b4bab47826ff4c95f1db</x:v>
      </x:c>
      <x:c r="S392" s="26" t="str">
        <x:v>aadbd6e892af9b25c4710963b1b882b00679ff2b1330f74eac86a1d9eed50df5</x:v>
      </x:c>
      <x:c r="T392" s="26" t="str">
        <x:v>28da73e381f7477abc27f39ff3963d87a6d5044e35b7b38e553432e3ec41d23a</x:v>
      </x:c>
    </x:row>
    <x:row r="393" ht="60" customHeight="1">
      <x:c r="A393" s="26" t="str">
        <x:v>J1651-1709</x:v>
      </x:c>
      <x:c r="B393" s="26" t="str">
        <x:v>B1648-17</x:v>
      </x:c>
      <x:c r="C393" s="26" t="str">
        <x:v>NOT_SEARCHED</x:v>
      </x:c>
      <x:c r="D393" s="26"/>
      <x:c r="E393" s="26" t="str">
        <x:v>No observed search</x:v>
      </x:c>
      <x:c r="F393" s="26" t="str">
        <x:v>Retain exclusion for current scope</x:v>
      </x:c>
      <x:c r="G393" s="26" t="str">
        <x:v>TPA EXCLUDED</x:v>
      </x:c>
      <x:c r="H393" s="27" t="n">
        <x:v>223</x:v>
      </x:c>
      <x:c r="I393" s="27" t="n">
        <x:v>29</x:v>
      </x:c>
      <x:c r="J393" s="28" t="n">
        <x:v>1412.1443886466077</x:v>
      </x:c>
      <x:c r="K393" s="26"/>
      <x:c r="L393" s="26" t="str">
        <x:v>insufficient_span_or_epochs</x:v>
      </x:c>
      <x:c r="M393" s="26" t="str">
        <x:v>Present</x:v>
      </x:c>
      <x:c r="N393" s="26" t="str">
        <x:v>Absent from named inventory</x:v>
      </x:c>
      <x:c r="O393" s="26" t="str">
        <x:v>Absent from named inventory</x:v>
      </x:c>
      <x:c r="P393" s="26"/>
      <x:c r="Q393" s="26" t="str">
        <x:v>../Project Recherche Data/tpa-batch01-20260908/selection.json</x:v>
      </x:c>
      <x:c r="R393" s="26" t="str">
        <x:v>047722e4dca24e16c44c810f43990492b2f988012ca2b4bab47826ff4c95f1db</x:v>
      </x:c>
      <x:c r="S393" s="26" t="str">
        <x:v>c62f02075414597401972a59322d7d3da49287c54cb05ec8f766932ad7c94e8e</x:v>
      </x:c>
      <x:c r="T393" s="26" t="str">
        <x:v>6792aa4598842f0d5c6f27dfa465ac7be48b5fc05b6a53f59f416f1a9d601faf</x:v>
      </x:c>
    </x:row>
    <x:row r="394" ht="60" customHeight="1">
      <x:c r="A394" s="26" t="str">
        <x:v>J1651-4246</x:v>
      </x:c>
      <x:c r="B394" s="26" t="str">
        <x:v>B1648-42</x:v>
      </x:c>
      <x:c r="C394" s="26" t="str">
        <x:v>NO_TRIGGER</x:v>
      </x:c>
      <x:c r="D394" s="26" t="str">
        <x:v>utmost-batch04-20260909-J1651-4246-run01</x:v>
      </x:c>
      <x:c r="E394" s="26" t="str">
        <x:v>No qualifying signal in eligible 30–400-day cells</x:v>
      </x:c>
      <x:c r="F394" s="26" t="str">
        <x:v>Retain result; consider independent data or a separately defined new scope</x:v>
      </x:c>
      <x:c r="G394" s="26" t="str">
        <x:v>UTMOST SEARCHED</x:v>
      </x:c>
      <x:c r="H394" s="27" t="n">
        <x:v>456</x:v>
      </x:c>
      <x:c r="I394" s="27" t="n">
        <x:v>57</x:v>
      </x:c>
      <x:c r="J394" s="28" t="n">
        <x:v>1495.670643028825</x:v>
      </x:c>
      <x:c r="K394" s="26" t="str">
        <x:v>tpa-batch06-20260908</x:v>
      </x:c>
      <x:c r="L394" s="26"/>
      <x:c r="M394" s="26" t="str">
        <x:v>Absent from named inventory</x:v>
      </x:c>
      <x:c r="N394" s="26" t="str">
        <x:v>Absent from named inventory</x:v>
      </x:c>
      <x:c r="O394" s="26" t="str">
        <x:v>Absent from named inventory</x:v>
      </x:c>
      <x:c r="P394" s="26"/>
      <x:c r="Q394" s="26" t="str">
        <x:v>../Project Recherche Data/tpa-batch06-20260908/selection.json</x:v>
      </x:c>
      <x:c r="R394" s="26" t="str">
        <x:v>aa7dc82ae2f0aa7f4ad390810d65a59ea2811f4802deb69c9130205b6466f356</x:v>
      </x:c>
      <x:c r="S394" s="26" t="str">
        <x:v>69349f7e4b1bb1572212251cd561ce0a33c7a2f043cac7b96709114edfac2bc2</x:v>
      </x:c>
      <x:c r="T394" s="26" t="str">
        <x:v>ee932716b0a37797d254b2144bf47254b2da6030c0c1041ed0ef55c71d38b4fb</x:v>
      </x:c>
    </x:row>
    <x:row r="395" ht="60" customHeight="1">
      <x:c r="A395" s="26" t="str">
        <x:v>J1651-5222</x:v>
      </x:c>
      <x:c r="B395" s="26" t="str">
        <x:v>B1647-52</x:v>
      </x:c>
      <x:c r="C395" s="26" t="str">
        <x:v>NO_TRIGGER</x:v>
      </x:c>
      <x:c r="D395" s="26" t="str">
        <x:v>utmost-batch02-20260909-J1651-5222-run01</x:v>
      </x:c>
      <x:c r="E395" s="26" t="str">
        <x:v>No qualifying signal in eligible 30–400-day cells</x:v>
      </x:c>
      <x:c r="F395" s="26" t="str">
        <x:v>Retain result; consider independent data or a separately defined new scope</x:v>
      </x:c>
      <x:c r="G395" s="26" t="str">
        <x:v>UTMOST SEARCHED</x:v>
      </x:c>
      <x:c r="H395" s="27" t="n">
        <x:v>96</x:v>
      </x:c>
      <x:c r="I395" s="27" t="n">
        <x:v>12</x:v>
      </x:c>
      <x:c r="J395" s="28" t="n">
        <x:v>480.62189255321573</x:v>
      </x:c>
      <x:c r="K395" s="26"/>
      <x:c r="L395" s="26" t="str">
        <x:v>insufficient_span_or_epochs</x:v>
      </x:c>
      <x:c r="M395" s="26" t="str">
        <x:v>Absent from named inventory</x:v>
      </x:c>
      <x:c r="N395" s="26" t="str">
        <x:v>Absent from named inventory</x:v>
      </x:c>
      <x:c r="O395" s="26" t="str">
        <x:v>Absent from named inventory</x:v>
      </x:c>
      <x:c r="P395" s="26"/>
      <x:c r="Q395" s="26" t="str">
        <x:v>../Project Recherche Data/tpa-batch01-20260908/selection.json</x:v>
      </x:c>
      <x:c r="R395" s="26" t="str">
        <x:v>047722e4dca24e16c44c810f43990492b2f988012ca2b4bab47826ff4c95f1db</x:v>
      </x:c>
      <x:c r="S395" s="26" t="str">
        <x:v>52163d7b6b6fbe29eed04ad0b7311032cdb85d09e5dfff08a735bb77836006f1</x:v>
      </x:c>
      <x:c r="T395" s="26" t="str">
        <x:v>c87531264649a9b5e195780decebde23480e37e7d732694899abc135f5e8d5a3</x:v>
      </x:c>
    </x:row>
    <x:row r="396" ht="60" customHeight="1">
      <x:c r="A396" s="26" t="str">
        <x:v>J1651-7642</x:v>
      </x:c>
      <x:c r="B396" s="26" t="str"/>
      <x:c r="C396" s="26" t="str">
        <x:v>NOT_SEARCHED</x:v>
      </x:c>
      <x:c r="D396" s="26"/>
      <x:c r="E396" s="26" t="str">
        <x:v>No observed search</x:v>
      </x:c>
      <x:c r="F396" s="26" t="str">
        <x:v>Retain exclusion for current scope</x:v>
      </x:c>
      <x:c r="G396" s="26" t="str">
        <x:v>TPA EXCLUDED</x:v>
      </x:c>
      <x:c r="H396" s="27" t="n">
        <x:v>232</x:v>
      </x:c>
      <x:c r="I396" s="27" t="n">
        <x:v>29</x:v>
      </x:c>
      <x:c r="J396" s="28" t="n">
        <x:v>1280.7615714315398</x:v>
      </x:c>
      <x:c r="K396" s="26"/>
      <x:c r="L396" s="26" t="str">
        <x:v>insufficient_span_or_epochs</x:v>
      </x:c>
      <x:c r="M396" s="26" t="str">
        <x:v>Absent from named inventory</x:v>
      </x:c>
      <x:c r="N396" s="26" t="str">
        <x:v>Absent from named inventory</x:v>
      </x:c>
      <x:c r="O396" s="26" t="str">
        <x:v>Absent from named inventory</x:v>
      </x:c>
      <x:c r="P396" s="26"/>
      <x:c r="Q396" s="26" t="str">
        <x:v>../Project Recherche Data/tpa-batch01-20260908/selection.json</x:v>
      </x:c>
      <x:c r="R396" s="26" t="str">
        <x:v>047722e4dca24e16c44c810f43990492b2f988012ca2b4bab47826ff4c95f1db</x:v>
      </x:c>
      <x:c r="S396" s="26" t="str">
        <x:v>200e5b24bf7c5b1a6b285ef621e1075459c5dda49df064c3686fdf567f89253b</x:v>
      </x:c>
      <x:c r="T396" s="26" t="str">
        <x:v>d51c287747104ced4893d58b81deccf815abf059d7ebc485bcd11b972c12ddb7</x:v>
      </x:c>
    </x:row>
    <x:row r="397" ht="60" customHeight="1">
      <x:c r="A397" s="26" t="str">
        <x:v>J1652-1400</x:v>
      </x:c>
      <x:c r="B397" s="26" t="str"/>
      <x:c r="C397" s="26" t="str">
        <x:v>NOT_SEARCHED</x:v>
      </x:c>
      <x:c r="D397" s="26"/>
      <x:c r="E397" s="26" t="str">
        <x:v>No observed search</x:v>
      </x:c>
      <x:c r="F397" s="26" t="str">
        <x:v>Retain exclusion for current scope</x:v>
      </x:c>
      <x:c r="G397" s="26" t="str">
        <x:v>TPA EXCLUDED</x:v>
      </x:c>
      <x:c r="H397" s="27" t="n">
        <x:v>160</x:v>
      </x:c>
      <x:c r="I397" s="27" t="n">
        <x:v>22</x:v>
      </x:c>
      <x:c r="J397" s="28" t="n">
        <x:v>1085.1763771119658</x:v>
      </x:c>
      <x:c r="K397" s="26"/>
      <x:c r="L397" s="26" t="str">
        <x:v>insufficient_span_or_epochs</x:v>
      </x:c>
      <x:c r="M397" s="26" t="str">
        <x:v>Absent from named inventory</x:v>
      </x:c>
      <x:c r="N397" s="26" t="str">
        <x:v>Absent from named inventory</x:v>
      </x:c>
      <x:c r="O397" s="26" t="str">
        <x:v>Absent from named inventory</x:v>
      </x:c>
      <x:c r="P397" s="26"/>
      <x:c r="Q397" s="26" t="str">
        <x:v>../Project Recherche Data/tpa-batch01-20260908/selection.json</x:v>
      </x:c>
      <x:c r="R397" s="26" t="str">
        <x:v>047722e4dca24e16c44c810f43990492b2f988012ca2b4bab47826ff4c95f1db</x:v>
      </x:c>
      <x:c r="S397" s="26" t="str">
        <x:v>bfba73701465bcee8aa75ec4d7a0837be1eb31ab7a639c40c2a779be2a90ac51</x:v>
      </x:c>
      <x:c r="T397" s="26" t="str">
        <x:v>f4e76264fab014c9f728b2bd9510167e25c56a1f6b64a8aded08e19e8b355b05</x:v>
      </x:c>
    </x:row>
    <x:row r="398" ht="60" customHeight="1">
      <x:c r="A398" s="26" t="str">
        <x:v>J1653-3838</x:v>
      </x:c>
      <x:c r="B398" s="26" t="str">
        <x:v>B1650-38</x:v>
      </x:c>
      <x:c r="C398" s="26" t="str">
        <x:v>NOT_SEARCHED</x:v>
      </x:c>
      <x:c r="D398" s="26"/>
      <x:c r="E398" s="26" t="str">
        <x:v>No observed search</x:v>
      </x:c>
      <x:c r="F398" s="26" t="str">
        <x:v>Retain exclusion for current scope</x:v>
      </x:c>
      <x:c r="G398" s="26" t="str">
        <x:v>TPA EXCLUDED</x:v>
      </x:c>
      <x:c r="H398" s="27" t="n">
        <x:v>96</x:v>
      </x:c>
      <x:c r="I398" s="27" t="n">
        <x:v>12</x:v>
      </x:c>
      <x:c r="J398" s="28" t="n">
        <x:v>480.61668058665236</x:v>
      </x:c>
      <x:c r="K398" s="26"/>
      <x:c r="L398" s="26" t="str">
        <x:v>insufficient_span_or_epochs</x:v>
      </x:c>
      <x:c r="M398" s="26" t="str">
        <x:v>Absent from named inventory</x:v>
      </x:c>
      <x:c r="N398" s="26" t="str">
        <x:v>Absent from named inventory</x:v>
      </x:c>
      <x:c r="O398" s="26" t="str">
        <x:v>Absent from named inventory</x:v>
      </x:c>
      <x:c r="P398" s="26"/>
      <x:c r="Q398" s="26" t="str">
        <x:v>../Project Recherche Data/tpa-batch01-20260908/selection.json</x:v>
      </x:c>
      <x:c r="R398" s="26" t="str">
        <x:v>047722e4dca24e16c44c810f43990492b2f988012ca2b4bab47826ff4c95f1db</x:v>
      </x:c>
      <x:c r="S398" s="26" t="str">
        <x:v>3dd8dc678294db9d12e60d76c61c24b0427b9d5bc1e629fbaf44d2a11addcdc9</x:v>
      </x:c>
      <x:c r="T398" s="26" t="str">
        <x:v>bfb357ec4c62f1553026b977cb08b0db00c521ae749843835e214241e0e7ba27</x:v>
      </x:c>
    </x:row>
    <x:row r="399" ht="60" customHeight="1">
      <x:c r="A399" s="26" t="str">
        <x:v>J1655-3048</x:v>
      </x:c>
      <x:c r="B399" s="26" t="str"/>
      <x:c r="C399" s="26" t="str">
        <x:v>NOT_SEARCHED</x:v>
      </x:c>
      <x:c r="D399" s="26"/>
      <x:c r="E399" s="26" t="str">
        <x:v>No observed search</x:v>
      </x:c>
      <x:c r="F399" s="26" t="str">
        <x:v>Retain exclusion for current scope</x:v>
      </x:c>
      <x:c r="G399" s="26" t="str">
        <x:v>TPA EXCLUDED</x:v>
      </x:c>
      <x:c r="H399" s="27" t="n">
        <x:v>222</x:v>
      </x:c>
      <x:c r="I399" s="27" t="n">
        <x:v>28</x:v>
      </x:c>
      <x:c r="J399" s="28" t="n">
        <x:v>1185.1407994828915</x:v>
      </x:c>
      <x:c r="K399" s="26"/>
      <x:c r="L399" s="26" t="str">
        <x:v>insufficient_span_or_epochs</x:v>
      </x:c>
      <x:c r="M399" s="26" t="str">
        <x:v>Absent from named inventory</x:v>
      </x:c>
      <x:c r="N399" s="26" t="str">
        <x:v>Absent from named inventory</x:v>
      </x:c>
      <x:c r="O399" s="26" t="str">
        <x:v>Absent from named inventory</x:v>
      </x:c>
      <x:c r="P399" s="26"/>
      <x:c r="Q399" s="26" t="str">
        <x:v>../Project Recherche Data/tpa-batch01-20260908/selection.json</x:v>
      </x:c>
      <x:c r="R399" s="26" t="str">
        <x:v>047722e4dca24e16c44c810f43990492b2f988012ca2b4bab47826ff4c95f1db</x:v>
      </x:c>
      <x:c r="S399" s="26" t="str">
        <x:v>73953dd059a9d2061c25d6f738b97ac853e0ec4ebf0b06ef390a8e79143569c0</x:v>
      </x:c>
      <x:c r="T399" s="26" t="str">
        <x:v>2cd0631f2dc06a13702183e25d400ce1ae7aa996d94f18d4641102f64e28fbe7</x:v>
      </x:c>
    </x:row>
    <x:row r="400" ht="60" customHeight="1">
      <x:c r="A400" s="26" t="str">
        <x:v>J1656-3621</x:v>
      </x:c>
      <x:c r="B400" s="26" t="str"/>
      <x:c r="C400" s="26" t="str">
        <x:v>NOT_SEARCHED</x:v>
      </x:c>
      <x:c r="D400" s="26"/>
      <x:c r="E400" s="26" t="str">
        <x:v>No observed search</x:v>
      </x:c>
      <x:c r="F400" s="26" t="str">
        <x:v>Retain exclusion for current scope</x:v>
      </x:c>
      <x:c r="G400" s="26" t="str">
        <x:v>TPA EXCLUDED</x:v>
      </x:c>
      <x:c r="H400" s="27" t="n">
        <x:v>255</x:v>
      </x:c>
      <x:c r="I400" s="27" t="n">
        <x:v>32</x:v>
      </x:c>
      <x:c r="J400" s="28" t="n">
        <x:v>1412.262929345634</x:v>
      </x:c>
      <x:c r="K400" s="26"/>
      <x:c r="L400" s="26" t="str">
        <x:v>insufficient_span_or_epochs</x:v>
      </x:c>
      <x:c r="M400" s="26" t="str">
        <x:v>Absent from named inventory</x:v>
      </x:c>
      <x:c r="N400" s="26" t="str">
        <x:v>Absent from named inventory</x:v>
      </x:c>
      <x:c r="O400" s="26" t="str">
        <x:v>Absent from named inventory</x:v>
      </x:c>
      <x:c r="P400" s="26"/>
      <x:c r="Q400" s="26" t="str">
        <x:v>../Project Recherche Data/tpa-batch01-20260908/selection.json</x:v>
      </x:c>
      <x:c r="R400" s="26" t="str">
        <x:v>047722e4dca24e16c44c810f43990492b2f988012ca2b4bab47826ff4c95f1db</x:v>
      </x:c>
      <x:c r="S400" s="26" t="str">
        <x:v>7659c589e46c6693b45ed49d04ac3801cf434add95643652884449149e3838e5</x:v>
      </x:c>
      <x:c r="T400" s="26" t="str">
        <x:v>f4588113e971ebf9bc2f28005d019a7145dab267a54980c8a2672835a5a8d8f0</x:v>
      </x:c>
    </x:row>
    <x:row r="401" ht="60" customHeight="1">
      <x:c r="A401" s="26" t="str">
        <x:v>J1657-4432</x:v>
      </x:c>
      <x:c r="B401" s="26" t="str"/>
      <x:c r="C401" s="26" t="str">
        <x:v>NOT_SEARCHED</x:v>
      </x:c>
      <x:c r="D401" s="26"/>
      <x:c r="E401" s="26" t="str">
        <x:v>No observed search</x:v>
      </x:c>
      <x:c r="F401" s="26" t="str">
        <x:v>Retain exclusion for current scope</x:v>
      </x:c>
      <x:c r="G401" s="26" t="str">
        <x:v>TPA EXCLUDED</x:v>
      </x:c>
      <x:c r="H401" s="27" t="n">
        <x:v>229</x:v>
      </x:c>
      <x:c r="I401" s="27" t="n">
        <x:v>29</x:v>
      </x:c>
      <x:c r="J401" s="28" t="n">
        <x:v>1412.2752116521442</x:v>
      </x:c>
      <x:c r="K401" s="26"/>
      <x:c r="L401" s="26" t="str">
        <x:v>insufficient_span_or_epochs</x:v>
      </x:c>
      <x:c r="M401" s="26" t="str">
        <x:v>Absent from named inventory</x:v>
      </x:c>
      <x:c r="N401" s="26" t="str">
        <x:v>Absent from named inventory</x:v>
      </x:c>
      <x:c r="O401" s="26" t="str">
        <x:v>Absent from named inventory</x:v>
      </x:c>
      <x:c r="P401" s="26"/>
      <x:c r="Q401" s="26" t="str">
        <x:v>../Project Recherche Data/tpa-batch01-20260908/selection.json</x:v>
      </x:c>
      <x:c r="R401" s="26" t="str">
        <x:v>047722e4dca24e16c44c810f43990492b2f988012ca2b4bab47826ff4c95f1db</x:v>
      </x:c>
      <x:c r="S401" s="26" t="str">
        <x:v>1a9ac1c12e04cc8ba20c95aa973c612b7d7895dc212ea098cb087a638ec3d068</x:v>
      </x:c>
      <x:c r="T401" s="26" t="str">
        <x:v>c31103b9b1f76811151e2cdcc5f91b067a2fe14d4255570e690f48abf6cab596</x:v>
      </x:c>
    </x:row>
    <x:row r="402" ht="60" customHeight="1">
      <x:c r="A402" s="26" t="str">
        <x:v>J1658-4958</x:v>
      </x:c>
      <x:c r="B402" s="26" t="str"/>
      <x:c r="C402" s="26" t="str">
        <x:v>NO_TRIGGER</x:v>
      </x:c>
      <x:c r="D402" s="26" t="str">
        <x:v>tpa-batch03-20260908-J1658-4958-run01</x:v>
      </x:c>
      <x:c r="E402" s="26" t="str">
        <x:v>No qualifying signal in eligible 30–400-day cells</x:v>
      </x:c>
      <x:c r="F402" s="26" t="str">
        <x:v>Retain result; consider independent data or a separately defined new scope</x:v>
      </x:c>
      <x:c r="G402" s="26" t="str">
        <x:v>SEARCHED</x:v>
      </x:c>
      <x:c r="H402" s="27" t="n">
        <x:v>432</x:v>
      </x:c>
      <x:c r="I402" s="27" t="n">
        <x:v>54</x:v>
      </x:c>
      <x:c r="J402" s="28" t="n">
        <x:v>1290.493481304853</x:v>
      </x:c>
      <x:c r="K402" s="26" t="str">
        <x:v>tpa-batch03-20260908</x:v>
      </x:c>
      <x:c r="L402" s="26"/>
      <x:c r="M402" s="26" t="str">
        <x:v>Absent from named inventory</x:v>
      </x:c>
      <x:c r="N402" s="26" t="str">
        <x:v>Absent from named inventory</x:v>
      </x:c>
      <x:c r="O402" s="26" t="str">
        <x:v>Absent from named inventory</x:v>
      </x:c>
      <x:c r="P402" s="26"/>
      <x:c r="Q402" s="26" t="str">
        <x:v>../Project Recherche Data/tpa-batch03-20260908/selection.json</x:v>
      </x:c>
      <x:c r="R402" s="26" t="str">
        <x:v>1cf7dc46e02f8f80971416baec3f4bb7357340d0174269b7b50fc11887c0df28</x:v>
      </x:c>
      <x:c r="S402" s="26" t="str">
        <x:v>b139bfddac3b93d6a4e401f74be2263443124d04fd9fe04950b53a1ed37dde65</x:v>
      </x:c>
      <x:c r="T402" s="26" t="str">
        <x:v>9c15ffc421fc5fa7feacfaeba73977ef10bbfe5fa51e64cf43e5cd68fe45fdcb</x:v>
      </x:c>
    </x:row>
    <x:row r="403" ht="60" customHeight="1">
      <x:c r="A403" s="26" t="str">
        <x:v>J1659-4439</x:v>
      </x:c>
      <x:c r="B403" s="26" t="str"/>
      <x:c r="C403" s="26" t="str">
        <x:v>NOT_SEARCHED</x:v>
      </x:c>
      <x:c r="D403" s="26"/>
      <x:c r="E403" s="26" t="str">
        <x:v>No observed search</x:v>
      </x:c>
      <x:c r="F403" s="26" t="str">
        <x:v>Retain exclusion for current scope</x:v>
      </x:c>
      <x:c r="G403" s="26" t="str">
        <x:v>TPA EXCLUDED</x:v>
      </x:c>
      <x:c r="H403" s="27" t="n">
        <x:v>199</x:v>
      </x:c>
      <x:c r="I403" s="27" t="n">
        <x:v>25</x:v>
      </x:c>
      <x:c r="J403" s="28" t="n">
        <x:v>1117.210015896395</x:v>
      </x:c>
      <x:c r="K403" s="26"/>
      <x:c r="L403" s="26" t="str">
        <x:v>insufficient_span_or_epochs</x:v>
      </x:c>
      <x:c r="M403" s="26" t="str">
        <x:v>Absent from named inventory</x:v>
      </x:c>
      <x:c r="N403" s="26" t="str">
        <x:v>Absent from named inventory</x:v>
      </x:c>
      <x:c r="O403" s="26" t="str">
        <x:v>Absent from named inventory</x:v>
      </x:c>
      <x:c r="P403" s="26"/>
      <x:c r="Q403" s="26" t="str">
        <x:v>../Project Recherche Data/tpa-batch01-20260908/selection.json</x:v>
      </x:c>
      <x:c r="R403" s="26" t="str">
        <x:v>047722e4dca24e16c44c810f43990492b2f988012ca2b4bab47826ff4c95f1db</x:v>
      </x:c>
      <x:c r="S403" s="26" t="str">
        <x:v>357c0eef5f6124979ad7e149cc29e81685616ed87cb003da0428212f88162a24</x:v>
      </x:c>
      <x:c r="T403" s="26" t="str">
        <x:v>79ac8c96cdc323cbcbd6a81dd6fe3065b74caba57ba368fb311c720c96bbc929</x:v>
      </x:c>
    </x:row>
    <x:row r="404" ht="60" customHeight="1">
      <x:c r="A404" s="26" t="str">
        <x:v>J1700-3312</x:v>
      </x:c>
      <x:c r="B404" s="26" t="str"/>
      <x:c r="C404" s="26" t="str">
        <x:v>NOT_SEARCHED</x:v>
      </x:c>
      <x:c r="D404" s="26"/>
      <x:c r="E404" s="26" t="str">
        <x:v>No observed search</x:v>
      </x:c>
      <x:c r="F404" s="26" t="str">
        <x:v>Retain exclusion for current scope</x:v>
      </x:c>
      <x:c r="G404" s="26" t="str">
        <x:v>TPA EXCLUDED</x:v>
      </x:c>
      <x:c r="H404" s="27" t="n">
        <x:v>224</x:v>
      </x:c>
      <x:c r="I404" s="27" t="n">
        <x:v>28</x:v>
      </x:c>
      <x:c r="J404" s="28" t="n">
        <x:v>1247.3482142844732</x:v>
      </x:c>
      <x:c r="K404" s="26"/>
      <x:c r="L404" s="26" t="str">
        <x:v>insufficient_span_or_epochs</x:v>
      </x:c>
      <x:c r="M404" s="26" t="str">
        <x:v>Present</x:v>
      </x:c>
      <x:c r="N404" s="26" t="str">
        <x:v>Absent from named inventory</x:v>
      </x:c>
      <x:c r="O404" s="26" t="str">
        <x:v>Absent from named inventory</x:v>
      </x:c>
      <x:c r="P404" s="26"/>
      <x:c r="Q404" s="26" t="str">
        <x:v>../Project Recherche Data/tpa-batch01-20260908/selection.json</x:v>
      </x:c>
      <x:c r="R404" s="26" t="str">
        <x:v>047722e4dca24e16c44c810f43990492b2f988012ca2b4bab47826ff4c95f1db</x:v>
      </x:c>
      <x:c r="S404" s="26" t="str">
        <x:v>4687672b269b2246883e7155ee3303571130de0bc9770ffdd2c9d0e569883fe3</x:v>
      </x:c>
      <x:c r="T404" s="26" t="str">
        <x:v>73e756c67fee38075272be35994d76cb75d50592c5a2756a9550841fc73d4969</x:v>
      </x:c>
    </x:row>
    <x:row r="405" ht="60" customHeight="1">
      <x:c r="A405" s="26" t="str">
        <x:v>J1701-4533</x:v>
      </x:c>
      <x:c r="B405" s="26" t="str">
        <x:v>B1657-45</x:v>
      </x:c>
      <x:c r="C405" s="26" t="str">
        <x:v>NOT_SEARCHED</x:v>
      </x:c>
      <x:c r="D405" s="26"/>
      <x:c r="E405" s="26" t="str">
        <x:v>No observed search</x:v>
      </x:c>
      <x:c r="F405" s="26" t="str">
        <x:v>Retain exclusion for current scope</x:v>
      </x:c>
      <x:c r="G405" s="26" t="str">
        <x:v>TPA EXCLUDED</x:v>
      </x:c>
      <x:c r="H405" s="27" t="n">
        <x:v>208</x:v>
      </x:c>
      <x:c r="I405" s="27" t="n">
        <x:v>26</x:v>
      </x:c>
      <x:c r="J405" s="28" t="n">
        <x:v>1259.4172922978978</x:v>
      </x:c>
      <x:c r="K405" s="26"/>
      <x:c r="L405" s="26" t="str">
        <x:v>insufficient_span_or_epochs</x:v>
      </x:c>
      <x:c r="M405" s="26" t="str">
        <x:v>Absent from named inventory</x:v>
      </x:c>
      <x:c r="N405" s="26" t="str">
        <x:v>Absent from named inventory</x:v>
      </x:c>
      <x:c r="O405" s="26" t="str">
        <x:v>Absent from named inventory</x:v>
      </x:c>
      <x:c r="P405" s="26"/>
      <x:c r="Q405" s="26" t="str">
        <x:v>../Project Recherche Data/tpa-batch01-20260908/selection.json</x:v>
      </x:c>
      <x:c r="R405" s="26" t="str">
        <x:v>047722e4dca24e16c44c810f43990492b2f988012ca2b4bab47826ff4c95f1db</x:v>
      </x:c>
      <x:c r="S405" s="26" t="str">
        <x:v>42ca997cf0eb16386841fab1dec24b446014ae63e7ff9793bd9c9168339ead3d</x:v>
      </x:c>
      <x:c r="T405" s="26" t="str">
        <x:v>8fd5095651c782fd0234171935bcb50e7d1f546a5f512077e0e83cb94b974454</x:v>
      </x:c>
    </x:row>
    <x:row r="406" ht="60" customHeight="1">
      <x:c r="A406" s="26" t="str">
        <x:v>J1703-1846</x:v>
      </x:c>
      <x:c r="B406" s="26" t="str">
        <x:v>B1700-18</x:v>
      </x:c>
      <x:c r="C406" s="26" t="str">
        <x:v>NO_TRIGGER</x:v>
      </x:c>
      <x:c r="D406" s="26" t="str">
        <x:v>tpa-batch08-20260908-J1703-1846-run01</x:v>
      </x:c>
      <x:c r="E406" s="26" t="str">
        <x:v>No qualifying signal in eligible 30–400-day cells</x:v>
      </x:c>
      <x:c r="F406" s="26" t="str">
        <x:v>Retain result; consider independent data or a separately defined new scope</x:v>
      </x:c>
      <x:c r="G406" s="26" t="str">
        <x:v>SEARCHED</x:v>
      </x:c>
      <x:c r="H406" s="27" t="n">
        <x:v>432</x:v>
      </x:c>
      <x:c r="I406" s="27" t="n">
        <x:v>54</x:v>
      </x:c>
      <x:c r="J406" s="28" t="n">
        <x:v>1368.303021467509</x:v>
      </x:c>
      <x:c r="K406" s="26" t="str">
        <x:v>tpa-batch08-20260908</x:v>
      </x:c>
      <x:c r="L406" s="26"/>
      <x:c r="M406" s="26" t="str">
        <x:v>Present</x:v>
      </x:c>
      <x:c r="N406" s="26" t="str">
        <x:v>Absent from named inventory</x:v>
      </x:c>
      <x:c r="O406" s="26" t="str">
        <x:v>Absent from named inventory</x:v>
      </x:c>
      <x:c r="P406" s="26"/>
      <x:c r="Q406" s="26" t="str">
        <x:v>../Project Recherche Data/tpa-batch08-20260908/selection.json</x:v>
      </x:c>
      <x:c r="R406" s="26" t="str">
        <x:v>6fe595c0d188861ebc661368dcb361d40c70c01fd3243f0147e51a513ec4e764</x:v>
      </x:c>
      <x:c r="S406" s="26" t="str">
        <x:v>8346329498e93e62d990dfcc8191157f6d326938d51d2e48a59f50273601b992</x:v>
      </x:c>
      <x:c r="T406" s="26" t="str">
        <x:v>79300a81d91d2398097a7514ed3f249da13717ebc43eff3ea98027499db381e0</x:v>
      </x:c>
    </x:row>
    <x:row r="407" ht="60" customHeight="1">
      <x:c r="A407" s="26" t="str">
        <x:v>J1703-3241</x:v>
      </x:c>
      <x:c r="B407" s="26" t="str">
        <x:v>B1700-32</x:v>
      </x:c>
      <x:c r="C407" s="26" t="str">
        <x:v>NO_TRIGGER</x:v>
      </x:c>
      <x:c r="D407" s="26" t="str">
        <x:v>utmost-batch05-20260909-J1703-3241-run01</x:v>
      </x:c>
      <x:c r="E407" s="26" t="str">
        <x:v>No qualifying signal in eligible 30–400-day cells</x:v>
      </x:c>
      <x:c r="F407" s="26" t="str">
        <x:v>Retain result; consider independent data or a separately defined new scope</x:v>
      </x:c>
      <x:c r="G407" s="26" t="str">
        <x:v>UTMOST SEARCHED</x:v>
      </x:c>
      <x:c r="H407" s="27" t="n">
        <x:v>416</x:v>
      </x:c>
      <x:c r="I407" s="27" t="n">
        <x:v>52</x:v>
      </x:c>
      <x:c r="J407" s="28" t="n">
        <x:v>1259.4102792287304</x:v>
      </x:c>
      <x:c r="K407" s="26" t="str">
        <x:v>tpa-batch08-20260908</x:v>
      </x:c>
      <x:c r="L407" s="26"/>
      <x:c r="M407" s="26" t="str">
        <x:v>Present</x:v>
      </x:c>
      <x:c r="N407" s="26" t="str">
        <x:v>Absent from named inventory</x:v>
      </x:c>
      <x:c r="O407" s="26" t="str">
        <x:v>Absent from named inventory</x:v>
      </x:c>
      <x:c r="P407" s="26"/>
      <x:c r="Q407" s="26" t="str">
        <x:v>../Project Recherche Data/tpa-batch08-20260908/selection.json</x:v>
      </x:c>
      <x:c r="R407" s="26" t="str">
        <x:v>6fe595c0d188861ebc661368dcb361d40c70c01fd3243f0147e51a513ec4e764</x:v>
      </x:c>
      <x:c r="S407" s="26" t="str">
        <x:v>9d97c67b872f1d5b50e669bef86ef4cb165b800cd2d7a97e65e187833c267da3</x:v>
      </x:c>
      <x:c r="T407" s="26" t="str">
        <x:v>8bcb45d583e4cd1c6196193f8cf6a51eac25e12e044cd11b9ecd9d72db86a28c</x:v>
      </x:c>
    </x:row>
    <x:row r="408" ht="60" customHeight="1">
      <x:c r="A408" s="26" t="str">
        <x:v>J1703-4851</x:v>
      </x:c>
      <x:c r="B408" s="26" t="str"/>
      <x:c r="C408" s="26" t="str">
        <x:v>NO_TRIGGER</x:v>
      </x:c>
      <x:c r="D408" s="26" t="str">
        <x:v>tpa-batch05-20260908-J1703-4851-run01</x:v>
      </x:c>
      <x:c r="E408" s="26" t="str">
        <x:v>No qualifying signal in eligible 30–400-day cells</x:v>
      </x:c>
      <x:c r="F408" s="26" t="str">
        <x:v>Retain result; consider independent data or a separately defined new scope</x:v>
      </x:c>
      <x:c r="G408" s="26" t="str">
        <x:v>SEARCHED</x:v>
      </x:c>
      <x:c r="H408" s="27" t="n">
        <x:v>424</x:v>
      </x:c>
      <x:c r="I408" s="27" t="n">
        <x:v>53</x:v>
      </x:c>
      <x:c r="J408" s="28" t="n">
        <x:v>1230.3620993475706</x:v>
      </x:c>
      <x:c r="K408" s="26" t="str">
        <x:v>tpa-batch05-20260908</x:v>
      </x:c>
      <x:c r="L408" s="26"/>
      <x:c r="M408" s="26" t="str">
        <x:v>Absent from named inventory</x:v>
      </x:c>
      <x:c r="N408" s="26" t="str">
        <x:v>Absent from named inventory</x:v>
      </x:c>
      <x:c r="O408" s="26" t="str">
        <x:v>Absent from named inventory</x:v>
      </x:c>
      <x:c r="P408" s="26"/>
      <x:c r="Q408" s="26" t="str">
        <x:v>../Project Recherche Data/tpa-batch05-20260908/selection.json</x:v>
      </x:c>
      <x:c r="R408" s="26" t="str">
        <x:v>1212bfb743fa2d3f16f95056ab4d3c2b52ec5dd997358fe385b8fd00313b3907</x:v>
      </x:c>
      <x:c r="S408" s="26" t="str">
        <x:v>f4cddc6da84061f9760ec2c38edf87d2920f1a5efa907991e4a473dd41542532</x:v>
      </x:c>
      <x:c r="T408" s="26" t="str">
        <x:v>2076860cf87135a161b7aaa3d2a68b516f486857abb0b887b0c61cc3d678f697</x:v>
      </x:c>
    </x:row>
    <x:row r="409" ht="60" customHeight="1">
      <x:c r="A409" s="26" t="str">
        <x:v>J1704-5236</x:v>
      </x:c>
      <x:c r="B409" s="26" t="str"/>
      <x:c r="C409" s="26" t="str">
        <x:v>NOT_SEARCHED</x:v>
      </x:c>
      <x:c r="D409" s="26"/>
      <x:c r="E409" s="26" t="str">
        <x:v>No observed search</x:v>
      </x:c>
      <x:c r="F409" s="26" t="str">
        <x:v>Retain exclusion for current scope</x:v>
      </x:c>
      <x:c r="G409" s="26" t="str">
        <x:v>TPA EXCLUDED</x:v>
      </x:c>
      <x:c r="H409" s="27" t="n">
        <x:v>216</x:v>
      </x:c>
      <x:c r="I409" s="27" t="n">
        <x:v>27</x:v>
      </x:c>
      <x:c r="J409" s="28" t="n">
        <x:v>1193.7463755570498</x:v>
      </x:c>
      <x:c r="K409" s="26"/>
      <x:c r="L409" s="26" t="str">
        <x:v>insufficient_span_or_epochs</x:v>
      </x:c>
      <x:c r="M409" s="26" t="str">
        <x:v>Absent from named inventory</x:v>
      </x:c>
      <x:c r="N409" s="26" t="str">
        <x:v>Absent from named inventory</x:v>
      </x:c>
      <x:c r="O409" s="26" t="str">
        <x:v>Absent from named inventory</x:v>
      </x:c>
      <x:c r="P409" s="26"/>
      <x:c r="Q409" s="26" t="str">
        <x:v>../Project Recherche Data/tpa-batch01-20260908/selection.json</x:v>
      </x:c>
      <x:c r="R409" s="26" t="str">
        <x:v>047722e4dca24e16c44c810f43990492b2f988012ca2b4bab47826ff4c95f1db</x:v>
      </x:c>
      <x:c r="S409" s="26" t="str">
        <x:v>c951a78176ce6f91a78dbcee49fc96c3254dba06c8fcd360069f3fa2eb2a5f42</x:v>
      </x:c>
      <x:c r="T409" s="26" t="str">
        <x:v>e416a52a90a2abc220fb46a642e6013f7cba42c8d5873e45d80474bcbd351540</x:v>
      </x:c>
    </x:row>
    <x:row r="410" ht="60" customHeight="1">
      <x:c r="A410" s="26" t="str">
        <x:v>J1705-1906</x:v>
      </x:c>
      <x:c r="B410" s="26" t="str">
        <x:v>B1702-19</x:v>
      </x:c>
      <x:c r="C410" s="26" t="str">
        <x:v>NO_TRIGGER</x:v>
      </x:c>
      <x:c r="D410" s="26" t="str">
        <x:v>utmost-batch05-20260909-J1705-1906-run01</x:v>
      </x:c>
      <x:c r="E410" s="26" t="str">
        <x:v>No qualifying signal in eligible 30–400-day cells</x:v>
      </x:c>
      <x:c r="F410" s="26" t="str">
        <x:v>Retain result; consider independent data or a separately defined new scope</x:v>
      </x:c>
      <x:c r="G410" s="26" t="str">
        <x:v>UTMOST SEARCHED</x:v>
      </x:c>
      <x:c r="H410" s="27" t="n">
        <x:v>416</x:v>
      </x:c>
      <x:c r="I410" s="27" t="n">
        <x:v>53</x:v>
      </x:c>
      <x:c r="J410" s="28" t="n">
        <x:v>1489.8631642533292</x:v>
      </x:c>
      <x:c r="K410" s="26" t="str">
        <x:v>tpa-batch07-20260908</x:v>
      </x:c>
      <x:c r="L410" s="26"/>
      <x:c r="M410" s="26" t="str">
        <x:v>Present</x:v>
      </x:c>
      <x:c r="N410" s="26" t="str">
        <x:v>Absent from named inventory</x:v>
      </x:c>
      <x:c r="O410" s="26" t="str">
        <x:v>Absent from named inventory</x:v>
      </x:c>
      <x:c r="P410" s="26"/>
      <x:c r="Q410" s="26" t="str">
        <x:v>../Project Recherche Data/tpa-batch07-20260908/selection.json</x:v>
      </x:c>
      <x:c r="R410" s="26" t="str">
        <x:v>a0944d5da0924367a8ed78a56de7826f64b6d517eb7c66fa044c452abc4894a7</x:v>
      </x:c>
      <x:c r="S410" s="26" t="str">
        <x:v>ccb41a90f73145205a9e146e7f9bf9169f8dafcb903c3d566de9efa43594d735</x:v>
      </x:c>
      <x:c r="T410" s="26" t="str">
        <x:v>094262800a0c4f17563b910a4885bf3e55fdbf039c1908b486ccabfdebbff7a0</x:v>
      </x:c>
    </x:row>
    <x:row r="411" ht="60" customHeight="1">
      <x:c r="A411" s="26" t="str">
        <x:v>J1705-3423</x:v>
      </x:c>
      <x:c r="B411" s="26" t="str"/>
      <x:c r="C411" s="26" t="str">
        <x:v>NO_TRIGGER</x:v>
      </x:c>
      <x:c r="D411" s="26" t="str">
        <x:v>utmost-batch03-20260909-J1705-3423-run01</x:v>
      </x:c>
      <x:c r="E411" s="26" t="str">
        <x:v>No qualifying signal in eligible 30–400-day cells</x:v>
      </x:c>
      <x:c r="F411" s="26" t="str">
        <x:v>Retain result; consider independent data or a separately defined new scope</x:v>
      </x:c>
      <x:c r="G411" s="26" t="str">
        <x:v>UTMOST SEARCHED</x:v>
      </x:c>
      <x:c r="H411" s="27" t="n">
        <x:v>80</x:v>
      </x:c>
      <x:c r="I411" s="27" t="n">
        <x:v>10</x:v>
      </x:c>
      <x:c r="J411" s="28" t="n">
        <x:v>480.61339360044076</x:v>
      </x:c>
      <x:c r="K411" s="26"/>
      <x:c r="L411" s="26" t="str">
        <x:v>insufficient_span_or_epochs</x:v>
      </x:c>
      <x:c r="M411" s="26" t="str">
        <x:v>Present</x:v>
      </x:c>
      <x:c r="N411" s="26" t="str">
        <x:v>Absent from named inventory</x:v>
      </x:c>
      <x:c r="O411" s="26" t="str">
        <x:v>Absent from named inventory</x:v>
      </x:c>
      <x:c r="P411" s="26"/>
      <x:c r="Q411" s="26" t="str">
        <x:v>../Project Recherche Data/tpa-batch01-20260908/selection.json</x:v>
      </x:c>
      <x:c r="R411" s="26" t="str">
        <x:v>047722e4dca24e16c44c810f43990492b2f988012ca2b4bab47826ff4c95f1db</x:v>
      </x:c>
      <x:c r="S411" s="26" t="str">
        <x:v>0978ee62d63977416848184cd5b76b3c6e13c345f7809a7f62722f8158aa17e2</x:v>
      </x:c>
      <x:c r="T411" s="26" t="str">
        <x:v>78b9e3d9e140d01939543b678e494208f51fa5ae7d8cd8c039237d3fea669b6a</x:v>
      </x:c>
    </x:row>
    <x:row r="412" ht="60" customHeight="1">
      <x:c r="A412" s="26" t="str">
        <x:v>J1705-3950</x:v>
      </x:c>
      <x:c r="B412" s="26" t="str"/>
      <x:c r="C412" s="26" t="str">
        <x:v>NO_TRIGGER</x:v>
      </x:c>
      <x:c r="D412" s="26" t="str">
        <x:v>tpa-batch06-20260908-J1705-3950-run01</x:v>
      </x:c>
      <x:c r="E412" s="26" t="str">
        <x:v>No qualifying signal in eligible 30–400-day cells</x:v>
      </x:c>
      <x:c r="F412" s="26" t="str">
        <x:v>Retain result; consider independent data or a separately defined new scope</x:v>
      </x:c>
      <x:c r="G412" s="26" t="str">
        <x:v>SEARCHED</x:v>
      </x:c>
      <x:c r="H412" s="27" t="n">
        <x:v>463</x:v>
      </x:c>
      <x:c r="I412" s="27" t="n">
        <x:v>58</x:v>
      </x:c>
      <x:c r="J412" s="28" t="n">
        <x:v>1470.979398242387</x:v>
      </x:c>
      <x:c r="K412" s="26" t="str">
        <x:v>tpa-batch06-20260908</x:v>
      </x:c>
      <x:c r="L412" s="26"/>
      <x:c r="M412" s="26" t="str">
        <x:v>Absent from named inventory</x:v>
      </x:c>
      <x:c r="N412" s="26" t="str">
        <x:v>Absent from named inventory</x:v>
      </x:c>
      <x:c r="O412" s="26" t="str">
        <x:v>Absent from named inventory</x:v>
      </x:c>
      <x:c r="P412" s="26"/>
      <x:c r="Q412" s="26" t="str">
        <x:v>../Project Recherche Data/tpa-batch06-20260908/selection.json</x:v>
      </x:c>
      <x:c r="R412" s="26" t="str">
        <x:v>aa7dc82ae2f0aa7f4ad390810d65a59ea2811f4802deb69c9130205b6466f356</x:v>
      </x:c>
      <x:c r="S412" s="26" t="str">
        <x:v>2418aac06837aa267369217133db74307daf04e843e2e21e5179e49292f90a3d</x:v>
      </x:c>
      <x:c r="T412" s="26" t="str">
        <x:v>5863bf52e70563d03305b6478c8faca0839df735158f44975ad1284ce73898ba</x:v>
      </x:c>
    </x:row>
    <x:row r="413" ht="60" customHeight="1">
      <x:c r="A413" s="26" t="str">
        <x:v>J1705-4331</x:v>
      </x:c>
      <x:c r="B413" s="26" t="str"/>
      <x:c r="C413" s="26" t="str">
        <x:v>NOT_SEARCHED</x:v>
      </x:c>
      <x:c r="D413" s="26"/>
      <x:c r="E413" s="26" t="str">
        <x:v>No observed search</x:v>
      </x:c>
      <x:c r="F413" s="26" t="str">
        <x:v>Retain exclusion for current scope</x:v>
      </x:c>
      <x:c r="G413" s="26" t="str">
        <x:v>TPA EXCLUDED</x:v>
      </x:c>
      <x:c r="H413" s="27" t="n">
        <x:v>248</x:v>
      </x:c>
      <x:c r="I413" s="27" t="n">
        <x:v>31</x:v>
      </x:c>
      <x:c r="J413" s="28" t="n">
        <x:v>1423.1010742812286</x:v>
      </x:c>
      <x:c r="K413" s="26"/>
      <x:c r="L413" s="26" t="str">
        <x:v>insufficient_span_or_epochs</x:v>
      </x:c>
      <x:c r="M413" s="26" t="str">
        <x:v>Absent from named inventory</x:v>
      </x:c>
      <x:c r="N413" s="26" t="str">
        <x:v>Absent from named inventory</x:v>
      </x:c>
      <x:c r="O413" s="26" t="str">
        <x:v>Absent from named inventory</x:v>
      </x:c>
      <x:c r="P413" s="26"/>
      <x:c r="Q413" s="26" t="str">
        <x:v>../Project Recherche Data/tpa-batch01-20260908/selection.json</x:v>
      </x:c>
      <x:c r="R413" s="26" t="str">
        <x:v>047722e4dca24e16c44c810f43990492b2f988012ca2b4bab47826ff4c95f1db</x:v>
      </x:c>
      <x:c r="S413" s="26" t="str">
        <x:v>257dd3b8c9f3511f50401ef5cc554bdeaa5421654f08f69f5b3976414462c1d1</x:v>
      </x:c>
      <x:c r="T413" s="26" t="str">
        <x:v>c7f24a9430abd0b98503ed073cd20a3922a9c5e09027fdb08bcd75cc53acf43a</x:v>
      </x:c>
    </x:row>
    <x:row r="414" ht="60" customHeight="1">
      <x:c r="A414" s="26" t="str">
        <x:v>J1707-4341</x:v>
      </x:c>
      <x:c r="B414" s="26" t="str"/>
      <x:c r="C414" s="26" t="str">
        <x:v>NOT_SEARCHED</x:v>
      </x:c>
      <x:c r="D414" s="26"/>
      <x:c r="E414" s="26" t="str">
        <x:v>No observed search</x:v>
      </x:c>
      <x:c r="F414" s="26" t="str">
        <x:v>Retain exclusion for current scope</x:v>
      </x:c>
      <x:c r="G414" s="26" t="str">
        <x:v>TPA EXCLUDED</x:v>
      </x:c>
      <x:c r="H414" s="27" t="n">
        <x:v>248</x:v>
      </x:c>
      <x:c r="I414" s="27" t="n">
        <x:v>31</x:v>
      </x:c>
      <x:c r="J414" s="28" t="n">
        <x:v>1423.100143828553</x:v>
      </x:c>
      <x:c r="K414" s="26"/>
      <x:c r="L414" s="26" t="str">
        <x:v>insufficient_span_or_epochs</x:v>
      </x:c>
      <x:c r="M414" s="26" t="str">
        <x:v>Absent from named inventory</x:v>
      </x:c>
      <x:c r="N414" s="26" t="str">
        <x:v>Absent from named inventory</x:v>
      </x:c>
      <x:c r="O414" s="26" t="str">
        <x:v>Absent from named inventory</x:v>
      </x:c>
      <x:c r="P414" s="26"/>
      <x:c r="Q414" s="26" t="str">
        <x:v>../Project Recherche Data/tpa-batch01-20260908/selection.json</x:v>
      </x:c>
      <x:c r="R414" s="26" t="str">
        <x:v>047722e4dca24e16c44c810f43990492b2f988012ca2b4bab47826ff4c95f1db</x:v>
      </x:c>
      <x:c r="S414" s="26" t="str">
        <x:v>8dbbfc039a1eadb8d63a78f2d262a8079ce5cd1c58b1dff4c3e5cf6d32581282</x:v>
      </x:c>
      <x:c r="T414" s="26" t="str">
        <x:v>53a01f2f83f44920a43dca7a7fac6ce9b66e6560bc1f3d7a0b964a44d93beb98</x:v>
      </x:c>
    </x:row>
    <x:row r="415" ht="60" customHeight="1">
      <x:c r="A415" s="26" t="str">
        <x:v>J1707-4729</x:v>
      </x:c>
      <x:c r="B415" s="26" t="str"/>
      <x:c r="C415" s="26" t="str">
        <x:v>NOT_SEARCHED</x:v>
      </x:c>
      <x:c r="D415" s="26"/>
      <x:c r="E415" s="26" t="str">
        <x:v>No observed search</x:v>
      </x:c>
      <x:c r="F415" s="26" t="str">
        <x:v>Retain exclusion for current scope</x:v>
      </x:c>
      <x:c r="G415" s="26" t="str">
        <x:v>TPA EXCLUDED</x:v>
      </x:c>
      <x:c r="H415" s="27" t="n">
        <x:v>95</x:v>
      </x:c>
      <x:c r="I415" s="27" t="n">
        <x:v>12</x:v>
      </x:c>
      <x:c r="J415" s="28" t="n">
        <x:v>480.61592801988445</x:v>
      </x:c>
      <x:c r="K415" s="26"/>
      <x:c r="L415" s="26" t="str">
        <x:v>insufficient_span_or_epochs</x:v>
      </x:c>
      <x:c r="M415" s="26" t="str">
        <x:v>Absent from named inventory</x:v>
      </x:c>
      <x:c r="N415" s="26" t="str">
        <x:v>Absent from named inventory</x:v>
      </x:c>
      <x:c r="O415" s="26" t="str">
        <x:v>Absent from named inventory</x:v>
      </x:c>
      <x:c r="P415" s="26"/>
      <x:c r="Q415" s="26" t="str">
        <x:v>../Project Recherche Data/tpa-batch01-20260908/selection.json</x:v>
      </x:c>
      <x:c r="R415" s="26" t="str">
        <x:v>047722e4dca24e16c44c810f43990492b2f988012ca2b4bab47826ff4c95f1db</x:v>
      </x:c>
      <x:c r="S415" s="26" t="str">
        <x:v>40f860fa4ec41e835dd306962d19f81464c72578827d5080126be715014db25f</x:v>
      </x:c>
      <x:c r="T415" s="26" t="str">
        <x:v>2c10e1bb954cd7483229e1a41eae788ffee0ed6984d84ca5614423582395927d</x:v>
      </x:c>
    </x:row>
    <x:row r="416" ht="60" customHeight="1">
      <x:c r="A416" s="26" t="str">
        <x:v>J1709-1640</x:v>
      </x:c>
      <x:c r="B416" s="26" t="str">
        <x:v>B1706-16</x:v>
      </x:c>
      <x:c r="C416" s="26" t="str">
        <x:v>NO_TRIGGER</x:v>
      </x:c>
      <x:c r="D416" s="26" t="str">
        <x:v>tpa-batch08-20260908-J1709-1640-run01</x:v>
      </x:c>
      <x:c r="E416" s="26" t="str">
        <x:v>No qualifying signal in eligible 30–400-day cells</x:v>
      </x:c>
      <x:c r="F416" s="26" t="str">
        <x:v>Retain result; consider independent data or a separately defined new scope</x:v>
      </x:c>
      <x:c r="G416" s="26" t="str">
        <x:v>SEARCHED</x:v>
      </x:c>
      <x:c r="H416" s="27" t="n">
        <x:v>413</x:v>
      </x:c>
      <x:c r="I416" s="27" t="n">
        <x:v>52</x:v>
      </x:c>
      <x:c r="J416" s="28" t="n">
        <x:v>1520.9097236413581</x:v>
      </x:c>
      <x:c r="K416" s="26" t="str">
        <x:v>tpa-batch08-20260908</x:v>
      </x:c>
      <x:c r="L416" s="26"/>
      <x:c r="M416" s="26" t="str">
        <x:v>Present</x:v>
      </x:c>
      <x:c r="N416" s="26" t="str">
        <x:v>Absent from named inventory</x:v>
      </x:c>
      <x:c r="O416" s="26" t="str">
        <x:v>Absent from named inventory</x:v>
      </x:c>
      <x:c r="P416" s="26"/>
      <x:c r="Q416" s="26" t="str">
        <x:v>../Project Recherche Data/tpa-batch08-20260908/selection.json</x:v>
      </x:c>
      <x:c r="R416" s="26" t="str">
        <x:v>6fe595c0d188861ebc661368dcb361d40c70c01fd3243f0147e51a513ec4e764</x:v>
      </x:c>
      <x:c r="S416" s="26" t="str">
        <x:v>19ed9a50ffa92821e0319b1353c4417c2e97f429f14979f6807d66f4ad7f30cb</x:v>
      </x:c>
      <x:c r="T416" s="26" t="str">
        <x:v>35327e0a28f00698bd3b5cc91f1d493416d89fabd59b6a97e6261f76052b7b38</x:v>
      </x:c>
    </x:row>
    <x:row r="417" ht="60" customHeight="1">
      <x:c r="A417" s="26" t="str">
        <x:v>J1709-3626</x:v>
      </x:c>
      <x:c r="B417" s="26" t="str"/>
      <x:c r="C417" s="26" t="str">
        <x:v>NOT_SEARCHED</x:v>
      </x:c>
      <x:c r="D417" s="26"/>
      <x:c r="E417" s="26" t="str">
        <x:v>No observed search</x:v>
      </x:c>
      <x:c r="F417" s="26" t="str">
        <x:v>Retain exclusion for current scope</x:v>
      </x:c>
      <x:c r="G417" s="26" t="str">
        <x:v>TPA EXCLUDED</x:v>
      </x:c>
      <x:c r="H417" s="27" t="n">
        <x:v>192</x:v>
      </x:c>
      <x:c r="I417" s="27" t="n">
        <x:v>24</x:v>
      </x:c>
      <x:c r="J417" s="28" t="n">
        <x:v>1123.1296852199157</x:v>
      </x:c>
      <x:c r="K417" s="26"/>
      <x:c r="L417" s="26" t="str">
        <x:v>insufficient_span_or_epochs</x:v>
      </x:c>
      <x:c r="M417" s="26" t="str">
        <x:v>Absent from named inventory</x:v>
      </x:c>
      <x:c r="N417" s="26" t="str">
        <x:v>Absent from named inventory</x:v>
      </x:c>
      <x:c r="O417" s="26" t="str">
        <x:v>Absent from named inventory</x:v>
      </x:c>
      <x:c r="P417" s="26"/>
      <x:c r="Q417" s="26" t="str">
        <x:v>../Project Recherche Data/tpa-batch01-20260908/selection.json</x:v>
      </x:c>
      <x:c r="R417" s="26" t="str">
        <x:v>047722e4dca24e16c44c810f43990492b2f988012ca2b4bab47826ff4c95f1db</x:v>
      </x:c>
      <x:c r="S417" s="26" t="str">
        <x:v>e649e3bb904bf58ef3ad6582bbc4431ea9d1e4a1cc11db40bb82a84f9af3b7e2</x:v>
      </x:c>
      <x:c r="T417" s="26" t="str">
        <x:v>2a76860895e31d3b3644456a223ced1cd1355991f76c8c4efad84226d14e3bcb</x:v>
      </x:c>
    </x:row>
    <x:row r="418" ht="60" customHeight="1">
      <x:c r="A418" s="26" t="str">
        <x:v>J1709-4401</x:v>
      </x:c>
      <x:c r="B418" s="26" t="str"/>
      <x:c r="C418" s="26" t="str">
        <x:v>NOT_SEARCHED</x:v>
      </x:c>
      <x:c r="D418" s="26"/>
      <x:c r="E418" s="26" t="str">
        <x:v>No observed search</x:v>
      </x:c>
      <x:c r="F418" s="26" t="str">
        <x:v>Retain exclusion for current scope</x:v>
      </x:c>
      <x:c r="G418" s="26" t="str">
        <x:v>TPA EXCLUDED</x:v>
      </x:c>
      <x:c r="H418" s="27" t="n">
        <x:v>144</x:v>
      </x:c>
      <x:c r="I418" s="27" t="n">
        <x:v>18</x:v>
      </x:c>
      <x:c r="J418" s="28" t="n">
        <x:v>1167.8114454151073</x:v>
      </x:c>
      <x:c r="K418" s="26"/>
      <x:c r="L418" s="26" t="str">
        <x:v>insufficient_span_or_epochs</x:v>
      </x:c>
      <x:c r="M418" s="26" t="str">
        <x:v>Absent from named inventory</x:v>
      </x:c>
      <x:c r="N418" s="26" t="str">
        <x:v>Absent from named inventory</x:v>
      </x:c>
      <x:c r="O418" s="26" t="str">
        <x:v>Absent from named inventory</x:v>
      </x:c>
      <x:c r="P418" s="26"/>
      <x:c r="Q418" s="26" t="str">
        <x:v>../Project Recherche Data/tpa-batch01-20260908/selection.json</x:v>
      </x:c>
      <x:c r="R418" s="26" t="str">
        <x:v>047722e4dca24e16c44c810f43990492b2f988012ca2b4bab47826ff4c95f1db</x:v>
      </x:c>
      <x:c r="S418" s="26" t="str">
        <x:v>131c146eead49744b6687b13eeb0c36d7b70f5d71769ca301a15569a343927b8</x:v>
      </x:c>
      <x:c r="T418" s="26" t="str">
        <x:v>f44b17cc81d1916bc5778bcd0b603be8d6d338f482d35a75fa3c49d493dbda6a</x:v>
      </x:c>
    </x:row>
    <x:row r="419" ht="60" customHeight="1">
      <x:c r="A419" s="26" t="str">
        <x:v>J1709-4429</x:v>
      </x:c>
      <x:c r="B419" s="26" t="str">
        <x:v>B1706-44</x:v>
      </x:c>
      <x:c r="C419" s="26" t="str">
        <x:v>NO_TRIGGER</x:v>
      </x:c>
      <x:c r="D419" s="26" t="str">
        <x:v>tpa-batch01-20260908-J1709-4429-run01</x:v>
      </x:c>
      <x:c r="E419" s="26" t="str">
        <x:v>No qualifying signal in eligible 30–400-day cells</x:v>
      </x:c>
      <x:c r="F419" s="26" t="str">
        <x:v>Retain result; consider independent data or a separately defined new scope</x:v>
      </x:c>
      <x:c r="G419" s="26" t="str">
        <x:v>SEARCHED</x:v>
      </x:c>
      <x:c r="H419" s="27" t="n">
        <x:v>1095</x:v>
      </x:c>
      <x:c r="I419" s="27" t="n">
        <x:v>137</x:v>
      </x:c>
      <x:c r="J419" s="28" t="n">
        <x:v>1489.7502061159612</x:v>
      </x:c>
      <x:c r="K419" s="26" t="str">
        <x:v>TPA batch 01</x:v>
      </x:c>
      <x:c r="L419" s="26"/>
      <x:c r="M419" s="26" t="str">
        <x:v>Absent from named inventory</x:v>
      </x:c>
      <x:c r="N419" s="26" t="str">
        <x:v>Absent from named inventory</x:v>
      </x:c>
      <x:c r="O419" s="26" t="str">
        <x:v>Absent from named inventory</x:v>
      </x:c>
      <x:c r="P419" s="26"/>
      <x:c r="Q419" s="26" t="str">
        <x:v>../Project Recherche Data/tpa-batch01-20260908/selection.json</x:v>
      </x:c>
      <x:c r="R419" s="26" t="str">
        <x:v>047722e4dca24e16c44c810f43990492b2f988012ca2b4bab47826ff4c95f1db</x:v>
      </x:c>
      <x:c r="S419" s="26" t="str">
        <x:v>3e611942e1070ecf4e5a4f73ef879584b05b6c350022babce5cce541d7d6b329</x:v>
      </x:c>
      <x:c r="T419" s="26" t="str">
        <x:v>323734e415fa05bf98b834b08cc4f7d8e4071a28ea28baa8563afabdb314503c</x:v>
      </x:c>
    </x:row>
    <x:row r="420" ht="60" customHeight="1">
      <x:c r="A420" s="26" t="str">
        <x:v>J1711-1509</x:v>
      </x:c>
      <x:c r="B420" s="26" t="str">
        <x:v>B1709-15</x:v>
      </x:c>
      <x:c r="C420" s="26" t="str">
        <x:v>NOT_SEARCHED</x:v>
      </x:c>
      <x:c r="D420" s="26"/>
      <x:c r="E420" s="26" t="str">
        <x:v>No observed search</x:v>
      </x:c>
      <x:c r="F420" s="26" t="str">
        <x:v>Retain exclusion for current scope</x:v>
      </x:c>
      <x:c r="G420" s="26" t="str">
        <x:v>TPA EXCLUDED</x:v>
      </x:c>
      <x:c r="H420" s="27" t="n">
        <x:v>240</x:v>
      </x:c>
      <x:c r="I420" s="27" t="n">
        <x:v>30</x:v>
      </x:c>
      <x:c r="J420" s="28" t="n">
        <x:v>1368.3057870737903</x:v>
      </x:c>
      <x:c r="K420" s="26"/>
      <x:c r="L420" s="26" t="str">
        <x:v>insufficient_span_or_epochs</x:v>
      </x:c>
      <x:c r="M420" s="26" t="str">
        <x:v>Present</x:v>
      </x:c>
      <x:c r="N420" s="26" t="str">
        <x:v>Absent from named inventory</x:v>
      </x:c>
      <x:c r="O420" s="26" t="str">
        <x:v>Absent from named inventory</x:v>
      </x:c>
      <x:c r="P420" s="26"/>
      <x:c r="Q420" s="26" t="str">
        <x:v>../Project Recherche Data/tpa-batch01-20260908/selection.json</x:v>
      </x:c>
      <x:c r="R420" s="26" t="str">
        <x:v>047722e4dca24e16c44c810f43990492b2f988012ca2b4bab47826ff4c95f1db</x:v>
      </x:c>
      <x:c r="S420" s="26" t="str">
        <x:v>edb871e8c6982b443334649dc0b7cc15d3fed37b31618aa05e9979fb6b4b5429</x:v>
      </x:c>
      <x:c r="T420" s="26" t="str">
        <x:v>38897e22e0447b5d9e490ebe2e493307caaeffa824e4e775974a61c64ee2781d</x:v>
      </x:c>
    </x:row>
    <x:row r="421" ht="60" customHeight="1">
      <x:c r="A421" s="26" t="str">
        <x:v>J1714-1054</x:v>
      </x:c>
      <x:c r="B421" s="26" t="str"/>
      <x:c r="C421" s="26" t="str">
        <x:v>NOT_SEARCHED</x:v>
      </x:c>
      <x:c r="D421" s="26"/>
      <x:c r="E421" s="26" t="str">
        <x:v>No observed search</x:v>
      </x:c>
      <x:c r="F421" s="26" t="str">
        <x:v>Retain exclusion for current scope</x:v>
      </x:c>
      <x:c r="G421" s="26" t="str">
        <x:v>TPA EXCLUDED</x:v>
      </x:c>
      <x:c r="H421" s="27" t="n">
        <x:v>382</x:v>
      </x:c>
      <x:c r="I421" s="27" t="n">
        <x:v>49</x:v>
      </x:c>
      <x:c r="J421" s="28" t="n">
        <x:v>1123.1215108089382</x:v>
      </x:c>
      <x:c r="K421" s="26"/>
      <x:c r="L421" s="26" t="str">
        <x:v>harmonic_timing_convention, insufficient_span_or_epochs</x:v>
      </x:c>
      <x:c r="M421" s="26" t="str">
        <x:v>Absent from named inventory</x:v>
      </x:c>
      <x:c r="N421" s="26" t="str">
        <x:v>Absent from named inventory</x:v>
      </x:c>
      <x:c r="O421" s="26" t="str">
        <x:v>Absent from named inventory</x:v>
      </x:c>
      <x:c r="P421" s="26"/>
      <x:c r="Q421" s="26" t="str">
        <x:v>../Project Recherche Data/tpa-batch01-20260908/selection.json</x:v>
      </x:c>
      <x:c r="R421" s="26" t="str">
        <x:v>047722e4dca24e16c44c810f43990492b2f988012ca2b4bab47826ff4c95f1db</x:v>
      </x:c>
      <x:c r="S421" s="26" t="str">
        <x:v>b3acf4a94a171c5efb9a65dc898ebeb68cc17ee6431df56a923f8cc3ac833bd0</x:v>
      </x:c>
      <x:c r="T421" s="26" t="str">
        <x:v>863c493580abfced84d5e5a76ba4afd9498ed9b42f14dc419220e1741138d9b9</x:v>
      </x:c>
    </x:row>
    <x:row r="422" ht="60" customHeight="1">
      <x:c r="A422" s="26" t="str">
        <x:v>J1716-4711</x:v>
      </x:c>
      <x:c r="B422" s="26" t="str"/>
      <x:c r="C422" s="26" t="str">
        <x:v>NOT_SEARCHED</x:v>
      </x:c>
      <x:c r="D422" s="26"/>
      <x:c r="E422" s="26" t="str">
        <x:v>No observed search</x:v>
      </x:c>
      <x:c r="F422" s="26" t="str">
        <x:v>Retain exclusion for current scope</x:v>
      </x:c>
      <x:c r="G422" s="26" t="str">
        <x:v>TPA EXCLUDED</x:v>
      </x:c>
      <x:c r="H422" s="27" t="n">
        <x:v>232</x:v>
      </x:c>
      <x:c r="I422" s="27" t="n">
        <x:v>29</x:v>
      </x:c>
      <x:c r="J422" s="28" t="n">
        <x:v>1423.0990046267034</x:v>
      </x:c>
      <x:c r="K422" s="26"/>
      <x:c r="L422" s="26" t="str">
        <x:v>insufficient_span_or_epochs</x:v>
      </x:c>
      <x:c r="M422" s="26" t="str">
        <x:v>Absent from named inventory</x:v>
      </x:c>
      <x:c r="N422" s="26" t="str">
        <x:v>Absent from named inventory</x:v>
      </x:c>
      <x:c r="O422" s="26" t="str">
        <x:v>Absent from named inventory</x:v>
      </x:c>
      <x:c r="P422" s="26"/>
      <x:c r="Q422" s="26" t="str">
        <x:v>../Project Recherche Data/tpa-batch01-20260908/selection.json</x:v>
      </x:c>
      <x:c r="R422" s="26" t="str">
        <x:v>047722e4dca24e16c44c810f43990492b2f988012ca2b4bab47826ff4c95f1db</x:v>
      </x:c>
      <x:c r="S422" s="26" t="str">
        <x:v>c3b72f0a243aa2a330692e150a6f51f24afd928f04f44b88215c4502e96c9e3a</x:v>
      </x:c>
      <x:c r="T422" s="26" t="str">
        <x:v>b8edd0883752d402f0bdf355ae1f07b5b4072c82b1147e5ec611802d716695fa</x:v>
      </x:c>
    </x:row>
    <x:row r="423" ht="60" customHeight="1">
      <x:c r="A423" s="26" t="str">
        <x:v>J1717-5800</x:v>
      </x:c>
      <x:c r="B423" s="26" t="str"/>
      <x:c r="C423" s="26" t="str">
        <x:v>NOT_SEARCHED</x:v>
      </x:c>
      <x:c r="D423" s="26"/>
      <x:c r="E423" s="26" t="str">
        <x:v>No observed search</x:v>
      </x:c>
      <x:c r="F423" s="26" t="str">
        <x:v>Retain exclusion for current scope</x:v>
      </x:c>
      <x:c r="G423" s="26" t="str">
        <x:v>TPA EXCLUDED</x:v>
      </x:c>
      <x:c r="H423" s="27" t="n">
        <x:v>195</x:v>
      </x:c>
      <x:c r="I423" s="27" t="n">
        <x:v>25</x:v>
      </x:c>
      <x:c r="J423" s="28" t="n">
        <x:v>1123.1037531284019</x:v>
      </x:c>
      <x:c r="K423" s="26"/>
      <x:c r="L423" s="26" t="str">
        <x:v>insufficient_span_or_epochs</x:v>
      </x:c>
      <x:c r="M423" s="26" t="str">
        <x:v>Absent from named inventory</x:v>
      </x:c>
      <x:c r="N423" s="26" t="str">
        <x:v>Absent from named inventory</x:v>
      </x:c>
      <x:c r="O423" s="26" t="str">
        <x:v>Absent from named inventory</x:v>
      </x:c>
      <x:c r="P423" s="26"/>
      <x:c r="Q423" s="26" t="str">
        <x:v>../Project Recherche Data/tpa-batch01-20260908/selection.json</x:v>
      </x:c>
      <x:c r="R423" s="26" t="str">
        <x:v>047722e4dca24e16c44c810f43990492b2f988012ca2b4bab47826ff4c95f1db</x:v>
      </x:c>
      <x:c r="S423" s="26" t="str">
        <x:v>5a37c048b4ff711c55e8d7dc7b37d1dfd0f4ebf329e50e8a66aa5526886b21d3</x:v>
      </x:c>
      <x:c r="T423" s="26" t="str">
        <x:v>d24a6b61ca7e81e53b10fd2a1f8e336dd1143a606129e923e42d0450dc5bea47</x:v>
      </x:c>
    </x:row>
    <x:row r="424" ht="60" customHeight="1">
      <x:c r="A424" s="26" t="str">
        <x:v>J1719-4302</x:v>
      </x:c>
      <x:c r="B424" s="26" t="str"/>
      <x:c r="C424" s="26" t="str">
        <x:v>NOT_SEARCHED</x:v>
      </x:c>
      <x:c r="D424" s="26"/>
      <x:c r="E424" s="26" t="str">
        <x:v>No observed search</x:v>
      </x:c>
      <x:c r="F424" s="26" t="str">
        <x:v>Retain exclusion for current scope</x:v>
      </x:c>
      <x:c r="G424" s="26" t="str">
        <x:v>TPA EXCLUDED</x:v>
      </x:c>
      <x:c r="H424" s="27" t="n">
        <x:v>248</x:v>
      </x:c>
      <x:c r="I424" s="27" t="n">
        <x:v>31</x:v>
      </x:c>
      <x:c r="J424" s="28" t="n">
        <x:v>1423.1205109707953</x:v>
      </x:c>
      <x:c r="K424" s="26"/>
      <x:c r="L424" s="26" t="str">
        <x:v>insufficient_span_or_epochs</x:v>
      </x:c>
      <x:c r="M424" s="26" t="str">
        <x:v>Absent from named inventory</x:v>
      </x:c>
      <x:c r="N424" s="26" t="str">
        <x:v>Absent from named inventory</x:v>
      </x:c>
      <x:c r="O424" s="26" t="str">
        <x:v>Absent from named inventory</x:v>
      </x:c>
      <x:c r="P424" s="26"/>
      <x:c r="Q424" s="26" t="str">
        <x:v>../Project Recherche Data/tpa-batch01-20260908/selection.json</x:v>
      </x:c>
      <x:c r="R424" s="26" t="str">
        <x:v>047722e4dca24e16c44c810f43990492b2f988012ca2b4bab47826ff4c95f1db</x:v>
      </x:c>
      <x:c r="S424" s="26" t="str">
        <x:v>9a81dc68d71d104095a6b667a95439b187b314612a1568cbed1a04e8f846f49d</x:v>
      </x:c>
      <x:c r="T424" s="26" t="str">
        <x:v>46354e3fd7e49b6bb5450b5351d0c8664a5252a891085f62b144983e0cb2f7a1</x:v>
      </x:c>
    </x:row>
    <x:row r="425" ht="60" customHeight="1">
      <x:c r="A425" s="26" t="str">
        <x:v>J1720-0212</x:v>
      </x:c>
      <x:c r="B425" s="26" t="str">
        <x:v>B1718-02</x:v>
      </x:c>
      <x:c r="C425" s="26" t="str">
        <x:v>NOT_SEARCHED</x:v>
      </x:c>
      <x:c r="D425" s="26"/>
      <x:c r="E425" s="26" t="str">
        <x:v>No observed search</x:v>
      </x:c>
      <x:c r="F425" s="26" t="str">
        <x:v>Retain exclusion for current scope</x:v>
      </x:c>
      <x:c r="G425" s="26" t="str">
        <x:v>TPA EXCLUDED</x:v>
      </x:c>
      <x:c r="H425" s="27" t="n">
        <x:v>191</x:v>
      </x:c>
      <x:c r="I425" s="27" t="n">
        <x:v>28</x:v>
      </x:c>
      <x:c r="J425" s="28" t="n">
        <x:v>1280.6022310009284</x:v>
      </x:c>
      <x:c r="K425" s="26"/>
      <x:c r="L425" s="26" t="str">
        <x:v>insufficient_span_or_epochs</x:v>
      </x:c>
      <x:c r="M425" s="26" t="str">
        <x:v>Present</x:v>
      </x:c>
      <x:c r="N425" s="26" t="str">
        <x:v>Absent from named inventory</x:v>
      </x:c>
      <x:c r="O425" s="26" t="str">
        <x:v>Absent from named inventory</x:v>
      </x:c>
      <x:c r="P425" s="26"/>
      <x:c r="Q425" s="26" t="str">
        <x:v>../Project Recherche Data/tpa-batch01-20260908/selection.json</x:v>
      </x:c>
      <x:c r="R425" s="26" t="str">
        <x:v>047722e4dca24e16c44c810f43990492b2f988012ca2b4bab47826ff4c95f1db</x:v>
      </x:c>
      <x:c r="S425" s="26" t="str">
        <x:v>e39c230f6fd2f83c5e04d60708b59b41bc2af378cc4abe22c3a40f0d1cbc6de4</x:v>
      </x:c>
      <x:c r="T425" s="26" t="str">
        <x:v>92782d5a460b423f8b4941b190772a3c56b3c48129b0f70e2306f74cf5fa1e39</x:v>
      </x:c>
    </x:row>
    <x:row r="426" ht="60" customHeight="1">
      <x:c r="A426" s="26" t="str">
        <x:v>J1720-1633</x:v>
      </x:c>
      <x:c r="B426" s="26" t="str">
        <x:v>B1717-16</x:v>
      </x:c>
      <x:c r="C426" s="26" t="str">
        <x:v>NOT_SEARCHED</x:v>
      </x:c>
      <x:c r="D426" s="26"/>
      <x:c r="E426" s="26" t="str">
        <x:v>No observed search</x:v>
      </x:c>
      <x:c r="F426" s="26" t="str">
        <x:v>Retain exclusion for current scope</x:v>
      </x:c>
      <x:c r="G426" s="26" t="str">
        <x:v>TPA EXCLUDED</x:v>
      </x:c>
      <x:c r="H426" s="27" t="n">
        <x:v>224</x:v>
      </x:c>
      <x:c r="I426" s="27" t="n">
        <x:v>28</x:v>
      </x:c>
      <x:c r="J426" s="28" t="n">
        <x:v>1291.5800132813529</x:v>
      </x:c>
      <x:c r="K426" s="26"/>
      <x:c r="L426" s="26" t="str">
        <x:v>insufficient_span_or_epochs</x:v>
      </x:c>
      <x:c r="M426" s="26" t="str">
        <x:v>Present</x:v>
      </x:c>
      <x:c r="N426" s="26" t="str">
        <x:v>Absent from named inventory</x:v>
      </x:c>
      <x:c r="O426" s="26" t="str">
        <x:v>Absent from named inventory</x:v>
      </x:c>
      <x:c r="P426" s="26"/>
      <x:c r="Q426" s="26" t="str">
        <x:v>../Project Recherche Data/tpa-batch01-20260908/selection.json</x:v>
      </x:c>
      <x:c r="R426" s="26" t="str">
        <x:v>047722e4dca24e16c44c810f43990492b2f988012ca2b4bab47826ff4c95f1db</x:v>
      </x:c>
      <x:c r="S426" s="26" t="str">
        <x:v>f490c658f33e86f28096ad801fc15d61fe2f72790eb1a35fac5aa48fd1b783b3</x:v>
      </x:c>
      <x:c r="T426" s="26" t="str">
        <x:v>fea6544cee8324a5cd5369cde7e502e8ff4794701b00edfab9c88a5e578f641c</x:v>
      </x:c>
    </x:row>
    <x:row r="427" ht="60" customHeight="1">
      <x:c r="A427" s="26" t="str">
        <x:v>J1720-2933</x:v>
      </x:c>
      <x:c r="B427" s="26" t="str">
        <x:v>B1717-29</x:v>
      </x:c>
      <x:c r="C427" s="26" t="str">
        <x:v>NO_TRIGGER</x:v>
      </x:c>
      <x:c r="D427" s="26" t="str">
        <x:v>tpa-batch08-20260908-J1720-2933-run01</x:v>
      </x:c>
      <x:c r="E427" s="26" t="str">
        <x:v>No qualifying signal in eligible 30–400-day cells</x:v>
      </x:c>
      <x:c r="F427" s="26" t="str">
        <x:v>Retain result; consider independent data or a separately defined new scope</x:v>
      </x:c>
      <x:c r="G427" s="26" t="str">
        <x:v>SEARCHED</x:v>
      </x:c>
      <x:c r="H427" s="27" t="n">
        <x:v>416</x:v>
      </x:c>
      <x:c r="I427" s="27" t="n">
        <x:v>52</x:v>
      </x:c>
      <x:c r="J427" s="28" t="n">
        <x:v>1259.454769131131</x:v>
      </x:c>
      <x:c r="K427" s="26" t="str">
        <x:v>tpa-batch08-20260908</x:v>
      </x:c>
      <x:c r="L427" s="26"/>
      <x:c r="M427" s="26" t="str">
        <x:v>Present</x:v>
      </x:c>
      <x:c r="N427" s="26" t="str">
        <x:v>Absent from named inventory</x:v>
      </x:c>
      <x:c r="O427" s="26" t="str">
        <x:v>Absent from named inventory</x:v>
      </x:c>
      <x:c r="P427" s="26"/>
      <x:c r="Q427" s="26" t="str">
        <x:v>../Project Recherche Data/tpa-batch08-20260908/selection.json</x:v>
      </x:c>
      <x:c r="R427" s="26" t="str">
        <x:v>6fe595c0d188861ebc661368dcb361d40c70c01fd3243f0147e51a513ec4e764</x:v>
      </x:c>
      <x:c r="S427" s="26" t="str">
        <x:v>ec6446e215685c809fe2e6e1a5caafff17e3e0f796a005b4f003f79de74f84b2</x:v>
      </x:c>
      <x:c r="T427" s="26" t="str">
        <x:v>832126a59a57ac550e950f1a5026c86a1ab1f456ba8b0f29fdb86a4a049687e1</x:v>
      </x:c>
    </x:row>
    <x:row r="428" ht="60" customHeight="1">
      <x:c r="A428" s="26" t="str">
        <x:v>J1722-3207</x:v>
      </x:c>
      <x:c r="B428" s="26" t="str">
        <x:v>B1718-32</x:v>
      </x:c>
      <x:c r="C428" s="26" t="str">
        <x:v>NOT_SEARCHED</x:v>
      </x:c>
      <x:c r="D428" s="26"/>
      <x:c r="E428" s="26" t="str">
        <x:v>No observed search</x:v>
      </x:c>
      <x:c r="F428" s="26" t="str">
        <x:v>Retain exclusion for current scope</x:v>
      </x:c>
      <x:c r="G428" s="26" t="str">
        <x:v>TPA EXCLUDED</x:v>
      </x:c>
      <x:c r="H428" s="27" t="n">
        <x:v>96</x:v>
      </x:c>
      <x:c r="I428" s="27" t="n">
        <x:v>12</x:v>
      </x:c>
      <x:c r="J428" s="28" t="n">
        <x:v>480.6033475711956</x:v>
      </x:c>
      <x:c r="K428" s="26"/>
      <x:c r="L428" s="26" t="str">
        <x:v>insufficient_span_or_epochs</x:v>
      </x:c>
      <x:c r="M428" s="26" t="str">
        <x:v>Present</x:v>
      </x:c>
      <x:c r="N428" s="26" t="str">
        <x:v>Absent from named inventory</x:v>
      </x:c>
      <x:c r="O428" s="26" t="str">
        <x:v>Absent from named inventory</x:v>
      </x:c>
      <x:c r="P428" s="26"/>
      <x:c r="Q428" s="26" t="str">
        <x:v>../Project Recherche Data/tpa-batch01-20260908/selection.json</x:v>
      </x:c>
      <x:c r="R428" s="26" t="str">
        <x:v>047722e4dca24e16c44c810f43990492b2f988012ca2b4bab47826ff4c95f1db</x:v>
      </x:c>
      <x:c r="S428" s="26" t="str">
        <x:v>ae4a04e7c59abc13ff97ad80b61e562873f17d1968d43f24c5f5ab86e7ee01fa</x:v>
      </x:c>
      <x:c r="T428" s="26" t="str">
        <x:v>1e08a7d4447c0ef6cba52e7c7dd971f4951806e56ea3978e0ccccf3585dec217</x:v>
      </x:c>
    </x:row>
    <x:row r="429" ht="60" customHeight="1">
      <x:c r="A429" s="26" t="str">
        <x:v>J1722-3632</x:v>
      </x:c>
      <x:c r="B429" s="26" t="str">
        <x:v>B1718-36</x:v>
      </x:c>
      <x:c r="C429" s="26" t="str">
        <x:v>NO_TRIGGER</x:v>
      </x:c>
      <x:c r="D429" s="26" t="str">
        <x:v>tpa-batch04-20260908-J1722-3632-run01</x:v>
      </x:c>
      <x:c r="E429" s="26" t="str">
        <x:v>No qualifying signal in eligible 30–400-day cells</x:v>
      </x:c>
      <x:c r="F429" s="26" t="str">
        <x:v>Retain result; consider independent data or a separately defined new scope</x:v>
      </x:c>
      <x:c r="G429" s="26" t="str">
        <x:v>SEARCHED</x:v>
      </x:c>
      <x:c r="H429" s="27" t="n">
        <x:v>416</x:v>
      </x:c>
      <x:c r="I429" s="27" t="n">
        <x:v>52</x:v>
      </x:c>
      <x:c r="J429" s="28" t="n">
        <x:v>1259.4109939320624</x:v>
      </x:c>
      <x:c r="K429" s="26" t="str">
        <x:v>tpa-batch04-20260908</x:v>
      </x:c>
      <x:c r="L429" s="26"/>
      <x:c r="M429" s="26" t="str">
        <x:v>Absent from named inventory</x:v>
      </x:c>
      <x:c r="N429" s="26" t="str">
        <x:v>Absent from named inventory</x:v>
      </x:c>
      <x:c r="O429" s="26" t="str">
        <x:v>Absent from named inventory</x:v>
      </x:c>
      <x:c r="P429" s="26"/>
      <x:c r="Q429" s="26" t="str">
        <x:v>../Project Recherche Data/tpa-batch04-20260908/selection.json</x:v>
      </x:c>
      <x:c r="R429" s="26" t="str">
        <x:v>88cb06482cd14a2f65e966c23ca1cdea20fdeb356fd59137885e0ec5f3b47d1a</x:v>
      </x:c>
      <x:c r="S429" s="26" t="str">
        <x:v>393424eb4f745b8c3d3353bd7289462e1864031815211f1251c5b76105129cdb</x:v>
      </x:c>
      <x:c r="T429" s="26" t="str">
        <x:v>5e2a6cb5ddbcd825a7e1f9661bf855af590b43e9665a324f0cc02c4d9c8ee6c8</x:v>
      </x:c>
    </x:row>
    <x:row r="430" ht="60" customHeight="1">
      <x:c r="A430" s="26" t="str">
        <x:v>J1722-3712</x:v>
      </x:c>
      <x:c r="B430" s="26" t="str">
        <x:v>B1719-37</x:v>
      </x:c>
      <x:c r="C430" s="26" t="str">
        <x:v>NOT_SEARCHED</x:v>
      </x:c>
      <x:c r="D430" s="26"/>
      <x:c r="E430" s="26" t="str">
        <x:v>No observed search</x:v>
      </x:c>
      <x:c r="F430" s="26" t="str">
        <x:v>Retain exclusion for current scope</x:v>
      </x:c>
      <x:c r="G430" s="26" t="str">
        <x:v>TPA EXCLUDED</x:v>
      </x:c>
      <x:c r="H430" s="27" t="n">
        <x:v>96</x:v>
      </x:c>
      <x:c r="I430" s="27" t="n">
        <x:v>12</x:v>
      </x:c>
      <x:c r="J430" s="28" t="n">
        <x:v>480.5946209456233</x:v>
      </x:c>
      <x:c r="K430" s="26"/>
      <x:c r="L430" s="26" t="str">
        <x:v>insufficient_span_or_epochs</x:v>
      </x:c>
      <x:c r="M430" s="26" t="str">
        <x:v>Absent from named inventory</x:v>
      </x:c>
      <x:c r="N430" s="26" t="str">
        <x:v>Absent from named inventory</x:v>
      </x:c>
      <x:c r="O430" s="26" t="str">
        <x:v>Absent from named inventory</x:v>
      </x:c>
      <x:c r="P430" s="26"/>
      <x:c r="Q430" s="26" t="str">
        <x:v>../Project Recherche Data/tpa-batch01-20260908/selection.json</x:v>
      </x:c>
      <x:c r="R430" s="26" t="str">
        <x:v>047722e4dca24e16c44c810f43990492b2f988012ca2b4bab47826ff4c95f1db</x:v>
      </x:c>
      <x:c r="S430" s="26" t="str">
        <x:v>ae57dfe88b9b96aa41bc878aae19957d96bf61460760409b328d8c3ef87a08ac</x:v>
      </x:c>
      <x:c r="T430" s="26" t="str">
        <x:v>751250661c4ad284f60a69ee106dd1bdde33fa6c072304ff73f416b3a1018b3d</x:v>
      </x:c>
    </x:row>
    <x:row r="431" ht="60" customHeight="1">
      <x:c r="A431" s="26" t="str">
        <x:v>J1723-3659</x:v>
      </x:c>
      <x:c r="B431" s="26" t="str"/>
      <x:c r="C431" s="26" t="str">
        <x:v>NOT_SEARCHED</x:v>
      </x:c>
      <x:c r="D431" s="26"/>
      <x:c r="E431" s="26" t="str">
        <x:v>No observed search</x:v>
      </x:c>
      <x:c r="F431" s="26" t="str">
        <x:v>Retain exclusion for current scope</x:v>
      </x:c>
      <x:c r="G431" s="26" t="str">
        <x:v>TPA EXCLUDED</x:v>
      </x:c>
      <x:c r="H431" s="27" t="n">
        <x:v>224</x:v>
      </x:c>
      <x:c r="I431" s="27" t="n">
        <x:v>28</x:v>
      </x:c>
      <x:c r="J431" s="28" t="n">
        <x:v>1259.4053052849922</x:v>
      </x:c>
      <x:c r="K431" s="26"/>
      <x:c r="L431" s="26" t="str">
        <x:v>insufficient_span_or_epochs</x:v>
      </x:c>
      <x:c r="M431" s="26" t="str">
        <x:v>Absent from named inventory</x:v>
      </x:c>
      <x:c r="N431" s="26" t="str">
        <x:v>Absent from named inventory</x:v>
      </x:c>
      <x:c r="O431" s="26" t="str">
        <x:v>Absent from named inventory</x:v>
      </x:c>
      <x:c r="P431" s="26"/>
      <x:c r="Q431" s="26" t="str">
        <x:v>../Project Recherche Data/tpa-batch01-20260908/selection.json</x:v>
      </x:c>
      <x:c r="R431" s="26" t="str">
        <x:v>047722e4dca24e16c44c810f43990492b2f988012ca2b4bab47826ff4c95f1db</x:v>
      </x:c>
      <x:c r="S431" s="26" t="str">
        <x:v>acbbef6f796d667b5c0f52f0f908998ce8269cc292ae94100edfcea18d434b1e</x:v>
      </x:c>
      <x:c r="T431" s="26" t="str">
        <x:v>c6dbba5e668d52f3888efb8797a38afc175ee7bdb471c2497441d7105a050c45</x:v>
      </x:c>
    </x:row>
    <x:row r="432" ht="60" customHeight="1">
      <x:c r="A432" s="26" t="str">
        <x:v>J1731-4744</x:v>
      </x:c>
      <x:c r="B432" s="26" t="str">
        <x:v>B1727-47</x:v>
      </x:c>
      <x:c r="C432" s="26" t="str">
        <x:v>NOT_SEARCHED</x:v>
      </x:c>
      <x:c r="D432" s="26"/>
      <x:c r="E432" s="26" t="str">
        <x:v>No observed search</x:v>
      </x:c>
      <x:c r="F432" s="26" t="str">
        <x:v>Retain exclusion for current scope</x:v>
      </x:c>
      <x:c r="G432" s="26" t="str">
        <x:v>TPA EXCLUDED</x:v>
      </x:c>
      <x:c r="H432" s="27" t="n">
        <x:v>96</x:v>
      </x:c>
      <x:c r="I432" s="27" t="n">
        <x:v>12</x:v>
      </x:c>
      <x:c r="J432" s="28" t="n">
        <x:v>487.3540649630377</x:v>
      </x:c>
      <x:c r="K432" s="26"/>
      <x:c r="L432" s="26" t="str">
        <x:v>insufficient_span_or_epochs</x:v>
      </x:c>
      <x:c r="M432" s="26" t="str">
        <x:v>Absent from named inventory</x:v>
      </x:c>
      <x:c r="N432" s="26" t="str">
        <x:v>Absent from named inventory</x:v>
      </x:c>
      <x:c r="O432" s="26" t="str">
        <x:v>Absent from named inventory</x:v>
      </x:c>
      <x:c r="P432" s="26"/>
      <x:c r="Q432" s="26" t="str">
        <x:v>../Project Recherche Data/tpa-batch01-20260908/selection.json</x:v>
      </x:c>
      <x:c r="R432" s="26" t="str">
        <x:v>047722e4dca24e16c44c810f43990492b2f988012ca2b4bab47826ff4c95f1db</x:v>
      </x:c>
      <x:c r="S432" s="26" t="str">
        <x:v>523ae0ca1d5e5143ed3aa04caae6a081ccc0aea204b728b9d75984f6db07aba1</x:v>
      </x:c>
      <x:c r="T432" s="26" t="str">
        <x:v>04decae140fb5de808f48d4efd566ac1d9269c6ecbea74335979cf62fed7ac2a</x:v>
      </x:c>
    </x:row>
    <x:row r="433" ht="60" customHeight="1">
      <x:c r="A433" s="26" t="str">
        <x:v>J1733-3716</x:v>
      </x:c>
      <x:c r="B433" s="26" t="str">
        <x:v>B1730-37</x:v>
      </x:c>
      <x:c r="C433" s="26" t="str">
        <x:v>NO_TRIGGER</x:v>
      </x:c>
      <x:c r="D433" s="26" t="str">
        <x:v>tpa-batch04-20260908-J1733-3716-run01</x:v>
      </x:c>
      <x:c r="E433" s="26" t="str">
        <x:v>No qualifying signal in eligible 30–400-day cells</x:v>
      </x:c>
      <x:c r="F433" s="26" t="str">
        <x:v>Retain result; consider independent data or a separately defined new scope</x:v>
      </x:c>
      <x:c r="G433" s="26" t="str">
        <x:v>SEARCHED</x:v>
      </x:c>
      <x:c r="H433" s="27" t="n">
        <x:v>408</x:v>
      </x:c>
      <x:c r="I433" s="27" t="n">
        <x:v>51</x:v>
      </x:c>
      <x:c r="J433" s="28" t="n">
        <x:v>1259.3908821150253</x:v>
      </x:c>
      <x:c r="K433" s="26" t="str">
        <x:v>tpa-batch04-20260908</x:v>
      </x:c>
      <x:c r="L433" s="26"/>
      <x:c r="M433" s="26" t="str">
        <x:v>Absent from named inventory</x:v>
      </x:c>
      <x:c r="N433" s="26" t="str">
        <x:v>Absent from named inventory</x:v>
      </x:c>
      <x:c r="O433" s="26" t="str">
        <x:v>Absent from named inventory</x:v>
      </x:c>
      <x:c r="P433" s="26"/>
      <x:c r="Q433" s="26" t="str">
        <x:v>../Project Recherche Data/tpa-batch04-20260908/selection.json</x:v>
      </x:c>
      <x:c r="R433" s="26" t="str">
        <x:v>88cb06482cd14a2f65e966c23ca1cdea20fdeb356fd59137885e0ec5f3b47d1a</x:v>
      </x:c>
      <x:c r="S433" s="26" t="str">
        <x:v>18ecce8f293ae5a523902b76df68ee2f3700736fbdab82850d80bf150fefaafb</x:v>
      </x:c>
      <x:c r="T433" s="26" t="str">
        <x:v>bd5c6735c4f33c69c0e5bf1befcec1430145f60e8dd208ae1cc5bfe40556f8f8</x:v>
      </x:c>
    </x:row>
    <x:row r="434" ht="60" customHeight="1">
      <x:c r="A434" s="26" t="str">
        <x:v>J1733-4005</x:v>
      </x:c>
      <x:c r="B434" s="26" t="str"/>
      <x:c r="C434" s="26" t="str">
        <x:v>NOT_SEARCHED</x:v>
      </x:c>
      <x:c r="D434" s="26"/>
      <x:c r="E434" s="26" t="str">
        <x:v>No observed search</x:v>
      </x:c>
      <x:c r="F434" s="26" t="str">
        <x:v>Retain exclusion for current scope</x:v>
      </x:c>
      <x:c r="G434" s="26" t="str">
        <x:v>TPA EXCLUDED</x:v>
      </x:c>
      <x:c r="H434" s="27" t="n">
        <x:v>248</x:v>
      </x:c>
      <x:c r="I434" s="27" t="n">
        <x:v>31</x:v>
      </x:c>
      <x:c r="J434" s="28" t="n">
        <x:v>1423.1355826173385</x:v>
      </x:c>
      <x:c r="K434" s="26"/>
      <x:c r="L434" s="26" t="str">
        <x:v>insufficient_span_or_epochs</x:v>
      </x:c>
      <x:c r="M434" s="26" t="str">
        <x:v>Absent from named inventory</x:v>
      </x:c>
      <x:c r="N434" s="26" t="str">
        <x:v>Absent from named inventory</x:v>
      </x:c>
      <x:c r="O434" s="26" t="str">
        <x:v>Absent from named inventory</x:v>
      </x:c>
      <x:c r="P434" s="26"/>
      <x:c r="Q434" s="26" t="str">
        <x:v>../Project Recherche Data/tpa-batch01-20260908/selection.json</x:v>
      </x:c>
      <x:c r="R434" s="26" t="str">
        <x:v>047722e4dca24e16c44c810f43990492b2f988012ca2b4bab47826ff4c95f1db</x:v>
      </x:c>
      <x:c r="S434" s="26" t="str">
        <x:v>4828138228ba0c82e2988aa345feb48ab32fb21f541d44b939abd705d0e79e53</x:v>
      </x:c>
      <x:c r="T434" s="26" t="str">
        <x:v>0cae0ab56fc584c13152612877bf328a92bb6197749a8adec507ce0f04dc94c9</x:v>
      </x:c>
    </x:row>
    <x:row r="435" ht="60" customHeight="1">
      <x:c r="A435" s="26" t="str">
        <x:v>J1735-0724</x:v>
      </x:c>
      <x:c r="B435" s="26" t="str">
        <x:v>B1732-07</x:v>
      </x:c>
      <x:c r="C435" s="26" t="str">
        <x:v>NOT_SEARCHED</x:v>
      </x:c>
      <x:c r="D435" s="26"/>
      <x:c r="E435" s="26" t="str">
        <x:v>No observed search</x:v>
      </x:c>
      <x:c r="F435" s="26" t="str">
        <x:v>Retain exclusion for current scope</x:v>
      </x:c>
      <x:c r="G435" s="26" t="str">
        <x:v>TPA EXCLUDED</x:v>
      </x:c>
      <x:c r="H435" s="27" t="n">
        <x:v>96</x:v>
      </x:c>
      <x:c r="I435" s="27" t="n">
        <x:v>12</x:v>
      </x:c>
      <x:c r="J435" s="28" t="n">
        <x:v>487.3399514120174</x:v>
      </x:c>
      <x:c r="K435" s="26"/>
      <x:c r="L435" s="26" t="str">
        <x:v>insufficient_span_or_epochs</x:v>
      </x:c>
      <x:c r="M435" s="26" t="str">
        <x:v>Present</x:v>
      </x:c>
      <x:c r="N435" s="26" t="str">
        <x:v>Absent from named inventory</x:v>
      </x:c>
      <x:c r="O435" s="26" t="str">
        <x:v>Absent from named inventory</x:v>
      </x:c>
      <x:c r="P435" s="26"/>
      <x:c r="Q435" s="26" t="str">
        <x:v>../Project Recherche Data/tpa-batch01-20260908/selection.json</x:v>
      </x:c>
      <x:c r="R435" s="26" t="str">
        <x:v>047722e4dca24e16c44c810f43990492b2f988012ca2b4bab47826ff4c95f1db</x:v>
      </x:c>
      <x:c r="S435" s="26" t="str">
        <x:v>99751e637951ee73f6b22381956fb4f5e7df20f21db120952288cf81394c1b76</x:v>
      </x:c>
      <x:c r="T435" s="26" t="str">
        <x:v>e03b3f8f5a5949709e61591ab0258c020efa3b869b282a50127cbd2a1bfee59d</x:v>
      </x:c>
    </x:row>
    <x:row r="436" ht="60" customHeight="1">
      <x:c r="A436" s="26" t="str">
        <x:v>J1737-3555</x:v>
      </x:c>
      <x:c r="B436" s="26" t="str">
        <x:v>B1734-35</x:v>
      </x:c>
      <x:c r="C436" s="26" t="str">
        <x:v>NO_TRIGGER</x:v>
      </x:c>
      <x:c r="D436" s="26" t="str">
        <x:v>tpa-batch05-20260908-J1737-3555-run01</x:v>
      </x:c>
      <x:c r="E436" s="26" t="str">
        <x:v>No qualifying signal in eligible 30–400-day cells</x:v>
      </x:c>
      <x:c r="F436" s="26" t="str">
        <x:v>Retain result; consider independent data or a separately defined new scope</x:v>
      </x:c>
      <x:c r="G436" s="26" t="str">
        <x:v>SEARCHED</x:v>
      </x:c>
      <x:c r="H436" s="27" t="n">
        <x:v>424</x:v>
      </x:c>
      <x:c r="I436" s="27" t="n">
        <x:v>53</x:v>
      </x:c>
      <x:c r="J436" s="28" t="n">
        <x:v>1291.6045308664907</x:v>
      </x:c>
      <x:c r="K436" s="26" t="str">
        <x:v>tpa-batch05-20260908</x:v>
      </x:c>
      <x:c r="L436" s="26"/>
      <x:c r="M436" s="26" t="str">
        <x:v>Absent from named inventory</x:v>
      </x:c>
      <x:c r="N436" s="26" t="str">
        <x:v>Absent from named inventory</x:v>
      </x:c>
      <x:c r="O436" s="26" t="str">
        <x:v>Absent from named inventory</x:v>
      </x:c>
      <x:c r="P436" s="26"/>
      <x:c r="Q436" s="26" t="str">
        <x:v>../Project Recherche Data/tpa-batch05-20260908/selection.json</x:v>
      </x:c>
      <x:c r="R436" s="26" t="str">
        <x:v>1212bfb743fa2d3f16f95056ab4d3c2b52ec5dd997358fe385b8fd00313b3907</x:v>
      </x:c>
      <x:c r="S436" s="26" t="str">
        <x:v>d84d3bb49574455b627953ab773d387365452146a5fbb247681038660261bd5c</x:v>
      </x:c>
      <x:c r="T436" s="26" t="str">
        <x:v>0e8aa8562b87242376e883abbbe1c7dbe57bb150bd9feb69a6604847e8bf9529</x:v>
      </x:c>
    </x:row>
    <x:row r="437" ht="60" customHeight="1">
      <x:c r="A437" s="26" t="str">
        <x:v>J1738-3211</x:v>
      </x:c>
      <x:c r="B437" s="26" t="str">
        <x:v>B1735-32</x:v>
      </x:c>
      <x:c r="C437" s="26" t="str">
        <x:v>NO_TRIGGER</x:v>
      </x:c>
      <x:c r="D437" s="26" t="str">
        <x:v>tpa-batch09-20260908-J1738-3211-run01</x:v>
      </x:c>
      <x:c r="E437" s="26" t="str">
        <x:v>No qualifying signal in eligible 30–400-day cells</x:v>
      </x:c>
      <x:c r="F437" s="26" t="str">
        <x:v>Retain result; consider independent data or a separately defined new scope</x:v>
      </x:c>
      <x:c r="G437" s="26" t="str">
        <x:v>SEARCHED</x:v>
      </x:c>
      <x:c r="H437" s="27" t="n">
        <x:v>424</x:v>
      </x:c>
      <x:c r="I437" s="27" t="n">
        <x:v>53</x:v>
      </x:c>
      <x:c r="J437" s="28" t="n">
        <x:v>1259.407479890957</x:v>
      </x:c>
      <x:c r="K437" s="26" t="str">
        <x:v>tpa-batch09-20260908</x:v>
      </x:c>
      <x:c r="L437" s="26"/>
      <x:c r="M437" s="26" t="str">
        <x:v>Present</x:v>
      </x:c>
      <x:c r="N437" s="26" t="str">
        <x:v>Absent from named inventory</x:v>
      </x:c>
      <x:c r="O437" s="26" t="str">
        <x:v>Absent from named inventory</x:v>
      </x:c>
      <x:c r="P437" s="26"/>
      <x:c r="Q437" s="26" t="str">
        <x:v>../Project Recherche Data/tpa-batch09-20260908/selection.json</x:v>
      </x:c>
      <x:c r="R437" s="26" t="str">
        <x:v>395304d24c4ccc368723e19c91081b318fa94afe187f103f7b2ae19ebdbfa4d6</x:v>
      </x:c>
      <x:c r="S437" s="26" t="str">
        <x:v>e94aa48abf28295590db368fbe5d3a14a2eb1255ac5ec7550c843f477d9528c4</x:v>
      </x:c>
      <x:c r="T437" s="26" t="str">
        <x:v>b887caeb152c4c0fae7753517aa94300e41a72bc7ea51a9215ad102f9a66d4d7</x:v>
      </x:c>
    </x:row>
    <x:row r="438" ht="60" customHeight="1">
      <x:c r="A438" s="26" t="str">
        <x:v>J1739+0612</x:v>
      </x:c>
      <x:c r="B438" s="26" t="str"/>
      <x:c r="C438" s="26" t="str">
        <x:v>NOT_SEARCHED</x:v>
      </x:c>
      <x:c r="D438" s="26"/>
      <x:c r="E438" s="26" t="str">
        <x:v>No observed search</x:v>
      </x:c>
      <x:c r="F438" s="26" t="str">
        <x:v>Retain exclusion for current scope</x:v>
      </x:c>
      <x:c r="G438" s="26" t="str">
        <x:v>TPA EXCLUDED</x:v>
      </x:c>
      <x:c r="H438" s="27" t="n">
        <x:v>232</x:v>
      </x:c>
      <x:c r="I438" s="27" t="n">
        <x:v>29</x:v>
      </x:c>
      <x:c r="J438" s="28" t="n">
        <x:v>1280.601162841238</x:v>
      </x:c>
      <x:c r="K438" s="26"/>
      <x:c r="L438" s="26" t="str">
        <x:v>insufficient_span_or_epochs</x:v>
      </x:c>
      <x:c r="M438" s="26" t="str">
        <x:v>Absent from named inventory</x:v>
      </x:c>
      <x:c r="N438" s="26" t="str">
        <x:v>Absent from named inventory</x:v>
      </x:c>
      <x:c r="O438" s="26" t="str">
        <x:v>Absent from named inventory</x:v>
      </x:c>
      <x:c r="P438" s="26"/>
      <x:c r="Q438" s="26" t="str">
        <x:v>../Project Recherche Data/tpa-batch01-20260908/selection.json</x:v>
      </x:c>
      <x:c r="R438" s="26" t="str">
        <x:v>047722e4dca24e16c44c810f43990492b2f988012ca2b4bab47826ff4c95f1db</x:v>
      </x:c>
      <x:c r="S438" s="26" t="str">
        <x:v>ec09020d91fc647c2c21f4ddd82935509686bfd391dedeae8eec0dc92e55e52b</x:v>
      </x:c>
      <x:c r="T438" s="26" t="str">
        <x:v>9ebef28486e76e709ca6f852a7b998c7dcabe691ad79d5475f4a508f56aa9b7f</x:v>
      </x:c>
    </x:row>
    <x:row r="439" ht="60" customHeight="1">
      <x:c r="A439" s="26" t="str">
        <x:v>J1739-1313</x:v>
      </x:c>
      <x:c r="B439" s="26" t="str"/>
      <x:c r="C439" s="26" t="str">
        <x:v>NOT_SEARCHED</x:v>
      </x:c>
      <x:c r="D439" s="26"/>
      <x:c r="E439" s="26" t="str">
        <x:v>No observed search</x:v>
      </x:c>
      <x:c r="F439" s="26" t="str">
        <x:v>Retain exclusion for current scope</x:v>
      </x:c>
      <x:c r="G439" s="26" t="str">
        <x:v>TPA EXCLUDED</x:v>
      </x:c>
      <x:c r="H439" s="27" t="n">
        <x:v>217</x:v>
      </x:c>
      <x:c r="I439" s="27" t="n">
        <x:v>28</x:v>
      </x:c>
      <x:c r="J439" s="28" t="n">
        <x:v>1291.5675320463633</x:v>
      </x:c>
      <x:c r="K439" s="26"/>
      <x:c r="L439" s="26" t="str">
        <x:v>insufficient_span_or_epochs</x:v>
      </x:c>
      <x:c r="M439" s="26" t="str">
        <x:v>Absent from named inventory</x:v>
      </x:c>
      <x:c r="N439" s="26" t="str">
        <x:v>Absent from named inventory</x:v>
      </x:c>
      <x:c r="O439" s="26" t="str">
        <x:v>Absent from named inventory</x:v>
      </x:c>
      <x:c r="P439" s="26"/>
      <x:c r="Q439" s="26" t="str">
        <x:v>../Project Recherche Data/tpa-batch01-20260908/selection.json</x:v>
      </x:c>
      <x:c r="R439" s="26" t="str">
        <x:v>047722e4dca24e16c44c810f43990492b2f988012ca2b4bab47826ff4c95f1db</x:v>
      </x:c>
      <x:c r="S439" s="26" t="str">
        <x:v>af1b1e6a59241adebfadeeeb25b567801e81d1bca83ea4f5ee0224d1e9f35112</x:v>
      </x:c>
      <x:c r="T439" s="26" t="str">
        <x:v>6f8a00641b425bcf19fe5417adee9db1a95ffaff098185d0678c9258f3ebc97c</x:v>
      </x:c>
    </x:row>
    <x:row r="440" ht="60" customHeight="1">
      <x:c r="A440" s="26" t="str">
        <x:v>J1739-2903</x:v>
      </x:c>
      <x:c r="B440" s="26" t="str">
        <x:v>B1736-29</x:v>
      </x:c>
      <x:c r="C440" s="26" t="str">
        <x:v>NOT_SEARCHED</x:v>
      </x:c>
      <x:c r="D440" s="26"/>
      <x:c r="E440" s="26" t="str">
        <x:v>No observed search</x:v>
      </x:c>
      <x:c r="F440" s="26" t="str">
        <x:v>Retain exclusion for current scope</x:v>
      </x:c>
      <x:c r="G440" s="26" t="str">
        <x:v>TPA EXCLUDED</x:v>
      </x:c>
      <x:c r="H440" s="27" t="n">
        <x:v>120</x:v>
      </x:c>
      <x:c r="I440" s="27" t="n">
        <x:v>15</x:v>
      </x:c>
      <x:c r="J440" s="28" t="n">
        <x:v>698.9734038469178</x:v>
      </x:c>
      <x:c r="K440" s="26"/>
      <x:c r="L440" s="26" t="str">
        <x:v>insufficient_span_or_epochs</x:v>
      </x:c>
      <x:c r="M440" s="26" t="str">
        <x:v>Present</x:v>
      </x:c>
      <x:c r="N440" s="26" t="str">
        <x:v>Absent from named inventory</x:v>
      </x:c>
      <x:c r="O440" s="26" t="str">
        <x:v>Absent from named inventory</x:v>
      </x:c>
      <x:c r="P440" s="26"/>
      <x:c r="Q440" s="26" t="str">
        <x:v>../Project Recherche Data/tpa-batch01-20260908/selection.json</x:v>
      </x:c>
      <x:c r="R440" s="26" t="str">
        <x:v>047722e4dca24e16c44c810f43990492b2f988012ca2b4bab47826ff4c95f1db</x:v>
      </x:c>
      <x:c r="S440" s="26" t="str">
        <x:v>770ac26264ff002ea44c1e83c64430711f8b7f799eb1ab2bb285b321396de5c6</x:v>
      </x:c>
      <x:c r="T440" s="26" t="str">
        <x:v>0648daaf8c61571bf74c52ffd32a7b2664b932aeb9f2ccd4fb7b8dbca49cd736</x:v>
      </x:c>
    </x:row>
    <x:row r="441" ht="60" customHeight="1">
      <x:c r="A441" s="26" t="str">
        <x:v>J1740+1000</x:v>
      </x:c>
      <x:c r="B441" s="26" t="str"/>
      <x:c r="C441" s="26" t="str">
        <x:v>NO_TRIGGER</x:v>
      </x:c>
      <x:c r="D441" s="26" t="str">
        <x:v>tpa-batch09-20260908-J1740+1000-run01</x:v>
      </x:c>
      <x:c r="E441" s="26" t="str">
        <x:v>No qualifying signal in eligible 30–400-day cells</x:v>
      </x:c>
      <x:c r="F441" s="26" t="str">
        <x:v>Retain result; consider independent data or a separately defined new scope</x:v>
      </x:c>
      <x:c r="G441" s="26" t="str">
        <x:v>SEARCHED</x:v>
      </x:c>
      <x:c r="H441" s="27" t="n">
        <x:v>416</x:v>
      </x:c>
      <x:c r="I441" s="27" t="n">
        <x:v>52</x:v>
      </x:c>
      <x:c r="J441" s="28" t="n">
        <x:v>1290.4955941551307</x:v>
      </x:c>
      <x:c r="K441" s="26" t="str">
        <x:v>tpa-batch09-20260908</x:v>
      </x:c>
      <x:c r="L441" s="26"/>
      <x:c r="M441" s="26" t="str">
        <x:v>Present</x:v>
      </x:c>
      <x:c r="N441" s="26" t="str">
        <x:v>Absent from named inventory</x:v>
      </x:c>
      <x:c r="O441" s="26" t="str">
        <x:v>Absent from named inventory</x:v>
      </x:c>
      <x:c r="P441" s="26"/>
      <x:c r="Q441" s="26" t="str">
        <x:v>../Project Recherche Data/tpa-batch09-20260908/selection.json</x:v>
      </x:c>
      <x:c r="R441" s="26" t="str">
        <x:v>395304d24c4ccc368723e19c91081b318fa94afe187f103f7b2ae19ebdbfa4d6</x:v>
      </x:c>
      <x:c r="S441" s="26" t="str">
        <x:v>3bc8afa405cb2b89e59ef8ec75ed6e5dd78404ef1ed6fbc61e7344b06c299e62</x:v>
      </x:c>
      <x:c r="T441" s="26" t="str">
        <x:v>55126421a8ba99ecc8bd4434ab288afca63f0a2a66440a82eb86d05b85c2cd6a</x:v>
      </x:c>
    </x:row>
    <x:row r="442" ht="60" customHeight="1">
      <x:c r="A442" s="26" t="str">
        <x:v>J1740+1311</x:v>
      </x:c>
      <x:c r="B442" s="26" t="str">
        <x:v>B1737+13</x:v>
      </x:c>
      <x:c r="C442" s="26" t="str">
        <x:v>NO_TRIGGER</x:v>
      </x:c>
      <x:c r="D442" s="26" t="str">
        <x:v>tpa-batch08-20260908-J1740+1311-run01</x:v>
      </x:c>
      <x:c r="E442" s="26" t="str">
        <x:v>No qualifying signal in eligible 30–400-day cells</x:v>
      </x:c>
      <x:c r="F442" s="26" t="str">
        <x:v>Retain result; consider independent data or a separately defined new scope</x:v>
      </x:c>
      <x:c r="G442" s="26" t="str">
        <x:v>SEARCHED</x:v>
      </x:c>
      <x:c r="H442" s="27" t="n">
        <x:v>403</x:v>
      </x:c>
      <x:c r="I442" s="27" t="n">
        <x:v>53</x:v>
      </x:c>
      <x:c r="J442" s="28" t="n">
        <x:v>1290.4946682174123</x:v>
      </x:c>
      <x:c r="K442" s="26" t="str">
        <x:v>tpa-batch08-20260908</x:v>
      </x:c>
      <x:c r="L442" s="26"/>
      <x:c r="M442" s="26" t="str">
        <x:v>Present</x:v>
      </x:c>
      <x:c r="N442" s="26" t="str">
        <x:v>Absent from named inventory</x:v>
      </x:c>
      <x:c r="O442" s="26" t="str">
        <x:v>Absent from named inventory</x:v>
      </x:c>
      <x:c r="P442" s="26"/>
      <x:c r="Q442" s="26" t="str">
        <x:v>../Project Recherche Data/tpa-batch08-20260908/selection.json</x:v>
      </x:c>
      <x:c r="R442" s="26" t="str">
        <x:v>6fe595c0d188861ebc661368dcb361d40c70c01fd3243f0147e51a513ec4e764</x:v>
      </x:c>
      <x:c r="S442" s="26" t="str">
        <x:v>32136ef1abbf6a1b8043174f403f9ddc0ef58117e934af276b3b2278cc20e523</x:v>
      </x:c>
      <x:c r="T442" s="26" t="str">
        <x:v>e55cfadf00427882c792f8e0bff8bba19bee278de9b4e488631b93bacae4f2b5</x:v>
      </x:c>
    </x:row>
    <x:row r="443" ht="60" customHeight="1">
      <x:c r="A443" s="26" t="str">
        <x:v>J1740-3015</x:v>
      </x:c>
      <x:c r="B443" s="26" t="str">
        <x:v>B1737-30</x:v>
      </x:c>
      <x:c r="C443" s="26" t="str">
        <x:v>NOT_SEARCHED</x:v>
      </x:c>
      <x:c r="D443" s="26"/>
      <x:c r="E443" s="26" t="str">
        <x:v>No observed search</x:v>
      </x:c>
      <x:c r="F443" s="26" t="str">
        <x:v>Retain exclusion for current scope</x:v>
      </x:c>
      <x:c r="G443" s="26" t="str">
        <x:v>TPA EXCLUDED</x:v>
      </x:c>
      <x:c r="H443" s="27" t="n">
        <x:v>128</x:v>
      </x:c>
      <x:c r="I443" s="27" t="n">
        <x:v>16</x:v>
      </x:c>
      <x:c r="J443" s="28" t="n">
        <x:v>698.9590388485449</x:v>
      </x:c>
      <x:c r="K443" s="26"/>
      <x:c r="L443" s="26" t="str">
        <x:v>insufficient_span_or_epochs</x:v>
      </x:c>
      <x:c r="M443" s="26" t="str">
        <x:v>Present</x:v>
      </x:c>
      <x:c r="N443" s="26" t="str">
        <x:v>Absent from named inventory</x:v>
      </x:c>
      <x:c r="O443" s="26" t="str">
        <x:v>Absent from named inventory</x:v>
      </x:c>
      <x:c r="P443" s="26"/>
      <x:c r="Q443" s="26" t="str">
        <x:v>../Project Recherche Data/tpa-batch01-20260908/selection.json</x:v>
      </x:c>
      <x:c r="R443" s="26" t="str">
        <x:v>047722e4dca24e16c44c810f43990492b2f988012ca2b4bab47826ff4c95f1db</x:v>
      </x:c>
      <x:c r="S443" s="26" t="str">
        <x:v>a915c200512fc7a1bdd3d274d6f5449ed752c362b0779d7c62cb736448a60d9d</x:v>
      </x:c>
      <x:c r="T443" s="26" t="str">
        <x:v>8d6aafcdf6c3ed3585cdfc7f2d61c5f5e37b31e2cc8015720b3f14eb47855d24</x:v>
      </x:c>
    </x:row>
    <x:row r="444" ht="60" customHeight="1">
      <x:c r="A444" s="26" t="str">
        <x:v>J1741-0840</x:v>
      </x:c>
      <x:c r="B444" s="26" t="str">
        <x:v>B1738-08</x:v>
      </x:c>
      <x:c r="C444" s="26" t="str">
        <x:v>NO_TRIGGER</x:v>
      </x:c>
      <x:c r="D444" s="26" t="str">
        <x:v>tpa-batch09-20260908-J1741-0840-run01</x:v>
      </x:c>
      <x:c r="E444" s="26" t="str">
        <x:v>No qualifying signal in eligible 30–400-day cells</x:v>
      </x:c>
      <x:c r="F444" s="26" t="str">
        <x:v>Retain result; consider independent data or a separately defined new scope</x:v>
      </x:c>
      <x:c r="G444" s="26" t="str">
        <x:v>SEARCHED</x:v>
      </x:c>
      <x:c r="H444" s="27" t="n">
        <x:v>424</x:v>
      </x:c>
      <x:c r="I444" s="27" t="n">
        <x:v>53</x:v>
      </x:c>
      <x:c r="J444" s="28" t="n">
        <x:v>1290.3565873906555</x:v>
      </x:c>
      <x:c r="K444" s="26" t="str">
        <x:v>tpa-batch09-20260908</x:v>
      </x:c>
      <x:c r="L444" s="26"/>
      <x:c r="M444" s="26" t="str">
        <x:v>Present</x:v>
      </x:c>
      <x:c r="N444" s="26" t="str">
        <x:v>Absent from named inventory</x:v>
      </x:c>
      <x:c r="O444" s="26" t="str">
        <x:v>Absent from named inventory</x:v>
      </x:c>
      <x:c r="P444" s="26"/>
      <x:c r="Q444" s="26" t="str">
        <x:v>../Project Recherche Data/tpa-batch09-20260908/selection.json</x:v>
      </x:c>
      <x:c r="R444" s="26" t="str">
        <x:v>395304d24c4ccc368723e19c91081b318fa94afe187f103f7b2ae19ebdbfa4d6</x:v>
      </x:c>
      <x:c r="S444" s="26" t="str">
        <x:v>a8d7a312565e15ace710d87a32f040e2af3f15a72795743a5620c1120aa6dbfb</x:v>
      </x:c>
      <x:c r="T444" s="26" t="str">
        <x:v>8f0488d0d2ad6c9d248778486e1da51906f2c05d68571f13997c1b46b24baef5</x:v>
      </x:c>
    </x:row>
    <x:row r="445" ht="60" customHeight="1">
      <x:c r="A445" s="26" t="str">
        <x:v>J1741-3927</x:v>
      </x:c>
      <x:c r="B445" s="26" t="str">
        <x:v>B1737-39</x:v>
      </x:c>
      <x:c r="C445" s="26" t="str">
        <x:v>NOT_SEARCHED</x:v>
      </x:c>
      <x:c r="D445" s="26"/>
      <x:c r="E445" s="26" t="str">
        <x:v>No observed search</x:v>
      </x:c>
      <x:c r="F445" s="26" t="str">
        <x:v>Retain exclusion for current scope</x:v>
      </x:c>
      <x:c r="G445" s="26" t="str">
        <x:v>TPA EXCLUDED</x:v>
      </x:c>
      <x:c r="H445" s="27" t="n">
        <x:v>96</x:v>
      </x:c>
      <x:c r="I445" s="27" t="n">
        <x:v>12</x:v>
      </x:c>
      <x:c r="J445" s="28" t="n">
        <x:v>487.3477264130124</x:v>
      </x:c>
      <x:c r="K445" s="26"/>
      <x:c r="L445" s="26" t="str">
        <x:v>insufficient_span_or_epochs</x:v>
      </x:c>
      <x:c r="M445" s="26" t="str">
        <x:v>Absent from named inventory</x:v>
      </x:c>
      <x:c r="N445" s="26" t="str">
        <x:v>Absent from named inventory</x:v>
      </x:c>
      <x:c r="O445" s="26" t="str">
        <x:v>Absent from named inventory</x:v>
      </x:c>
      <x:c r="P445" s="26"/>
      <x:c r="Q445" s="26" t="str">
        <x:v>../Project Recherche Data/tpa-batch01-20260908/selection.json</x:v>
      </x:c>
      <x:c r="R445" s="26" t="str">
        <x:v>047722e4dca24e16c44c810f43990492b2f988012ca2b4bab47826ff4c95f1db</x:v>
      </x:c>
      <x:c r="S445" s="26" t="str">
        <x:v>c0057396ece7b2e715623e92fd8ce520be2af9c69c8622c72d991cab66fbc3fe</x:v>
      </x:c>
      <x:c r="T445" s="26" t="str">
        <x:v>151e0c403dcd2f20fe8d2848a1374c9e48e1827c59dbd685fc3d37507adfd833</x:v>
      </x:c>
    </x:row>
    <x:row r="446" ht="60" customHeight="1">
      <x:c r="A446" s="26" t="str">
        <x:v>J1742-4616</x:v>
      </x:c>
      <x:c r="B446" s="26" t="str"/>
      <x:c r="C446" s="26" t="str">
        <x:v>NO_TRIGGER</x:v>
      </x:c>
      <x:c r="D446" s="26" t="str">
        <x:v>tpa-batch06-20260908-J1742-4616-run01</x:v>
      </x:c>
      <x:c r="E446" s="26" t="str">
        <x:v>No qualifying signal in eligible 30–400-day cells</x:v>
      </x:c>
      <x:c r="F446" s="26" t="str">
        <x:v>Retain result; consider independent data or a separately defined new scope</x:v>
      </x:c>
      <x:c r="G446" s="26" t="str">
        <x:v>SEARCHED</x:v>
      </x:c>
      <x:c r="H446" s="27" t="n">
        <x:v>430</x:v>
      </x:c>
      <x:c r="I446" s="27" t="n">
        <x:v>54</x:v>
      </x:c>
      <x:c r="J446" s="28" t="n">
        <x:v>1291.5769668738067</x:v>
      </x:c>
      <x:c r="K446" s="26" t="str">
        <x:v>tpa-batch06-20260908</x:v>
      </x:c>
      <x:c r="L446" s="26"/>
      <x:c r="M446" s="26" t="str">
        <x:v>Absent from named inventory</x:v>
      </x:c>
      <x:c r="N446" s="26" t="str">
        <x:v>Absent from named inventory</x:v>
      </x:c>
      <x:c r="O446" s="26" t="str">
        <x:v>Absent from named inventory</x:v>
      </x:c>
      <x:c r="P446" s="26"/>
      <x:c r="Q446" s="26" t="str">
        <x:v>../Project Recherche Data/tpa-batch06-20260908/selection.json</x:v>
      </x:c>
      <x:c r="R446" s="26" t="str">
        <x:v>aa7dc82ae2f0aa7f4ad390810d65a59ea2811f4802deb69c9130205b6466f356</x:v>
      </x:c>
      <x:c r="S446" s="26" t="str">
        <x:v>b70c439e0eab4430e00cb17cf1b19b59cebbdd674efe0270a2e198631eacf301</x:v>
      </x:c>
      <x:c r="T446" s="26" t="str">
        <x:v>de38e0a2a2d45d18b4d5f71d59ec7611720d72606ddf61f77c90e5cb6572abb7</x:v>
      </x:c>
    </x:row>
    <x:row r="447" ht="60" customHeight="1">
      <x:c r="A447" s="26" t="str">
        <x:v>J1743-0339</x:v>
      </x:c>
      <x:c r="B447" s="26" t="str">
        <x:v>B1740-03</x:v>
      </x:c>
      <x:c r="C447" s="26" t="str">
        <x:v>NOT_SEARCHED</x:v>
      </x:c>
      <x:c r="D447" s="26"/>
      <x:c r="E447" s="26" t="str">
        <x:v>No observed search</x:v>
      </x:c>
      <x:c r="F447" s="26" t="str">
        <x:v>Retain exclusion for current scope</x:v>
      </x:c>
      <x:c r="G447" s="26" t="str">
        <x:v>TPA EXCLUDED</x:v>
      </x:c>
      <x:c r="H447" s="27" t="n">
        <x:v>288</x:v>
      </x:c>
      <x:c r="I447" s="27" t="n">
        <x:v>36</x:v>
      </x:c>
      <x:c r="J447" s="28" t="n">
        <x:v>1125.8713268538268</x:v>
      </x:c>
      <x:c r="K447" s="26"/>
      <x:c r="L447" s="26" t="str">
        <x:v>insufficient_span_or_epochs</x:v>
      </x:c>
      <x:c r="M447" s="26" t="str">
        <x:v>Present</x:v>
      </x:c>
      <x:c r="N447" s="26" t="str">
        <x:v>Absent from named inventory</x:v>
      </x:c>
      <x:c r="O447" s="26" t="str">
        <x:v>Absent from named inventory</x:v>
      </x:c>
      <x:c r="P447" s="26"/>
      <x:c r="Q447" s="26" t="str">
        <x:v>../Project Recherche Data/tpa-batch01-20260908/selection.json</x:v>
      </x:c>
      <x:c r="R447" s="26" t="str">
        <x:v>047722e4dca24e16c44c810f43990492b2f988012ca2b4bab47826ff4c95f1db</x:v>
      </x:c>
      <x:c r="S447" s="26" t="str">
        <x:v>8ebb378f8f37e6b8e854ef5db059fee8cbfc2e6225af11a559d878d98b4b95ff</x:v>
      </x:c>
      <x:c r="T447" s="26" t="str">
        <x:v>6af82e0c0cd368d03348a0072eb044fcc18e2b3e8ccdd26944f4d490ce3a16df</x:v>
      </x:c>
    </x:row>
    <x:row r="448" ht="60" customHeight="1">
      <x:c r="A448" s="26" t="str">
        <x:v>J1743-1351</x:v>
      </x:c>
      <x:c r="B448" s="26" t="str">
        <x:v>B1740-13</x:v>
      </x:c>
      <x:c r="C448" s="26" t="str">
        <x:v>NOT_SEARCHED</x:v>
      </x:c>
      <x:c r="D448" s="26"/>
      <x:c r="E448" s="26" t="str">
        <x:v>No observed search</x:v>
      </x:c>
      <x:c r="F448" s="26" t="str">
        <x:v>Retain exclusion for current scope</x:v>
      </x:c>
      <x:c r="G448" s="26" t="str">
        <x:v>TPA EXCLUDED</x:v>
      </x:c>
      <x:c r="H448" s="27" t="n">
        <x:v>399</x:v>
      </x:c>
      <x:c r="I448" s="27" t="n">
        <x:v>50</x:v>
      </x:c>
      <x:c r="J448" s="28" t="n">
        <x:v>1127.0767417716925</x:v>
      </x:c>
      <x:c r="K448" s="26"/>
      <x:c r="L448" s="26" t="str">
        <x:v>insufficient_span_or_epochs</x:v>
      </x:c>
      <x:c r="M448" s="26" t="str">
        <x:v>Present</x:v>
      </x:c>
      <x:c r="N448" s="26" t="str">
        <x:v>Absent from named inventory</x:v>
      </x:c>
      <x:c r="O448" s="26" t="str">
        <x:v>Absent from named inventory</x:v>
      </x:c>
      <x:c r="P448" s="26"/>
      <x:c r="Q448" s="26" t="str">
        <x:v>../Project Recherche Data/tpa-batch01-20260908/selection.json</x:v>
      </x:c>
      <x:c r="R448" s="26" t="str">
        <x:v>047722e4dca24e16c44c810f43990492b2f988012ca2b4bab47826ff4c95f1db</x:v>
      </x:c>
      <x:c r="S448" s="26" t="str">
        <x:v>4df3b9324cb01ef0668596f2c701aeacf7fc74eba8745cba1ae92a3b6055f682</x:v>
      </x:c>
      <x:c r="T448" s="26" t="str">
        <x:v>27ec5d6d8733e9a40d470b6757ed8f61eb2a1f2b5eb1d7b8ebbd870ac7e264ad</x:v>
      </x:c>
    </x:row>
    <x:row r="449" ht="60" customHeight="1">
      <x:c r="A449" s="26" t="str">
        <x:v>J1743-3150</x:v>
      </x:c>
      <x:c r="B449" s="26" t="str">
        <x:v>B1740-31</x:v>
      </x:c>
      <x:c r="C449" s="26" t="str">
        <x:v>NOT_SEARCHED</x:v>
      </x:c>
      <x:c r="D449" s="26"/>
      <x:c r="E449" s="26" t="str">
        <x:v>No observed search</x:v>
      </x:c>
      <x:c r="F449" s="26" t="str">
        <x:v>Retain exclusion for current scope</x:v>
      </x:c>
      <x:c r="G449" s="26" t="str">
        <x:v>TPA EXCLUDED</x:v>
      </x:c>
      <x:c r="H449" s="27" t="n">
        <x:v>224</x:v>
      </x:c>
      <x:c r="I449" s="27" t="n">
        <x:v>28</x:v>
      </x:c>
      <x:c r="J449" s="28" t="n">
        <x:v>1258.6079786470582</x:v>
      </x:c>
      <x:c r="K449" s="26"/>
      <x:c r="L449" s="26" t="str">
        <x:v>insufficient_span_or_epochs</x:v>
      </x:c>
      <x:c r="M449" s="26" t="str">
        <x:v>Present</x:v>
      </x:c>
      <x:c r="N449" s="26" t="str">
        <x:v>Absent from named inventory</x:v>
      </x:c>
      <x:c r="O449" s="26" t="str">
        <x:v>Absent from named inventory</x:v>
      </x:c>
      <x:c r="P449" s="26"/>
      <x:c r="Q449" s="26" t="str">
        <x:v>../Project Recherche Data/tpa-batch01-20260908/selection.json</x:v>
      </x:c>
      <x:c r="R449" s="26" t="str">
        <x:v>047722e4dca24e16c44c810f43990492b2f988012ca2b4bab47826ff4c95f1db</x:v>
      </x:c>
      <x:c r="S449" s="26" t="str">
        <x:v>689f33b535a6451cab5d4c468b5cd3ea139658dfb5a3472eca8ef4e89526b886</x:v>
      </x:c>
      <x:c r="T449" s="26" t="str">
        <x:v>a3dc6ed898cdc7107b6f42e5ec5eda7029b369d05f1bac6b0f0fd8a2367fde2a</x:v>
      </x:c>
    </x:row>
    <x:row r="450" ht="60" customHeight="1">
      <x:c r="A450" s="26" t="str">
        <x:v>J1743-3153</x:v>
      </x:c>
      <x:c r="B450" s="26" t="str"/>
      <x:c r="C450" s="26" t="str">
        <x:v>NOT_SEARCHED</x:v>
      </x:c>
      <x:c r="D450" s="26"/>
      <x:c r="E450" s="26" t="str">
        <x:v>No observed search</x:v>
      </x:c>
      <x:c r="F450" s="26" t="str">
        <x:v>Retain exclusion for current scope</x:v>
      </x:c>
      <x:c r="G450" s="26" t="str">
        <x:v>TPA EXCLUDED</x:v>
      </x:c>
      <x:c r="H450" s="27" t="n">
        <x:v>203</x:v>
      </x:c>
      <x:c r="I450" s="27" t="n">
        <x:v>26</x:v>
      </x:c>
      <x:c r="J450" s="28" t="n">
        <x:v>1195.9701406189924</x:v>
      </x:c>
      <x:c r="K450" s="26"/>
      <x:c r="L450" s="26" t="str">
        <x:v>insufficient_span_or_epochs</x:v>
      </x:c>
      <x:c r="M450" s="26" t="str">
        <x:v>Present</x:v>
      </x:c>
      <x:c r="N450" s="26" t="str">
        <x:v>Absent from named inventory</x:v>
      </x:c>
      <x:c r="O450" s="26" t="str">
        <x:v>Absent from named inventory</x:v>
      </x:c>
      <x:c r="P450" s="26"/>
      <x:c r="Q450" s="26" t="str">
        <x:v>../Project Recherche Data/tpa-batch01-20260908/selection.json</x:v>
      </x:c>
      <x:c r="R450" s="26" t="str">
        <x:v>047722e4dca24e16c44c810f43990492b2f988012ca2b4bab47826ff4c95f1db</x:v>
      </x:c>
      <x:c r="S450" s="26" t="str">
        <x:v>560b078ad51efe9a028d31510dd5dc50643e2897ac57faed98908c9d7e979bb4</x:v>
      </x:c>
      <x:c r="T450" s="26" t="str">
        <x:v>8c03c82c0a04be2a91cd395415e74c06ec5ad6e0f9b3cfa22fe7037409cf6d65</x:v>
      </x:c>
    </x:row>
    <x:row r="451" ht="60" customHeight="1">
      <x:c r="A451" s="26" t="str">
        <x:v>J1743-4212</x:v>
      </x:c>
      <x:c r="B451" s="26" t="str"/>
      <x:c r="C451" s="26" t="str">
        <x:v>NO_TRIGGER</x:v>
      </x:c>
      <x:c r="D451" s="26" t="str">
        <x:v>tpa-batch03-20260908-J1743-4212-run01</x:v>
      </x:c>
      <x:c r="E451" s="26" t="str">
        <x:v>No qualifying signal in eligible 30–400-day cells</x:v>
      </x:c>
      <x:c r="F451" s="26" t="str">
        <x:v>Retain result; consider independent data or a separately defined new scope</x:v>
      </x:c>
      <x:c r="G451" s="26" t="str">
        <x:v>SEARCHED</x:v>
      </x:c>
      <x:c r="H451" s="27" t="n">
        <x:v>424</x:v>
      </x:c>
      <x:c r="I451" s="27" t="n">
        <x:v>53</x:v>
      </x:c>
      <x:c r="J451" s="28" t="n">
        <x:v>1291.5813730914379</x:v>
      </x:c>
      <x:c r="K451" s="26" t="str">
        <x:v>tpa-batch03-20260908</x:v>
      </x:c>
      <x:c r="L451" s="26"/>
      <x:c r="M451" s="26" t="str">
        <x:v>Absent from named inventory</x:v>
      </x:c>
      <x:c r="N451" s="26" t="str">
        <x:v>Absent from named inventory</x:v>
      </x:c>
      <x:c r="O451" s="26" t="str">
        <x:v>Absent from named inventory</x:v>
      </x:c>
      <x:c r="P451" s="26"/>
      <x:c r="Q451" s="26" t="str">
        <x:v>../Project Recherche Data/tpa-batch03-20260908/selection.json</x:v>
      </x:c>
      <x:c r="R451" s="26" t="str">
        <x:v>1cf7dc46e02f8f80971416baec3f4bb7357340d0174269b7b50fc11887c0df28</x:v>
      </x:c>
      <x:c r="S451" s="26" t="str">
        <x:v>b475ebe1d7ffe677098e9ba624e057f81dece20b3284415719ed0ac6ce6f9476</x:v>
      </x:c>
      <x:c r="T451" s="26" t="str">
        <x:v>781c9b3f86ea762110c8615fc5ad59e07dd4c01dc7df725976922e0b4572283a</x:v>
      </x:c>
    </x:row>
    <x:row r="452" ht="60" customHeight="1">
      <x:c r="A452" s="26" t="str">
        <x:v>J1744-3130</x:v>
      </x:c>
      <x:c r="B452" s="26" t="str"/>
      <x:c r="C452" s="26" t="str">
        <x:v>NOT_SEARCHED</x:v>
      </x:c>
      <x:c r="D452" s="26"/>
      <x:c r="E452" s="26" t="str">
        <x:v>No observed search</x:v>
      </x:c>
      <x:c r="F452" s="26" t="str">
        <x:v>Retain exclusion for current scope</x:v>
      </x:c>
      <x:c r="G452" s="26" t="str">
        <x:v>TPA EXCLUDED</x:v>
      </x:c>
      <x:c r="H452" s="27" t="n">
        <x:v>248</x:v>
      </x:c>
      <x:c r="I452" s="27" t="n">
        <x:v>31</x:v>
      </x:c>
      <x:c r="J452" s="28" t="n">
        <x:v>1368.397376732515</x:v>
      </x:c>
      <x:c r="K452" s="26"/>
      <x:c r="L452" s="26" t="str">
        <x:v>insufficient_span_or_epochs</x:v>
      </x:c>
      <x:c r="M452" s="26" t="str">
        <x:v>Present</x:v>
      </x:c>
      <x:c r="N452" s="26" t="str">
        <x:v>Absent from named inventory</x:v>
      </x:c>
      <x:c r="O452" s="26" t="str">
        <x:v>Absent from named inventory</x:v>
      </x:c>
      <x:c r="P452" s="26"/>
      <x:c r="Q452" s="26" t="str">
        <x:v>../Project Recherche Data/tpa-batch01-20260908/selection.json</x:v>
      </x:c>
      <x:c r="R452" s="26" t="str">
        <x:v>047722e4dca24e16c44c810f43990492b2f988012ca2b4bab47826ff4c95f1db</x:v>
      </x:c>
      <x:c r="S452" s="26" t="str">
        <x:v>11cadd8590e9c0306c925c6b57f0f347988be1299f375836d6aeb19813803b64</x:v>
      </x:c>
      <x:c r="T452" s="26" t="str">
        <x:v>8529c18cfae51b102501d33e0bb46243a480b20bde8b44b8a56ea7b8aa5cffe4</x:v>
      </x:c>
    </x:row>
    <x:row r="453" ht="60" customHeight="1">
      <x:c r="A453" s="26" t="str">
        <x:v>J1744-5337</x:v>
      </x:c>
      <x:c r="B453" s="26" t="str"/>
      <x:c r="C453" s="26" t="str">
        <x:v>NOT_SEARCHED</x:v>
      </x:c>
      <x:c r="D453" s="26"/>
      <x:c r="E453" s="26" t="str">
        <x:v>No observed search</x:v>
      </x:c>
      <x:c r="F453" s="26" t="str">
        <x:v>Retain exclusion for current scope</x:v>
      </x:c>
      <x:c r="G453" s="26" t="str">
        <x:v>TPA EXCLUDED</x:v>
      </x:c>
      <x:c r="H453" s="27" t="n">
        <x:v>216</x:v>
      </x:c>
      <x:c r="I453" s="27" t="n">
        <x:v>27</x:v>
      </x:c>
      <x:c r="J453" s="28" t="n">
        <x:v>1423.103309633836</x:v>
      </x:c>
      <x:c r="K453" s="26"/>
      <x:c r="L453" s="26" t="str">
        <x:v>insufficient_span_or_epochs</x:v>
      </x:c>
      <x:c r="M453" s="26" t="str">
        <x:v>Absent from named inventory</x:v>
      </x:c>
      <x:c r="N453" s="26" t="str">
        <x:v>Absent from named inventory</x:v>
      </x:c>
      <x:c r="O453" s="26" t="str">
        <x:v>Absent from named inventory</x:v>
      </x:c>
      <x:c r="P453" s="26"/>
      <x:c r="Q453" s="26" t="str">
        <x:v>../Project Recherche Data/tpa-batch01-20260908/selection.json</x:v>
      </x:c>
      <x:c r="R453" s="26" t="str">
        <x:v>047722e4dca24e16c44c810f43990492b2f988012ca2b4bab47826ff4c95f1db</x:v>
      </x:c>
      <x:c r="S453" s="26" t="str">
        <x:v>b53ebc2fb973180f66fc26c22759a3d3e3f8494bc1c4f4bc80d509da09bad9f6</x:v>
      </x:c>
      <x:c r="T453" s="26" t="str">
        <x:v>01ce54204fc5b9c30c065a0f32b088a3a0156dc7c94e07e9b6eada2f76526954</x:v>
      </x:c>
    </x:row>
    <x:row r="454" ht="60" customHeight="1">
      <x:c r="A454" s="26" t="str">
        <x:v>J1745-3040</x:v>
      </x:c>
      <x:c r="B454" s="26" t="str">
        <x:v>B1742-30</x:v>
      </x:c>
      <x:c r="C454" s="26" t="str">
        <x:v>NO_TRIGGER</x:v>
      </x:c>
      <x:c r="D454" s="26" t="str">
        <x:v>utmost-batch04-20260909-J1745-3040-run01</x:v>
      </x:c>
      <x:c r="E454" s="26" t="str">
        <x:v>No qualifying signal in eligible 30–400-day cells</x:v>
      </x:c>
      <x:c r="F454" s="26" t="str">
        <x:v>Retain result; consider independent data or a separately defined new scope</x:v>
      </x:c>
      <x:c r="G454" s="26" t="str">
        <x:v>UTMOST SEARCHED</x:v>
      </x:c>
      <x:c r="H454" s="27" t="n">
        <x:v>408</x:v>
      </x:c>
      <x:c r="I454" s="27" t="n">
        <x:v>51</x:v>
      </x:c>
      <x:c r="J454" s="28" t="n">
        <x:v>1259.4024472241144</x:v>
      </x:c>
      <x:c r="K454" s="26" t="str">
        <x:v>tpa-batch08-20260908</x:v>
      </x:c>
      <x:c r="L454" s="26"/>
      <x:c r="M454" s="26" t="str">
        <x:v>Present</x:v>
      </x:c>
      <x:c r="N454" s="26" t="str">
        <x:v>Absent from named inventory</x:v>
      </x:c>
      <x:c r="O454" s="26" t="str">
        <x:v>Absent from named inventory</x:v>
      </x:c>
      <x:c r="P454" s="26"/>
      <x:c r="Q454" s="26" t="str">
        <x:v>../Project Recherche Data/tpa-batch08-20260908/selection.json</x:v>
      </x:c>
      <x:c r="R454" s="26" t="str">
        <x:v>6fe595c0d188861ebc661368dcb361d40c70c01fd3243f0147e51a513ec4e764</x:v>
      </x:c>
      <x:c r="S454" s="26" t="str">
        <x:v>cf7246513dfe791fb27fe087f9045286d8f9f2179ec241e6cdfb79466b9b7e4a</x:v>
      </x:c>
      <x:c r="T454" s="26" t="str">
        <x:v>9153a602674d57e96dd021c7940364d3de77c2289af8fa777e467ca1eb3a4773</x:v>
      </x:c>
    </x:row>
    <x:row r="455" ht="60" customHeight="1">
      <x:c r="A455" s="26" t="str">
        <x:v>J1748-1300</x:v>
      </x:c>
      <x:c r="B455" s="26" t="str">
        <x:v>B1745-12</x:v>
      </x:c>
      <x:c r="C455" s="26" t="str">
        <x:v>NOT_SEARCHED</x:v>
      </x:c>
      <x:c r="D455" s="26"/>
      <x:c r="E455" s="26" t="str">
        <x:v>No observed search</x:v>
      </x:c>
      <x:c r="F455" s="26" t="str">
        <x:v>Retain exclusion for current scope</x:v>
      </x:c>
      <x:c r="G455" s="26" t="str">
        <x:v>TPA EXCLUDED</x:v>
      </x:c>
      <x:c r="H455" s="27" t="n">
        <x:v>240</x:v>
      </x:c>
      <x:c r="I455" s="27" t="n">
        <x:v>30</x:v>
      </x:c>
      <x:c r="J455" s="28" t="n">
        <x:v>1291.568389017979</x:v>
      </x:c>
      <x:c r="K455" s="26"/>
      <x:c r="L455" s="26" t="str">
        <x:v>insufficient_span_or_epochs</x:v>
      </x:c>
      <x:c r="M455" s="26" t="str">
        <x:v>Present</x:v>
      </x:c>
      <x:c r="N455" s="26" t="str">
        <x:v>Absent from named inventory</x:v>
      </x:c>
      <x:c r="O455" s="26" t="str">
        <x:v>Absent from named inventory</x:v>
      </x:c>
      <x:c r="P455" s="26"/>
      <x:c r="Q455" s="26" t="str">
        <x:v>../Project Recherche Data/tpa-batch01-20260908/selection.json</x:v>
      </x:c>
      <x:c r="R455" s="26" t="str">
        <x:v>047722e4dca24e16c44c810f43990492b2f988012ca2b4bab47826ff4c95f1db</x:v>
      </x:c>
      <x:c r="S455" s="26" t="str">
        <x:v>a9d54565155c2d9f7de805699b5d87076e3c8a7351935918d79e8754178a8a7a</x:v>
      </x:c>
      <x:c r="T455" s="26" t="str">
        <x:v>0e0f4ef9710584bf2d770748f0c4210b4616c6553a018901a04602f228b0f68f</x:v>
      </x:c>
    </x:row>
    <x:row r="456" ht="60" customHeight="1">
      <x:c r="A456" s="26" t="str">
        <x:v>J1750-3157</x:v>
      </x:c>
      <x:c r="B456" s="26" t="str">
        <x:v>B1747-31</x:v>
      </x:c>
      <x:c r="C456" s="26" t="str">
        <x:v>NO_TRIGGER</x:v>
      </x:c>
      <x:c r="D456" s="26" t="str">
        <x:v>tpa-batch08-20260908-J1750-3157-run01</x:v>
      </x:c>
      <x:c r="E456" s="26" t="str">
        <x:v>No qualifying signal in eligible 30–400-day cells</x:v>
      </x:c>
      <x:c r="F456" s="26" t="str">
        <x:v>Retain result; consider independent data or a separately defined new scope</x:v>
      </x:c>
      <x:c r="G456" s="26" t="str">
        <x:v>SEARCHED</x:v>
      </x:c>
      <x:c r="H456" s="27" t="n">
        <x:v>408</x:v>
      </x:c>
      <x:c r="I456" s="27" t="n">
        <x:v>51</x:v>
      </x:c>
      <x:c r="J456" s="28" t="n">
        <x:v>1259.3964161716722</x:v>
      </x:c>
      <x:c r="K456" s="26" t="str">
        <x:v>tpa-batch08-20260908</x:v>
      </x:c>
      <x:c r="L456" s="26"/>
      <x:c r="M456" s="26" t="str">
        <x:v>Present</x:v>
      </x:c>
      <x:c r="N456" s="26" t="str">
        <x:v>Absent from named inventory</x:v>
      </x:c>
      <x:c r="O456" s="26" t="str">
        <x:v>Absent from named inventory</x:v>
      </x:c>
      <x:c r="P456" s="26"/>
      <x:c r="Q456" s="26" t="str">
        <x:v>../Project Recherche Data/tpa-batch08-20260908/selection.json</x:v>
      </x:c>
      <x:c r="R456" s="26" t="str">
        <x:v>6fe595c0d188861ebc661368dcb361d40c70c01fd3243f0147e51a513ec4e764</x:v>
      </x:c>
      <x:c r="S456" s="26" t="str">
        <x:v>5faa062d339119d483bcf175e80bcc802cc30aea2af40716346979dea8747be1</x:v>
      </x:c>
      <x:c r="T456" s="26" t="str">
        <x:v>f9a5a77037e65b7db01aeacc83cda83b642b15ace2327898ed5c7aef630e3f91</x:v>
      </x:c>
    </x:row>
    <x:row r="457" ht="60" customHeight="1">
      <x:c r="A457" s="26" t="str">
        <x:v>J1750-3503</x:v>
      </x:c>
      <x:c r="B457" s="26" t="str"/>
      <x:c r="C457" s="26" t="str">
        <x:v>NO_TRIGGER</x:v>
      </x:c>
      <x:c r="D457" s="26" t="str">
        <x:v>tpa-batch10-20260908-J1750-3503-run01</x:v>
      </x:c>
      <x:c r="E457" s="26" t="str">
        <x:v>No qualifying signal in eligible 30–400-day cells</x:v>
      </x:c>
      <x:c r="F457" s="26" t="str">
        <x:v>Retain result; consider independent data or a separately defined new scope</x:v>
      </x:c>
      <x:c r="G457" s="26" t="str">
        <x:v>SEARCHED</x:v>
      </x:c>
      <x:c r="H457" s="27" t="n">
        <x:v>373</x:v>
      </x:c>
      <x:c r="I457" s="27" t="n">
        <x:v>54</x:v>
      </x:c>
      <x:c r="J457" s="28" t="n">
        <x:v>1291.5904490034009</x:v>
      </x:c>
      <x:c r="K457" s="26" t="str">
        <x:v>tpa-batch10-20260908</x:v>
      </x:c>
      <x:c r="L457" s="26"/>
      <x:c r="M457" s="26" t="str">
        <x:v>Present</x:v>
      </x:c>
      <x:c r="N457" s="26" t="str">
        <x:v>Absent from named inventory</x:v>
      </x:c>
      <x:c r="O457" s="26" t="str">
        <x:v>Absent from named inventory</x:v>
      </x:c>
      <x:c r="P457" s="26"/>
      <x:c r="Q457" s="26" t="str">
        <x:v>../Project Recherche Data/tpa-batch10-20260908/selection.json</x:v>
      </x:c>
      <x:c r="R457" s="26" t="str">
        <x:v>f291b1f7787d65b8a00b6e0862fccba716fb6a5f33f3265ceaca9fa5b1fd2c2a</x:v>
      </x:c>
      <x:c r="S457" s="26" t="str">
        <x:v>a76f01d96e96d9a5b7dd6d6ab745fbc305ce7a5e112be3793b3cc7172171dc6e</x:v>
      </x:c>
      <x:c r="T457" s="26" t="str">
        <x:v>8580fffcfd2fcd64d13d3f468506a23bf9215c48fca54717d22d83b9a5aee43c</x:v>
      </x:c>
    </x:row>
    <x:row r="458" ht="60" customHeight="1">
      <x:c r="A458" s="26" t="str">
        <x:v>J1751-3323</x:v>
      </x:c>
      <x:c r="B458" s="26" t="str"/>
      <x:c r="C458" s="26" t="str">
        <x:v>NOT_SEARCHED</x:v>
      </x:c>
      <x:c r="D458" s="26"/>
      <x:c r="E458" s="26" t="str">
        <x:v>No observed search</x:v>
      </x:c>
      <x:c r="F458" s="26" t="str">
        <x:v>Retain exclusion for current scope</x:v>
      </x:c>
      <x:c r="G458" s="26" t="str">
        <x:v>TPA EXCLUDED</x:v>
      </x:c>
      <x:c r="H458" s="27" t="n">
        <x:v>96</x:v>
      </x:c>
      <x:c r="I458" s="27" t="n">
        <x:v>12</x:v>
      </x:c>
      <x:c r="J458" s="28" t="n">
        <x:v>487.35124764842476</x:v>
      </x:c>
      <x:c r="K458" s="26"/>
      <x:c r="L458" s="26" t="str">
        <x:v>insufficient_span_or_epochs</x:v>
      </x:c>
      <x:c r="M458" s="26" t="str">
        <x:v>Present</x:v>
      </x:c>
      <x:c r="N458" s="26" t="str">
        <x:v>Absent from named inventory</x:v>
      </x:c>
      <x:c r="O458" s="26" t="str">
        <x:v>Absent from named inventory</x:v>
      </x:c>
      <x:c r="P458" s="26"/>
      <x:c r="Q458" s="26" t="str">
        <x:v>../Project Recherche Data/tpa-batch01-20260908/selection.json</x:v>
      </x:c>
      <x:c r="R458" s="26" t="str">
        <x:v>047722e4dca24e16c44c810f43990492b2f988012ca2b4bab47826ff4c95f1db</x:v>
      </x:c>
      <x:c r="S458" s="26" t="str">
        <x:v>cb44ffd8031afdea4fe0e16f733291d62253bf8ec54a52bec518ea7aa5e3a3c9</x:v>
      </x:c>
      <x:c r="T458" s="26" t="str">
        <x:v>0868c4b86cfc1c01a50485c5cb52d17f8c5f11a8fb403e63fb16a01ab8a09de8</x:v>
      </x:c>
    </x:row>
    <x:row r="459" ht="60" customHeight="1">
      <x:c r="A459" s="26" t="str">
        <x:v>J1751-4657</x:v>
      </x:c>
      <x:c r="B459" s="26" t="str">
        <x:v>B1747-46</x:v>
      </x:c>
      <x:c r="C459" s="26" t="str">
        <x:v>NO_TRIGGER</x:v>
      </x:c>
      <x:c r="D459" s="26" t="str">
        <x:v>utmost-batch02-20260909-J1751-4657-run01</x:v>
      </x:c>
      <x:c r="E459" s="26" t="str">
        <x:v>No qualifying signal in eligible 30–400-day cells</x:v>
      </x:c>
      <x:c r="F459" s="26" t="str">
        <x:v>Retain result; consider independent data or a separately defined new scope</x:v>
      </x:c>
      <x:c r="G459" s="26" t="str">
        <x:v>UTMOST SEARCHED</x:v>
      </x:c>
      <x:c r="H459" s="27" t="n">
        <x:v>96</x:v>
      </x:c>
      <x:c r="I459" s="27" t="n">
        <x:v>12</x:v>
      </x:c>
      <x:c r="J459" s="28" t="n">
        <x:v>487.3087723964927</x:v>
      </x:c>
      <x:c r="K459" s="26"/>
      <x:c r="L459" s="26" t="str">
        <x:v>insufficient_span_or_epochs</x:v>
      </x:c>
      <x:c r="M459" s="26" t="str">
        <x:v>Absent from named inventory</x:v>
      </x:c>
      <x:c r="N459" s="26" t="str">
        <x:v>Absent from named inventory</x:v>
      </x:c>
      <x:c r="O459" s="26" t="str">
        <x:v>Absent from named inventory</x:v>
      </x:c>
      <x:c r="P459" s="26"/>
      <x:c r="Q459" s="26" t="str">
        <x:v>../Project Recherche Data/tpa-batch01-20260908/selection.json</x:v>
      </x:c>
      <x:c r="R459" s="26" t="str">
        <x:v>047722e4dca24e16c44c810f43990492b2f988012ca2b4bab47826ff4c95f1db</x:v>
      </x:c>
      <x:c r="S459" s="26" t="str">
        <x:v>9fe481c5f478c68dd91a2ac87b69d51a855429556d55ce4ea01cb49f2a695343</x:v>
      </x:c>
      <x:c r="T459" s="26" t="str">
        <x:v>a69e67e5939184398af6cc7cbd3b9f50ea76fb6309a048d2931583cac257688b</x:v>
      </x:c>
    </x:row>
    <x:row r="460" ht="39.599998474121094" hidden="0" customHeight="1">
      <x:c r="A460" s="26" t="str">
        <x:v>J1752-2806</x:v>
      </x:c>
      <x:c r="B460" s="26" t="str">
        <x:v>B1749-28</x:v>
      </x:c>
      <x:c r="C460" s="26" t="str">
        <x:v>PERIODIC_SIGNAL_CANDIDATE</x:v>
      </x:c>
      <x:c r="D460" s="26" t="str">
        <x:v>utmost-batch04-20260909-J1752-2806-run01</x:v>
      </x:c>
      <x:c r="E460" s="26" t="str">
        <x:v>Threshold-crossing periodic candidate; not a confirmed planet</x:v>
      </x:c>
      <x:c r="F460" s="26" t="str">
        <x:v>Dedicated report and focused review complete. Preserve inconclusive noise-sensitive candidate; await informative independent observations and separately authorized follow-up.</x:v>
      </x:c>
      <x:c r="G460" s="26" t="str">
        <x:v>UTMOST SEARCHED</x:v>
      </x:c>
      <x:c r="H460" s="27" t="n">
        <x:v>400</x:v>
      </x:c>
      <x:c r="I460" s="27" t="n">
        <x:v>50</x:v>
      </x:c>
      <x:c r="J460" s="28" t="n">
        <x:v>1259.3726686226291</x:v>
      </x:c>
      <x:c r="K460" s="26" t="str">
        <x:v>tpa-batch09-20260908</x:v>
      </x:c>
      <x:c r="L460" s="26"/>
      <x:c r="M460" s="26" t="str">
        <x:v>Present</x:v>
      </x:c>
      <x:c r="N460" s="26" t="str">
        <x:v>Absent from named inventory</x:v>
      </x:c>
      <x:c r="O460" s="26" t="str">
        <x:v>Absent from named inventory</x:v>
      </x:c>
      <x:c r="P460" s="26"/>
      <x:c r="Q460" s="26" t="str">
        <x:v>../Project Recherche Data/tpa-batch09-20260908/selection.json</x:v>
      </x:c>
      <x:c r="R460" s="26" t="str">
        <x:v>395304d24c4ccc368723e19c91081b318fa94afe187f103f7b2ae19ebdbfa4d6</x:v>
      </x:c>
      <x:c r="S460" s="26" t="str">
        <x:v>d6a5fc22ac5122e4f6027f351a43c9a50bb0f444cb0de2481fde96595a69003b</x:v>
      </x:c>
      <x:c r="T460" s="26" t="str">
        <x:v>f6f2cd25c98ed679b5693c181ff1f09361fed2aa685b2264d7b07254ba67e13c</x:v>
      </x:c>
    </x:row>
    <x:row r="461" ht="60" customHeight="1">
      <x:c r="A461" s="26" t="str">
        <x:v>J1754-3443</x:v>
      </x:c>
      <x:c r="B461" s="26" t="str"/>
      <x:c r="C461" s="26" t="str">
        <x:v>NO_TRIGGER</x:v>
      </x:c>
      <x:c r="D461" s="26" t="str">
        <x:v>tpa-batch04-20260908-J1754-3443-run01</x:v>
      </x:c>
      <x:c r="E461" s="26" t="str">
        <x:v>No qualifying signal in eligible 30–400-day cells</x:v>
      </x:c>
      <x:c r="F461" s="26" t="str">
        <x:v>Retain result; consider independent data or a separately defined new scope</x:v>
      </x:c>
      <x:c r="G461" s="26" t="str">
        <x:v>SEARCHED</x:v>
      </x:c>
      <x:c r="H461" s="27" t="n">
        <x:v>440</x:v>
      </x:c>
      <x:c r="I461" s="27" t="n">
        <x:v>55</x:v>
      </x:c>
      <x:c r="J461" s="28" t="n">
        <x:v>1423.1611678606278</x:v>
      </x:c>
      <x:c r="K461" s="26" t="str">
        <x:v>tpa-batch04-20260908</x:v>
      </x:c>
      <x:c r="L461" s="26"/>
      <x:c r="M461" s="26" t="str">
        <x:v>Absent from named inventory</x:v>
      </x:c>
      <x:c r="N461" s="26" t="str">
        <x:v>Absent from named inventory</x:v>
      </x:c>
      <x:c r="O461" s="26" t="str">
        <x:v>Absent from named inventory</x:v>
      </x:c>
      <x:c r="P461" s="26"/>
      <x:c r="Q461" s="26" t="str">
        <x:v>../Project Recherche Data/tpa-batch04-20260908/selection.json</x:v>
      </x:c>
      <x:c r="R461" s="26" t="str">
        <x:v>88cb06482cd14a2f65e966c23ca1cdea20fdeb356fd59137885e0ec5f3b47d1a</x:v>
      </x:c>
      <x:c r="S461" s="26" t="str">
        <x:v>f4f2d63481cb5440783c604c4e56637edd34b2e8f4c7325f0faeb1f408931aa9</x:v>
      </x:c>
      <x:c r="T461" s="26" t="str">
        <x:v>868000f9769a5c61378dcccd8e4f3d6360f27b9e45b5b4dc96932a474e609df4</x:v>
      </x:c>
    </x:row>
    <x:row r="462" ht="60" customHeight="1">
      <x:c r="A462" s="26" t="str">
        <x:v>J1754-3510</x:v>
      </x:c>
      <x:c r="B462" s="26" t="str"/>
      <x:c r="C462" s="26" t="str">
        <x:v>NO_TRIGGER</x:v>
      </x:c>
      <x:c r="D462" s="26" t="str">
        <x:v>tpa-batch07-20260908-J1754-3510-run01</x:v>
      </x:c>
      <x:c r="E462" s="26" t="str">
        <x:v>No qualifying signal in eligible 30–400-day cells</x:v>
      </x:c>
      <x:c r="F462" s="26" t="str">
        <x:v>Retain result; consider independent data or a separately defined new scope</x:v>
      </x:c>
      <x:c r="G462" s="26" t="str">
        <x:v>SEARCHED</x:v>
      </x:c>
      <x:c r="H462" s="27" t="n">
        <x:v>432</x:v>
      </x:c>
      <x:c r="I462" s="27" t="n">
        <x:v>54</x:v>
      </x:c>
      <x:c r="J462" s="28" t="n">
        <x:v>1423.160823752718</x:v>
      </x:c>
      <x:c r="K462" s="26" t="str">
        <x:v>tpa-batch07-20260908</x:v>
      </x:c>
      <x:c r="L462" s="26"/>
      <x:c r="M462" s="26" t="str">
        <x:v>Present</x:v>
      </x:c>
      <x:c r="N462" s="26" t="str">
        <x:v>Absent from named inventory</x:v>
      </x:c>
      <x:c r="O462" s="26" t="str">
        <x:v>Absent from named inventory</x:v>
      </x:c>
      <x:c r="P462" s="26"/>
      <x:c r="Q462" s="26" t="str">
        <x:v>../Project Recherche Data/tpa-batch07-20260908/selection.json</x:v>
      </x:c>
      <x:c r="R462" s="26" t="str">
        <x:v>a0944d5da0924367a8ed78a56de7826f64b6d517eb7c66fa044c452abc4894a7</x:v>
      </x:c>
      <x:c r="S462" s="26" t="str">
        <x:v>de1f58db38a4ad91dab24038e54f093c71dd8aab9c987ae61c4dd70cad822532</x:v>
      </x:c>
      <x:c r="T462" s="26" t="str">
        <x:v>a9c6f0af9d517ae4adf1da396c9fa07c5845e7102ed4f674bb6fd543caff1acc</x:v>
      </x:c>
    </x:row>
    <x:row r="463" ht="60" customHeight="1">
      <x:c r="A463" s="26" t="str">
        <x:v>J1757-2421</x:v>
      </x:c>
      <x:c r="B463" s="26" t="str">
        <x:v>B1754-24</x:v>
      </x:c>
      <x:c r="C463" s="26" t="str">
        <x:v>NOT_SEARCHED</x:v>
      </x:c>
      <x:c r="D463" s="26"/>
      <x:c r="E463" s="26" t="str">
        <x:v>No observed search</x:v>
      </x:c>
      <x:c r="F463" s="26" t="str">
        <x:v>Retain exclusion for current scope</x:v>
      </x:c>
      <x:c r="G463" s="26" t="str">
        <x:v>TPA EXCLUDED</x:v>
      </x:c>
      <x:c r="H463" s="27" t="n">
        <x:v>96</x:v>
      </x:c>
      <x:c r="I463" s="27" t="n">
        <x:v>12</x:v>
      </x:c>
      <x:c r="J463" s="28" t="n">
        <x:v>472.3873601686282</x:v>
      </x:c>
      <x:c r="K463" s="26"/>
      <x:c r="L463" s="26" t="str">
        <x:v>insufficient_span_or_epochs</x:v>
      </x:c>
      <x:c r="M463" s="26" t="str">
        <x:v>Present</x:v>
      </x:c>
      <x:c r="N463" s="26" t="str">
        <x:v>Absent from named inventory</x:v>
      </x:c>
      <x:c r="O463" s="26" t="str">
        <x:v>Absent from named inventory</x:v>
      </x:c>
      <x:c r="P463" s="26"/>
      <x:c r="Q463" s="26" t="str">
        <x:v>../Project Recherche Data/tpa-batch01-20260908/selection.json</x:v>
      </x:c>
      <x:c r="R463" s="26" t="str">
        <x:v>047722e4dca24e16c44c810f43990492b2f988012ca2b4bab47826ff4c95f1db</x:v>
      </x:c>
      <x:c r="S463" s="26" t="str">
        <x:v>8af84d3ae6ae244b8e6039187800ba60c76c68d52895f32548edee751471af2c</x:v>
      </x:c>
      <x:c r="T463" s="26" t="str">
        <x:v>8c353cd133aa4e300bbe480dc19d7b4084a5b9709393761c0df8721cd76460c7</x:v>
      </x:c>
    </x:row>
    <x:row r="464" ht="60" customHeight="1">
      <x:c r="A464" s="26" t="str">
        <x:v>J1759-2205</x:v>
      </x:c>
      <x:c r="B464" s="26" t="str">
        <x:v>B1756-22</x:v>
      </x:c>
      <x:c r="C464" s="26" t="str">
        <x:v>NO_TRIGGER</x:v>
      </x:c>
      <x:c r="D464" s="26" t="str">
        <x:v>tpa-batch07-20260908-J1759-2205-run01</x:v>
      </x:c>
      <x:c r="E464" s="26" t="str">
        <x:v>No qualifying signal in eligible 30–400-day cells</x:v>
      </x:c>
      <x:c r="F464" s="26" t="str">
        <x:v>Retain result; consider independent data or a separately defined new scope</x:v>
      </x:c>
      <x:c r="G464" s="26" t="str">
        <x:v>SEARCHED</x:v>
      </x:c>
      <x:c r="H464" s="27" t="n">
        <x:v>432</x:v>
      </x:c>
      <x:c r="I464" s="27" t="n">
        <x:v>54</x:v>
      </x:c>
      <x:c r="J464" s="28" t="n">
        <x:v>1291.6069270525986</x:v>
      </x:c>
      <x:c r="K464" s="26" t="str">
        <x:v>tpa-batch07-20260908</x:v>
      </x:c>
      <x:c r="L464" s="26"/>
      <x:c r="M464" s="26" t="str">
        <x:v>Present</x:v>
      </x:c>
      <x:c r="N464" s="26" t="str">
        <x:v>Absent from named inventory</x:v>
      </x:c>
      <x:c r="O464" s="26" t="str">
        <x:v>Absent from named inventory</x:v>
      </x:c>
      <x:c r="P464" s="26"/>
      <x:c r="Q464" s="26" t="str">
        <x:v>../Project Recherche Data/tpa-batch07-20260908/selection.json</x:v>
      </x:c>
      <x:c r="R464" s="26" t="str">
        <x:v>a0944d5da0924367a8ed78a56de7826f64b6d517eb7c66fa044c452abc4894a7</x:v>
      </x:c>
      <x:c r="S464" s="26" t="str">
        <x:v>fd41561cdd0527b0fac0245d0a2a6ea7f191674e6fd7a54fec796229cef22179</x:v>
      </x:c>
      <x:c r="T464" s="26" t="str">
        <x:v>c360f4c52e4f15b627408777608c94ee417aa5a5687843af142c0a23e48a687c</x:v>
      </x:c>
    </x:row>
    <x:row r="465" ht="60" customHeight="1">
      <x:c r="A465" s="26" t="str">
        <x:v>J1759-3107</x:v>
      </x:c>
      <x:c r="B465" s="26" t="str"/>
      <x:c r="C465" s="26" t="str">
        <x:v>NO_TRIGGER</x:v>
      </x:c>
      <x:c r="D465" s="26" t="str">
        <x:v>tpa-batch04-20260908-J1759-3107-run01</x:v>
      </x:c>
      <x:c r="E465" s="26" t="str">
        <x:v>No qualifying signal in eligible 30–400-day cells</x:v>
      </x:c>
      <x:c r="F465" s="26" t="str">
        <x:v>Retain result; consider independent data or a separately defined new scope</x:v>
      </x:c>
      <x:c r="G465" s="26" t="str">
        <x:v>SEARCHED</x:v>
      </x:c>
      <x:c r="H465" s="27" t="n">
        <x:v>424</x:v>
      </x:c>
      <x:c r="I465" s="27" t="n">
        <x:v>53</x:v>
      </x:c>
      <x:c r="J465" s="28" t="n">
        <x:v>1291.6312181903486</x:v>
      </x:c>
      <x:c r="K465" s="26" t="str">
        <x:v>tpa-batch04-20260908</x:v>
      </x:c>
      <x:c r="L465" s="26"/>
      <x:c r="M465" s="26" t="str">
        <x:v>Absent from named inventory</x:v>
      </x:c>
      <x:c r="N465" s="26" t="str">
        <x:v>Absent from named inventory</x:v>
      </x:c>
      <x:c r="O465" s="26" t="str">
        <x:v>Absent from named inventory</x:v>
      </x:c>
      <x:c r="P465" s="26"/>
      <x:c r="Q465" s="26" t="str">
        <x:v>../Project Recherche Data/tpa-batch04-20260908/selection.json</x:v>
      </x:c>
      <x:c r="R465" s="26" t="str">
        <x:v>88cb06482cd14a2f65e966c23ca1cdea20fdeb356fd59137885e0ec5f3b47d1a</x:v>
      </x:c>
      <x:c r="S465" s="26" t="str">
        <x:v>1320d9fda383a549956b219d48832ffca306d96c022bcdd470d381e3efc0b036</x:v>
      </x:c>
      <x:c r="T465" s="26" t="str">
        <x:v>3fc31c22e73fb56e5608e2c7ec9410a28df16407a1d7ca1956cf35654cc6550c</x:v>
      </x:c>
    </x:row>
    <x:row r="466" ht="60" customHeight="1">
      <x:c r="A466" s="26" t="str">
        <x:v>J1801-0357</x:v>
      </x:c>
      <x:c r="B466" s="26" t="str">
        <x:v>B1758-03</x:v>
      </x:c>
      <x:c r="C466" s="26" t="str">
        <x:v>NO_TRIGGER</x:v>
      </x:c>
      <x:c r="D466" s="26" t="str">
        <x:v>tpa-batch09-20260908-J1801-0357-run01</x:v>
      </x:c>
      <x:c r="E466" s="26" t="str">
        <x:v>No qualifying signal in eligible 30–400-day cells</x:v>
      </x:c>
      <x:c r="F466" s="26" t="str">
        <x:v>Retain result; consider independent data or a separately defined new scope</x:v>
      </x:c>
      <x:c r="G466" s="26" t="str">
        <x:v>SEARCHED</x:v>
      </x:c>
      <x:c r="H466" s="27" t="n">
        <x:v>455</x:v>
      </x:c>
      <x:c r="I466" s="27" t="n">
        <x:v>57</x:v>
      </x:c>
      <x:c r="J466" s="28" t="n">
        <x:v>1367.1669335280385</x:v>
      </x:c>
      <x:c r="K466" s="26" t="str">
        <x:v>tpa-batch09-20260908</x:v>
      </x:c>
      <x:c r="L466" s="26"/>
      <x:c r="M466" s="26" t="str">
        <x:v>Present</x:v>
      </x:c>
      <x:c r="N466" s="26" t="str">
        <x:v>Absent from named inventory</x:v>
      </x:c>
      <x:c r="O466" s="26" t="str">
        <x:v>Absent from named inventory</x:v>
      </x:c>
      <x:c r="P466" s="26"/>
      <x:c r="Q466" s="26" t="str">
        <x:v>../Project Recherche Data/tpa-batch09-20260908/selection.json</x:v>
      </x:c>
      <x:c r="R466" s="26" t="str">
        <x:v>395304d24c4ccc368723e19c91081b318fa94afe187f103f7b2ae19ebdbfa4d6</x:v>
      </x:c>
      <x:c r="S466" s="26" t="str">
        <x:v>7a6bffc8db5ecddab1f0e792b659f33e607ec19500757164a263850222094494</x:v>
      </x:c>
      <x:c r="T466" s="26" t="str">
        <x:v>ec35e75ab9ceb4c72c7e02a286de98ca2457235031694821b527822751424bf8</x:v>
      </x:c>
    </x:row>
    <x:row r="467" ht="60" customHeight="1">
      <x:c r="A467" s="26" t="str">
        <x:v>J1801-2920</x:v>
      </x:c>
      <x:c r="B467" s="26" t="str">
        <x:v>B1758-29</x:v>
      </x:c>
      <x:c r="C467" s="26" t="str">
        <x:v>NO_TRIGGER</x:v>
      </x:c>
      <x:c r="D467" s="26" t="str">
        <x:v>tpa-batch08-20260908-J1801-2920-run01</x:v>
      </x:c>
      <x:c r="E467" s="26" t="str">
        <x:v>No qualifying signal in eligible 30–400-day cells</x:v>
      </x:c>
      <x:c r="F467" s="26" t="str">
        <x:v>Retain result; consider independent data or a separately defined new scope</x:v>
      </x:c>
      <x:c r="G467" s="26" t="str">
        <x:v>SEARCHED</x:v>
      </x:c>
      <x:c r="H467" s="27" t="n">
        <x:v>415</x:v>
      </x:c>
      <x:c r="I467" s="27" t="n">
        <x:v>52</x:v>
      </x:c>
      <x:c r="J467" s="28" t="n">
        <x:v>1290.4689368191684</x:v>
      </x:c>
      <x:c r="K467" s="26" t="str">
        <x:v>tpa-batch08-20260908</x:v>
      </x:c>
      <x:c r="L467" s="26"/>
      <x:c r="M467" s="26" t="str">
        <x:v>Present</x:v>
      </x:c>
      <x:c r="N467" s="26" t="str">
        <x:v>Absent from named inventory</x:v>
      </x:c>
      <x:c r="O467" s="26" t="str">
        <x:v>Absent from named inventory</x:v>
      </x:c>
      <x:c r="P467" s="26"/>
      <x:c r="Q467" s="26" t="str">
        <x:v>../Project Recherche Data/tpa-batch08-20260908/selection.json</x:v>
      </x:c>
      <x:c r="R467" s="26" t="str">
        <x:v>6fe595c0d188861ebc661368dcb361d40c70c01fd3243f0147e51a513ec4e764</x:v>
      </x:c>
      <x:c r="S467" s="26" t="str">
        <x:v>9e75692920da1e93e6a5ce339bb82549a1a11085ae5b083530634b4028e7298e</x:v>
      </x:c>
      <x:c r="T467" s="26" t="str">
        <x:v>9e42b403839d9a170dc629f962bceecb1a0079cb12322b65e331ecdb82fc2d72</x:v>
      </x:c>
    </x:row>
    <x:row r="468" ht="60" customHeight="1">
      <x:c r="A468" s="26" t="str">
        <x:v>J1803-2137</x:v>
      </x:c>
      <x:c r="B468" s="26" t="str">
        <x:v>B1800-21</x:v>
      </x:c>
      <x:c r="C468" s="26" t="str">
        <x:v>NOT_SEARCHED</x:v>
      </x:c>
      <x:c r="D468" s="26"/>
      <x:c r="E468" s="26" t="str">
        <x:v>No observed search</x:v>
      </x:c>
      <x:c r="F468" s="26" t="str">
        <x:v>Retain exclusion for current scope</x:v>
      </x:c>
      <x:c r="G468" s="26" t="str">
        <x:v>TPA EXCLUDED</x:v>
      </x:c>
      <x:c r="H468" s="27" t="n">
        <x:v>120</x:v>
      </x:c>
      <x:c r="I468" s="27" t="n">
        <x:v>15</x:v>
      </x:c>
      <x:c r="J468" s="28" t="n">
        <x:v>717.8499650404483</x:v>
      </x:c>
      <x:c r="K468" s="26"/>
      <x:c r="L468" s="26" t="str">
        <x:v>published_glitch, insufficient_span_or_epochs</x:v>
      </x:c>
      <x:c r="M468" s="26" t="str">
        <x:v>Present</x:v>
      </x:c>
      <x:c r="N468" s="26" t="str">
        <x:v>Absent from named inventory</x:v>
      </x:c>
      <x:c r="O468" s="26" t="str">
        <x:v>Absent from named inventory</x:v>
      </x:c>
      <x:c r="P468" s="26"/>
      <x:c r="Q468" s="26" t="str">
        <x:v>../Project Recherche Data/tpa-batch01-20260908/selection.json</x:v>
      </x:c>
      <x:c r="R468" s="26" t="str">
        <x:v>047722e4dca24e16c44c810f43990492b2f988012ca2b4bab47826ff4c95f1db</x:v>
      </x:c>
      <x:c r="S468" s="26" t="str">
        <x:v>5459ec9a0140977d045365f4050ff1ea55fec8578f7adb44bb45bab151cc8f05</x:v>
      </x:c>
      <x:c r="T468" s="26" t="str">
        <x:v>6647ba638fecdef4367912bdcbdf89e9032cb3c5d06abc052a2fc869f4cbae5c</x:v>
      </x:c>
    </x:row>
    <x:row r="469" ht="60" customHeight="1">
      <x:c r="A469" s="26" t="str">
        <x:v>J1805-0619</x:v>
      </x:c>
      <x:c r="B469" s="26" t="str"/>
      <x:c r="C469" s="26" t="str">
        <x:v>NO_TRIGGER</x:v>
      </x:c>
      <x:c r="D469" s="26" t="str">
        <x:v>tpa-batch05-20260908-J1805-0619-run01</x:v>
      </x:c>
      <x:c r="E469" s="26" t="str">
        <x:v>No qualifying signal in eligible 30–400-day cells</x:v>
      </x:c>
      <x:c r="F469" s="26" t="str">
        <x:v>Retain result; consider independent data or a separately defined new scope</x:v>
      </x:c>
      <x:c r="G469" s="26" t="str">
        <x:v>SEARCHED</x:v>
      </x:c>
      <x:c r="H469" s="27" t="n">
        <x:v>432</x:v>
      </x:c>
      <x:c r="I469" s="27" t="n">
        <x:v>54</x:v>
      </x:c>
      <x:c r="J469" s="28" t="n">
        <x:v>1280.21358196449</x:v>
      </x:c>
      <x:c r="K469" s="26" t="str">
        <x:v>tpa-batch05-20260908</x:v>
      </x:c>
      <x:c r="L469" s="26"/>
      <x:c r="M469" s="26" t="str">
        <x:v>Absent from named inventory</x:v>
      </x:c>
      <x:c r="N469" s="26" t="str">
        <x:v>Absent from named inventory</x:v>
      </x:c>
      <x:c r="O469" s="26" t="str">
        <x:v>Absent from named inventory</x:v>
      </x:c>
      <x:c r="P469" s="26"/>
      <x:c r="Q469" s="26" t="str">
        <x:v>../Project Recherche Data/tpa-batch05-20260908/selection.json</x:v>
      </x:c>
      <x:c r="R469" s="26" t="str">
        <x:v>1212bfb743fa2d3f16f95056ab4d3c2b52ec5dd997358fe385b8fd00313b3907</x:v>
      </x:c>
      <x:c r="S469" s="26" t="str">
        <x:v>47fc9450fde9684ca26a3153501a5a7a599a2e36a088a5a00cdf3108ca80211c</x:v>
      </x:c>
      <x:c r="T469" s="26" t="str">
        <x:v>a9839e2d5c4d7722ba0b56e97f2e22f71da9dbaa0763afaac8ab47210c0d8d28</x:v>
      </x:c>
    </x:row>
    <x:row r="470" ht="60" customHeight="1">
      <x:c r="A470" s="26" t="str">
        <x:v>J1806-1154</x:v>
      </x:c>
      <x:c r="B470" s="26" t="str">
        <x:v>B1804-12</x:v>
      </x:c>
      <x:c r="C470" s="26" t="str">
        <x:v>NOT_SEARCHED</x:v>
      </x:c>
      <x:c r="D470" s="26"/>
      <x:c r="E470" s="26" t="str">
        <x:v>No observed search</x:v>
      </x:c>
      <x:c r="F470" s="26" t="str">
        <x:v>Retain exclusion for current scope</x:v>
      </x:c>
      <x:c r="G470" s="26" t="str">
        <x:v>TPA EXCLUDED</x:v>
      </x:c>
      <x:c r="H470" s="27" t="n">
        <x:v>216</x:v>
      </x:c>
      <x:c r="I470" s="27" t="n">
        <x:v>27</x:v>
      </x:c>
      <x:c r="J470" s="28" t="n">
        <x:v>1254.4901569440844</x:v>
      </x:c>
      <x:c r="K470" s="26"/>
      <x:c r="L470" s="26" t="str">
        <x:v>insufficient_span_or_epochs</x:v>
      </x:c>
      <x:c r="M470" s="26" t="str">
        <x:v>Present</x:v>
      </x:c>
      <x:c r="N470" s="26" t="str">
        <x:v>Absent from named inventory</x:v>
      </x:c>
      <x:c r="O470" s="26" t="str">
        <x:v>Absent from named inventory</x:v>
      </x:c>
      <x:c r="P470" s="26"/>
      <x:c r="Q470" s="26" t="str">
        <x:v>../Project Recherche Data/tpa-batch01-20260908/selection.json</x:v>
      </x:c>
      <x:c r="R470" s="26" t="str">
        <x:v>047722e4dca24e16c44c810f43990492b2f988012ca2b4bab47826ff4c95f1db</x:v>
      </x:c>
      <x:c r="S470" s="26" t="str">
        <x:v>c52a53f2ae3b9c8a01f3883caa59ff6d0a197ff5514f5e4a587af76b65154970</x:v>
      </x:c>
      <x:c r="T470" s="26" t="str">
        <x:v>6acd6f00abeddf4d6670b1421571ec8b0f1ab90046bf00851bcddbe38931a053</x:v>
      </x:c>
    </x:row>
    <x:row r="471" ht="60" customHeight="1">
      <x:c r="A471" s="26" t="str">
        <x:v>J1807-0847</x:v>
      </x:c>
      <x:c r="B471" s="26" t="str">
        <x:v>B1804-08</x:v>
      </x:c>
      <x:c r="C471" s="26" t="str">
        <x:v>NO_TRIGGER</x:v>
      </x:c>
      <x:c r="D471" s="26" t="str">
        <x:v>utmost-preparation01-20260909-J1807-0847-run01</x:v>
      </x:c>
      <x:c r="E471" s="26" t="str">
        <x:v>No qualifying signal in eligible 30–400-day cells</x:v>
      </x:c>
      <x:c r="F471" s="26" t="str">
        <x:v>Retain result; consider independent data or a separately defined new scope</x:v>
      </x:c>
      <x:c r="G471" s="26" t="str">
        <x:v>UTMOST SEARCHED; TPA EXCLUSION RETAINED</x:v>
      </x:c>
      <x:c r="H471" s="27" t="n">
        <x:v>96</x:v>
      </x:c>
      <x:c r="I471" s="27" t="n">
        <x:v>12</x:v>
      </x:c>
      <x:c r="J471" s="28" t="n">
        <x:v>472.3456477418804</x:v>
      </x:c>
      <x:c r="K471" s="26"/>
      <x:c r="L471" s="26" t="str">
        <x:v>insufficient_span_or_epochs</x:v>
      </x:c>
      <x:c r="M471" s="26" t="str">
        <x:v>Present</x:v>
      </x:c>
      <x:c r="N471" s="26" t="str">
        <x:v>Absent from named inventory</x:v>
      </x:c>
      <x:c r="O471" s="26" t="str">
        <x:v>Absent from named inventory</x:v>
      </x:c>
      <x:c r="P471" s="26"/>
      <x:c r="Q471" s="26" t="str">
        <x:v>../Project Recherche Data/tpa-batch01-20260908/selection.json</x:v>
      </x:c>
      <x:c r="R471" s="26" t="str">
        <x:v>047722e4dca24e16c44c810f43990492b2f988012ca2b4bab47826ff4c95f1db</x:v>
      </x:c>
      <x:c r="S471" s="26" t="str">
        <x:v>2218e0abf3a0949922f77aace84871fec5be798846ae9a4a8ef2eb0910510e16</x:v>
      </x:c>
      <x:c r="T471" s="26" t="str">
        <x:v>9d96d4f04172023c1d0ba57ff7cf685e0ae8eb99f6085d016e8295279d901d83</x:v>
      </x:c>
    </x:row>
    <x:row r="472" ht="60" customHeight="1">
      <x:c r="A472" s="26" t="str">
        <x:v>J1807-2715</x:v>
      </x:c>
      <x:c r="B472" s="26" t="str">
        <x:v>B1804-27</x:v>
      </x:c>
      <x:c r="C472" s="26" t="str">
        <x:v>NO_TRIGGER</x:v>
      </x:c>
      <x:c r="D472" s="26" t="str">
        <x:v>tpa-batch07-20260908-J1807-2715-run01</x:v>
      </x:c>
      <x:c r="E472" s="26" t="str">
        <x:v>No qualifying signal in eligible 30–400-day cells</x:v>
      </x:c>
      <x:c r="F472" s="26" t="str">
        <x:v>Retain result; consider independent data or a separately defined new scope</x:v>
      </x:c>
      <x:c r="G472" s="26" t="str">
        <x:v>SEARCHED</x:v>
      </x:c>
      <x:c r="H472" s="27" t="n">
        <x:v>416</x:v>
      </x:c>
      <x:c r="I472" s="27" t="n">
        <x:v>52</x:v>
      </x:c>
      <x:c r="J472" s="28" t="n">
        <x:v>1290.4688279786642</x:v>
      </x:c>
      <x:c r="K472" s="26" t="str">
        <x:v>tpa-batch07-20260908</x:v>
      </x:c>
      <x:c r="L472" s="26"/>
      <x:c r="M472" s="26" t="str">
        <x:v>Present</x:v>
      </x:c>
      <x:c r="N472" s="26" t="str">
        <x:v>Absent from named inventory</x:v>
      </x:c>
      <x:c r="O472" s="26" t="str">
        <x:v>Absent from named inventory</x:v>
      </x:c>
      <x:c r="P472" s="26"/>
      <x:c r="Q472" s="26" t="str">
        <x:v>../Project Recherche Data/tpa-batch07-20260908/selection.json</x:v>
      </x:c>
      <x:c r="R472" s="26" t="str">
        <x:v>a0944d5da0924367a8ed78a56de7826f64b6d517eb7c66fa044c452abc4894a7</x:v>
      </x:c>
      <x:c r="S472" s="26" t="str">
        <x:v>e812578fcd605802d89ff50a835e4788a1a518f217f01cac13ba601e179bbd14</x:v>
      </x:c>
      <x:c r="T472" s="26" t="str">
        <x:v>a8f48c0de443b12948d8b6ef7b0efa99d0545cdc2b7869e40576f258e12cab96</x:v>
      </x:c>
    </x:row>
    <x:row r="473" ht="60" customHeight="1">
      <x:c r="A473" s="26" t="str">
        <x:v>J1808-0813</x:v>
      </x:c>
      <x:c r="B473" s="26" t="str"/>
      <x:c r="C473" s="26" t="str">
        <x:v>NOT_SEARCHED</x:v>
      </x:c>
      <x:c r="D473" s="26"/>
      <x:c r="E473" s="26" t="str">
        <x:v>No observed search</x:v>
      </x:c>
      <x:c r="F473" s="26" t="str">
        <x:v>Retain exclusion for current scope</x:v>
      </x:c>
      <x:c r="G473" s="26" t="str">
        <x:v>TPA EXCLUDED</x:v>
      </x:c>
      <x:c r="H473" s="27" t="n">
        <x:v>232</x:v>
      </x:c>
      <x:c r="I473" s="27" t="n">
        <x:v>29</x:v>
      </x:c>
      <x:c r="J473" s="28" t="n">
        <x:v>1270.3709583271193</x:v>
      </x:c>
      <x:c r="K473" s="26"/>
      <x:c r="L473" s="26" t="str">
        <x:v>insufficient_span_or_epochs</x:v>
      </x:c>
      <x:c r="M473" s="26" t="str">
        <x:v>Present</x:v>
      </x:c>
      <x:c r="N473" s="26" t="str">
        <x:v>Absent from named inventory</x:v>
      </x:c>
      <x:c r="O473" s="26" t="str">
        <x:v>Absent from named inventory</x:v>
      </x:c>
      <x:c r="P473" s="26"/>
      <x:c r="Q473" s="26" t="str">
        <x:v>../Project Recherche Data/tpa-batch01-20260908/selection.json</x:v>
      </x:c>
      <x:c r="R473" s="26" t="str">
        <x:v>047722e4dca24e16c44c810f43990492b2f988012ca2b4bab47826ff4c95f1db</x:v>
      </x:c>
      <x:c r="S473" s="26" t="str">
        <x:v>b5189a4096664832494ae7c794b407444f38031f5ce43949fe983c9e8aa9a675</x:v>
      </x:c>
      <x:c r="T473" s="26" t="str">
        <x:v>050d3b1e6aba141a5483eb34370f41b325cb121516ddad0fae55409d3fb7c992</x:v>
      </x:c>
    </x:row>
    <x:row r="474" ht="60" customHeight="1">
      <x:c r="A474" s="26" t="str">
        <x:v>J1808-1517</x:v>
      </x:c>
      <x:c r="B474" s="26" t="str"/>
      <x:c r="C474" s="26" t="str">
        <x:v>NOT_SEARCHED</x:v>
      </x:c>
      <x:c r="D474" s="26"/>
      <x:c r="E474" s="26" t="str">
        <x:v>No observed search</x:v>
      </x:c>
      <x:c r="F474" s="26" t="str">
        <x:v>Retain exclusion for current scope</x:v>
      </x:c>
      <x:c r="G474" s="26" t="str">
        <x:v>TPA EXCLUDED</x:v>
      </x:c>
      <x:c r="H474" s="27" t="n">
        <x:v>204</x:v>
      </x:c>
      <x:c r="I474" s="27" t="n">
        <x:v>26</x:v>
      </x:c>
      <x:c r="J474" s="28" t="n">
        <x:v>1396.1692157768703</x:v>
      </x:c>
      <x:c r="K474" s="26"/>
      <x:c r="L474" s="26" t="str">
        <x:v>insufficient_span_or_epochs</x:v>
      </x:c>
      <x:c r="M474" s="26" t="str">
        <x:v>Present</x:v>
      </x:c>
      <x:c r="N474" s="26" t="str">
        <x:v>Absent from named inventory</x:v>
      </x:c>
      <x:c r="O474" s="26" t="str">
        <x:v>Absent from named inventory</x:v>
      </x:c>
      <x:c r="P474" s="26"/>
      <x:c r="Q474" s="26" t="str">
        <x:v>../Project Recherche Data/tpa-batch01-20260908/selection.json</x:v>
      </x:c>
      <x:c r="R474" s="26" t="str">
        <x:v>047722e4dca24e16c44c810f43990492b2f988012ca2b4bab47826ff4c95f1db</x:v>
      </x:c>
      <x:c r="S474" s="26" t="str">
        <x:v>adddf3364236ac8640fb6563412d5e12990b74c5e52bc358cf9c0d9f808e71d0</x:v>
      </x:c>
      <x:c r="T474" s="26" t="str">
        <x:v>904f21a592d6de9769e2e3575b7d2c527fa50ba0f02c66aef21534674fd395ee</x:v>
      </x:c>
    </x:row>
    <x:row r="475" ht="60" customHeight="1">
      <x:c r="A475" s="26" t="str">
        <x:v>J1808-3249</x:v>
      </x:c>
      <x:c r="B475" s="26" t="str"/>
      <x:c r="C475" s="26" t="str">
        <x:v>NO_TRIGGER</x:v>
      </x:c>
      <x:c r="D475" s="26" t="str">
        <x:v>tpa-batch07-20260908-J1808-3249-run01</x:v>
      </x:c>
      <x:c r="E475" s="26" t="str">
        <x:v>No qualifying signal in eligible 30–400-day cells</x:v>
      </x:c>
      <x:c r="F475" s="26" t="str">
        <x:v>Retain result; consider independent data or a separately defined new scope</x:v>
      </x:c>
      <x:c r="G475" s="26" t="str">
        <x:v>SEARCHED</x:v>
      </x:c>
      <x:c r="H475" s="27" t="n">
        <x:v>416</x:v>
      </x:c>
      <x:c r="I475" s="27" t="n">
        <x:v>52</x:v>
      </x:c>
      <x:c r="J475" s="28" t="n">
        <x:v>1214.381176996656</x:v>
      </x:c>
      <x:c r="K475" s="26" t="str">
        <x:v>tpa-batch07-20260908</x:v>
      </x:c>
      <x:c r="L475" s="26"/>
      <x:c r="M475" s="26" t="str">
        <x:v>Present</x:v>
      </x:c>
      <x:c r="N475" s="26" t="str">
        <x:v>Absent from named inventory</x:v>
      </x:c>
      <x:c r="O475" s="26" t="str">
        <x:v>Absent from named inventory</x:v>
      </x:c>
      <x:c r="P475" s="26"/>
      <x:c r="Q475" s="26" t="str">
        <x:v>../Project Recherche Data/tpa-batch07-20260908/selection.json</x:v>
      </x:c>
      <x:c r="R475" s="26" t="str">
        <x:v>a0944d5da0924367a8ed78a56de7826f64b6d517eb7c66fa044c452abc4894a7</x:v>
      </x:c>
      <x:c r="S475" s="26" t="str">
        <x:v>c311ef28c86cc84c6cd9e23b2204e0f12d5e1a61334e4da9a15c23d4f2234b08</x:v>
      </x:c>
      <x:c r="T475" s="26" t="str">
        <x:v>11a1288ff0f35b7a6e802816ba6de09c381ab2e95c4535ef0fa93aaeeaad7dd3</x:v>
      </x:c>
    </x:row>
    <x:row r="476" ht="60" customHeight="1">
      <x:c r="A476" s="26" t="str">
        <x:v>J1809-1429</x:v>
      </x:c>
      <x:c r="B476" s="26" t="str"/>
      <x:c r="C476" s="26" t="str">
        <x:v>NOT_SEARCHED</x:v>
      </x:c>
      <x:c r="D476" s="26"/>
      <x:c r="E476" s="26" t="str">
        <x:v>No observed search</x:v>
      </x:c>
      <x:c r="F476" s="26" t="str">
        <x:v>Retain exclusion for current scope</x:v>
      </x:c>
      <x:c r="G476" s="26" t="str">
        <x:v>TPA EXCLUDED</x:v>
      </x:c>
      <x:c r="H476" s="27" t="n">
        <x:v>216</x:v>
      </x:c>
      <x:c r="I476" s="27" t="n">
        <x:v>27</x:v>
      </x:c>
      <x:c r="J476" s="28" t="n">
        <x:v>1341.4641786244756</x:v>
      </x:c>
      <x:c r="K476" s="26"/>
      <x:c r="L476" s="26" t="str">
        <x:v>insufficient_span_or_epochs</x:v>
      </x:c>
      <x:c r="M476" s="26" t="str">
        <x:v>Absent from named inventory</x:v>
      </x:c>
      <x:c r="N476" s="26" t="str">
        <x:v>Absent from named inventory</x:v>
      </x:c>
      <x:c r="O476" s="26" t="str">
        <x:v>Absent from named inventory</x:v>
      </x:c>
      <x:c r="P476" s="26"/>
      <x:c r="Q476" s="26" t="str">
        <x:v>../Project Recherche Data/tpa-batch01-20260908/selection.json</x:v>
      </x:c>
      <x:c r="R476" s="26" t="str">
        <x:v>047722e4dca24e16c44c810f43990492b2f988012ca2b4bab47826ff4c95f1db</x:v>
      </x:c>
      <x:c r="S476" s="26" t="str">
        <x:v>fd738cb601fde3cddeb06b445ef1b3e6b50a5cc122d9ae4b55f047573e83b15d</x:v>
      </x:c>
      <x:c r="T476" s="26" t="str">
        <x:v>b830624d45205e27f6f7e7efe239476bf4c547ae5e3cb89992800e98777569ad</x:v>
      </x:c>
    </x:row>
    <x:row r="477" ht="60" customHeight="1">
      <x:c r="A477" s="26" t="str">
        <x:v>J1809-1917</x:v>
      </x:c>
      <x:c r="B477" s="26" t="str"/>
      <x:c r="C477" s="26" t="str">
        <x:v>NOT_SEARCHED</x:v>
      </x:c>
      <x:c r="D477" s="26"/>
      <x:c r="E477" s="26" t="str">
        <x:v>No observed search</x:v>
      </x:c>
      <x:c r="F477" s="26" t="str">
        <x:v>Retain exclusion for current scope</x:v>
      </x:c>
      <x:c r="G477" s="26" t="str">
        <x:v>TPA EXCLUDED</x:v>
      </x:c>
      <x:c r="H477" s="27" t="n">
        <x:v>248</x:v>
      </x:c>
      <x:c r="I477" s="27" t="n">
        <x:v>31</x:v>
      </x:c>
      <x:c r="J477" s="28" t="n">
        <x:v>1429.2652235844726</x:v>
      </x:c>
      <x:c r="K477" s="26"/>
      <x:c r="L477" s="26" t="str">
        <x:v>insufficient_span_or_epochs</x:v>
      </x:c>
      <x:c r="M477" s="26" t="str">
        <x:v>Present</x:v>
      </x:c>
      <x:c r="N477" s="26" t="str">
        <x:v>Absent from named inventory</x:v>
      </x:c>
      <x:c r="O477" s="26" t="str">
        <x:v>Absent from named inventory</x:v>
      </x:c>
      <x:c r="P477" s="26"/>
      <x:c r="Q477" s="26" t="str">
        <x:v>../Project Recherche Data/tpa-batch01-20260908/selection.json</x:v>
      </x:c>
      <x:c r="R477" s="26" t="str">
        <x:v>047722e4dca24e16c44c810f43990492b2f988012ca2b4bab47826ff4c95f1db</x:v>
      </x:c>
      <x:c r="S477" s="26" t="str">
        <x:v>dc7484e19c5b41cfd69b0a4bcd7b4f5151586f2f9fe7fb12ef7cd5437e2be408</x:v>
      </x:c>
      <x:c r="T477" s="26" t="str">
        <x:v>518f135419f532cc7167444e4a31cf874a6a60b2086d9420c6824b2ff435dfa7</x:v>
      </x:c>
    </x:row>
    <x:row r="478" ht="60" customHeight="1">
      <x:c r="A478" s="26" t="str">
        <x:v>J1809-2109</x:v>
      </x:c>
      <x:c r="B478" s="26" t="str">
        <x:v>B1806-21</x:v>
      </x:c>
      <x:c r="C478" s="26" t="str">
        <x:v>NO_TRIGGER</x:v>
      </x:c>
      <x:c r="D478" s="26" t="str">
        <x:v>tpa-batch08-20260908-J1809-2109-run01</x:v>
      </x:c>
      <x:c r="E478" s="26" t="str">
        <x:v>No qualifying signal in eligible 30–400-day cells</x:v>
      </x:c>
      <x:c r="F478" s="26" t="str">
        <x:v>Retain result; consider independent data or a separately defined new scope</x:v>
      </x:c>
      <x:c r="G478" s="26" t="str">
        <x:v>SEARCHED</x:v>
      </x:c>
      <x:c r="H478" s="27" t="n">
        <x:v>424</x:v>
      </x:c>
      <x:c r="I478" s="27" t="n">
        <x:v>53</x:v>
      </x:c>
      <x:c r="J478" s="28" t="n">
        <x:v>1290.4625784605669</x:v>
      </x:c>
      <x:c r="K478" s="26" t="str">
        <x:v>tpa-batch08-20260908</x:v>
      </x:c>
      <x:c r="L478" s="26"/>
      <x:c r="M478" s="26" t="str">
        <x:v>Present</x:v>
      </x:c>
      <x:c r="N478" s="26" t="str">
        <x:v>Absent from named inventory</x:v>
      </x:c>
      <x:c r="O478" s="26" t="str">
        <x:v>Absent from named inventory</x:v>
      </x:c>
      <x:c r="P478" s="26"/>
      <x:c r="Q478" s="26" t="str">
        <x:v>../Project Recherche Data/tpa-batch08-20260908/selection.json</x:v>
      </x:c>
      <x:c r="R478" s="26" t="str">
        <x:v>6fe595c0d188861ebc661368dcb361d40c70c01fd3243f0147e51a513ec4e764</x:v>
      </x:c>
      <x:c r="S478" s="26" t="str">
        <x:v>22a2c7d45509bacdf5cdb057159f0526e3d0354993083aca04a4d639b05906cb</x:v>
      </x:c>
      <x:c r="T478" s="26" t="str">
        <x:v>7e7e387cff5fae7abf7cb3f373585178f31568b03ebfcfa24da6a863b87957f0</x:v>
      </x:c>
    </x:row>
    <x:row r="479" ht="60" customHeight="1">
      <x:c r="A479" s="26" t="str">
        <x:v>J1811-0154</x:v>
      </x:c>
      <x:c r="B479" s="26" t="str"/>
      <x:c r="C479" s="26" t="str">
        <x:v>NO_TRIGGER</x:v>
      </x:c>
      <x:c r="D479" s="26" t="str">
        <x:v>tpa-batch06-20260908-J1811-0154-run01</x:v>
      </x:c>
      <x:c r="E479" s="26" t="str">
        <x:v>No qualifying signal in eligible 30–400-day cells</x:v>
      </x:c>
      <x:c r="F479" s="26" t="str">
        <x:v>Retain result; consider independent data or a separately defined new scope</x:v>
      </x:c>
      <x:c r="G479" s="26" t="str">
        <x:v>SEARCHED</x:v>
      </x:c>
      <x:c r="H479" s="27" t="n">
        <x:v>440</x:v>
      </x:c>
      <x:c r="I479" s="27" t="n">
        <x:v>55</x:v>
      </x:c>
      <x:c r="J479" s="28" t="n">
        <x:v>1280.212985790662</x:v>
      </x:c>
      <x:c r="K479" s="26" t="str">
        <x:v>tpa-batch06-20260908</x:v>
      </x:c>
      <x:c r="L479" s="26"/>
      <x:c r="M479" s="26" t="str">
        <x:v>Absent from named inventory</x:v>
      </x:c>
      <x:c r="N479" s="26" t="str">
        <x:v>Absent from named inventory</x:v>
      </x:c>
      <x:c r="O479" s="26" t="str">
        <x:v>Absent from named inventory</x:v>
      </x:c>
      <x:c r="P479" s="26"/>
      <x:c r="Q479" s="26" t="str">
        <x:v>../Project Recherche Data/tpa-batch06-20260908/selection.json</x:v>
      </x:c>
      <x:c r="R479" s="26" t="str">
        <x:v>aa7dc82ae2f0aa7f4ad390810d65a59ea2811f4802deb69c9130205b6466f356</x:v>
      </x:c>
      <x:c r="S479" s="26" t="str">
        <x:v>406bfbe0b7a67bed8814fc65c06c5227c468b53c0a156012b52969d7a6bdcc9c</x:v>
      </x:c>
      <x:c r="T479" s="26" t="str">
        <x:v>81139e084eb09c3fb3c96649daaeebe6253699321ce43adedecc3054430d633e</x:v>
      </x:c>
    </x:row>
    <x:row r="480" ht="60" customHeight="1">
      <x:c r="A480" s="26" t="str">
        <x:v>J1811-4930</x:v>
      </x:c>
      <x:c r="B480" s="26" t="str"/>
      <x:c r="C480" s="26" t="str">
        <x:v>NOT_SEARCHED</x:v>
      </x:c>
      <x:c r="D480" s="26"/>
      <x:c r="E480" s="26" t="str">
        <x:v>No observed search</x:v>
      </x:c>
      <x:c r="F480" s="26" t="str">
        <x:v>Retain exclusion for current scope</x:v>
      </x:c>
      <x:c r="G480" s="26" t="str">
        <x:v>TPA EXCLUDED</x:v>
      </x:c>
      <x:c r="H480" s="27" t="n">
        <x:v>198</x:v>
      </x:c>
      <x:c r="I480" s="27" t="n">
        <x:v>25</x:v>
      </x:c>
      <x:c r="J480" s="28" t="n">
        <x:v>1092.1444462762956</x:v>
      </x:c>
      <x:c r="K480" s="26"/>
      <x:c r="L480" s="26" t="str">
        <x:v>insufficient_span_or_epochs</x:v>
      </x:c>
      <x:c r="M480" s="26" t="str">
        <x:v>Absent from named inventory</x:v>
      </x:c>
      <x:c r="N480" s="26" t="str">
        <x:v>Absent from named inventory</x:v>
      </x:c>
      <x:c r="O480" s="26" t="str">
        <x:v>Absent from named inventory</x:v>
      </x:c>
      <x:c r="P480" s="26"/>
      <x:c r="Q480" s="26" t="str">
        <x:v>../Project Recherche Data/tpa-batch01-20260908/selection.json</x:v>
      </x:c>
      <x:c r="R480" s="26" t="str">
        <x:v>047722e4dca24e16c44c810f43990492b2f988012ca2b4bab47826ff4c95f1db</x:v>
      </x:c>
      <x:c r="S480" s="26" t="str">
        <x:v>f67313b334cee137d21f25901e164e4594d151426b24f29c1376d9b52421d902</x:v>
      </x:c>
      <x:c r="T480" s="26" t="str">
        <x:v>df0a7dc97db96d285184e3e67b60afbf7132b5a40a4281cf2c5b9faaefb51d23</x:v>
      </x:c>
    </x:row>
    <x:row r="481" ht="60" customHeight="1">
      <x:c r="A481" s="26" t="str">
        <x:v>J1812-1733</x:v>
      </x:c>
      <x:c r="B481" s="26" t="str">
        <x:v>B1809-176</x:v>
      </x:c>
      <x:c r="C481" s="26" t="str">
        <x:v>NOT_SEARCHED</x:v>
      </x:c>
      <x:c r="D481" s="26"/>
      <x:c r="E481" s="26" t="str">
        <x:v>No observed search</x:v>
      </x:c>
      <x:c r="F481" s="26" t="str">
        <x:v>Retain exclusion for current scope</x:v>
      </x:c>
      <x:c r="G481" s="26" t="str">
        <x:v>TPA EXCLUDED</x:v>
      </x:c>
      <x:c r="H481" s="27" t="n">
        <x:v>224</x:v>
      </x:c>
      <x:c r="I481" s="27" t="n">
        <x:v>28</x:v>
      </x:c>
      <x:c r="J481" s="28" t="n">
        <x:v>1470.1178203002055</x:v>
      </x:c>
      <x:c r="K481" s="26"/>
      <x:c r="L481" s="26" t="str">
        <x:v>insufficient_span_or_epochs</x:v>
      </x:c>
      <x:c r="M481" s="26" t="str">
        <x:v>Present</x:v>
      </x:c>
      <x:c r="N481" s="26" t="str">
        <x:v>Absent from named inventory</x:v>
      </x:c>
      <x:c r="O481" s="26" t="str">
        <x:v>Absent from named inventory</x:v>
      </x:c>
      <x:c r="P481" s="26"/>
      <x:c r="Q481" s="26" t="str">
        <x:v>../Project Recherche Data/tpa-batch01-20260908/selection.json</x:v>
      </x:c>
      <x:c r="R481" s="26" t="str">
        <x:v>047722e4dca24e16c44c810f43990492b2f988012ca2b4bab47826ff4c95f1db</x:v>
      </x:c>
      <x:c r="S481" s="26" t="str">
        <x:v>e7a1bdcba3b8ea90971061f7cd09b9328c32039d62e1c0fce80a9277de3716f3</x:v>
      </x:c>
      <x:c r="T481" s="26" t="str">
        <x:v>bfc7537e508dc0f168ec4fcb6dc3690d530eecf922780879c04772dbf985eada</x:v>
      </x:c>
    </x:row>
    <x:row r="482" ht="60" customHeight="1">
      <x:c r="A482" s="26" t="str">
        <x:v>J1813-2113</x:v>
      </x:c>
      <x:c r="B482" s="26" t="str"/>
      <x:c r="C482" s="26" t="str">
        <x:v>NOT_SEARCHED</x:v>
      </x:c>
      <x:c r="D482" s="26"/>
      <x:c r="E482" s="26" t="str">
        <x:v>No observed search</x:v>
      </x:c>
      <x:c r="F482" s="26" t="str">
        <x:v>Retain exclusion for current scope</x:v>
      </x:c>
      <x:c r="G482" s="26" t="str">
        <x:v>TPA EXCLUDED</x:v>
      </x:c>
      <x:c r="H482" s="27" t="n">
        <x:v>168</x:v>
      </x:c>
      <x:c r="I482" s="27" t="n">
        <x:v>21</x:v>
      </x:c>
      <x:c r="J482" s="28" t="n">
        <x:v>1124.0361943965108</x:v>
      </x:c>
      <x:c r="K482" s="26"/>
      <x:c r="L482" s="26" t="str">
        <x:v>insufficient_span_or_epochs</x:v>
      </x:c>
      <x:c r="M482" s="26" t="str">
        <x:v>Absent from named inventory</x:v>
      </x:c>
      <x:c r="N482" s="26" t="str">
        <x:v>Absent from named inventory</x:v>
      </x:c>
      <x:c r="O482" s="26" t="str">
        <x:v>Absent from named inventory</x:v>
      </x:c>
      <x:c r="P482" s="26"/>
      <x:c r="Q482" s="26" t="str">
        <x:v>../Project Recherche Data/tpa-batch01-20260908/selection.json</x:v>
      </x:c>
      <x:c r="R482" s="26" t="str">
        <x:v>047722e4dca24e16c44c810f43990492b2f988012ca2b4bab47826ff4c95f1db</x:v>
      </x:c>
      <x:c r="S482" s="26" t="str">
        <x:v>f46f80caa5339a64d2ee6c034482b88bb880a10b2e7a79e9c899f5d28c26acff</x:v>
      </x:c>
      <x:c r="T482" s="26" t="str">
        <x:v>ae097e762d0ca9bd415dfeed278f65a41ea5c4ae686ef51441958ddaddfb4f38</x:v>
      </x:c>
    </x:row>
    <x:row r="483" ht="60" customHeight="1">
      <x:c r="A483" s="26" t="str">
        <x:v>J1816-1729</x:v>
      </x:c>
      <x:c r="B483" s="26" t="str">
        <x:v>B1813-17</x:v>
      </x:c>
      <x:c r="C483" s="26" t="str">
        <x:v>NOT_SEARCHED</x:v>
      </x:c>
      <x:c r="D483" s="26"/>
      <x:c r="E483" s="26" t="str">
        <x:v>No observed search</x:v>
      </x:c>
      <x:c r="F483" s="26" t="str">
        <x:v>Retain exclusion for current scope</x:v>
      </x:c>
      <x:c r="G483" s="26" t="str">
        <x:v>TPA EXCLUDED</x:v>
      </x:c>
      <x:c r="H483" s="27" t="n">
        <x:v>224</x:v>
      </x:c>
      <x:c r="I483" s="27" t="n">
        <x:v>28</x:v>
      </x:c>
      <x:c r="J483" s="28" t="n">
        <x:v>1254.5517159769588</x:v>
      </x:c>
      <x:c r="K483" s="26"/>
      <x:c r="L483" s="26" t="str">
        <x:v>insufficient_span_or_epochs</x:v>
      </x:c>
      <x:c r="M483" s="26" t="str">
        <x:v>Present</x:v>
      </x:c>
      <x:c r="N483" s="26" t="str">
        <x:v>Absent from named inventory</x:v>
      </x:c>
      <x:c r="O483" s="26" t="str">
        <x:v>Absent from named inventory</x:v>
      </x:c>
      <x:c r="P483" s="26"/>
      <x:c r="Q483" s="26" t="str">
        <x:v>../Project Recherche Data/tpa-batch01-20260908/selection.json</x:v>
      </x:c>
      <x:c r="R483" s="26" t="str">
        <x:v>047722e4dca24e16c44c810f43990492b2f988012ca2b4bab47826ff4c95f1db</x:v>
      </x:c>
      <x:c r="S483" s="26" t="str">
        <x:v>f2bb648876e87d177762dff0c7486b2c72a0aee8603dd6d1055a6440bfa9d19a</x:v>
      </x:c>
      <x:c r="T483" s="26" t="str">
        <x:v>b3886c98ed9942a40597f802b2672e06198b4fb8f5f04b75736374063be13891</x:v>
      </x:c>
    </x:row>
    <x:row r="484" ht="60" customHeight="1">
      <x:c r="A484" s="26" t="str">
        <x:v>J1817-3618</x:v>
      </x:c>
      <x:c r="B484" s="26" t="str">
        <x:v>B1813-36</x:v>
      </x:c>
      <x:c r="C484" s="26" t="str">
        <x:v>NOT_SEARCHED</x:v>
      </x:c>
      <x:c r="D484" s="26"/>
      <x:c r="E484" s="26" t="str">
        <x:v>No observed search</x:v>
      </x:c>
      <x:c r="F484" s="26" t="str">
        <x:v>Retain exclusion for current scope</x:v>
      </x:c>
      <x:c r="G484" s="26" t="str">
        <x:v>TPA EXCLUDED</x:v>
      </x:c>
      <x:c r="H484" s="27" t="n">
        <x:v>96</x:v>
      </x:c>
      <x:c r="I484" s="27" t="n">
        <x:v>12</x:v>
      </x:c>
      <x:c r="J484" s="28" t="n">
        <x:v>486.59136006465997</x:v>
      </x:c>
      <x:c r="K484" s="26"/>
      <x:c r="L484" s="26" t="str">
        <x:v>insufficient_span_or_epochs</x:v>
      </x:c>
      <x:c r="M484" s="26" t="str">
        <x:v>Absent from named inventory</x:v>
      </x:c>
      <x:c r="N484" s="26" t="str">
        <x:v>Absent from named inventory</x:v>
      </x:c>
      <x:c r="O484" s="26" t="str">
        <x:v>Absent from named inventory</x:v>
      </x:c>
      <x:c r="P484" s="26"/>
      <x:c r="Q484" s="26" t="str">
        <x:v>../Project Recherche Data/tpa-batch01-20260908/selection.json</x:v>
      </x:c>
      <x:c r="R484" s="26" t="str">
        <x:v>047722e4dca24e16c44c810f43990492b2f988012ca2b4bab47826ff4c95f1db</x:v>
      </x:c>
      <x:c r="S484" s="26" t="str">
        <x:v>350b179f1e0ecb454b58a65201b7e06d2c096db1a3d9c45ee6b93c962ef4b68c</x:v>
      </x:c>
      <x:c r="T484" s="26" t="str">
        <x:v>afd5e593a3693c87e076d7732dbacd6391f8f52ae389fa5fd914721933bc730b</x:v>
      </x:c>
    </x:row>
    <x:row r="485" ht="60" customHeight="1">
      <x:c r="A485" s="26" t="str">
        <x:v>J1817-3837</x:v>
      </x:c>
      <x:c r="B485" s="26" t="str"/>
      <x:c r="C485" s="26" t="str">
        <x:v>NOT_SEARCHED</x:v>
      </x:c>
      <x:c r="D485" s="26"/>
      <x:c r="E485" s="26" t="str">
        <x:v>No observed search</x:v>
      </x:c>
      <x:c r="F485" s="26" t="str">
        <x:v>Retain exclusion for current scope</x:v>
      </x:c>
      <x:c r="G485" s="26" t="str">
        <x:v>TPA EXCLUDED</x:v>
      </x:c>
      <x:c r="H485" s="27" t="n">
        <x:v>96</x:v>
      </x:c>
      <x:c r="I485" s="27" t="n">
        <x:v>12</x:v>
      </x:c>
      <x:c r="J485" s="28" t="n">
        <x:v>486.5874034509761</x:v>
      </x:c>
      <x:c r="K485" s="26"/>
      <x:c r="L485" s="26" t="str">
        <x:v>insufficient_span_or_epochs</x:v>
      </x:c>
      <x:c r="M485" s="26" t="str">
        <x:v>Absent from named inventory</x:v>
      </x:c>
      <x:c r="N485" s="26" t="str">
        <x:v>Absent from named inventory</x:v>
      </x:c>
      <x:c r="O485" s="26" t="str">
        <x:v>Absent from named inventory</x:v>
      </x:c>
      <x:c r="P485" s="26"/>
      <x:c r="Q485" s="26" t="str">
        <x:v>../Project Recherche Data/tpa-batch01-20260908/selection.json</x:v>
      </x:c>
      <x:c r="R485" s="26" t="str">
        <x:v>047722e4dca24e16c44c810f43990492b2f988012ca2b4bab47826ff4c95f1db</x:v>
      </x:c>
      <x:c r="S485" s="26" t="str">
        <x:v>e2eeefca882f34f73feab1de7922e4d4230877572d3db7f3a9634b8506d73435</x:v>
      </x:c>
      <x:c r="T485" s="26" t="str">
        <x:v>3c8bf3cae6eed2e336872d70a24ca9f6cd449d359c460dbc262744cb94bba6d7</x:v>
      </x:c>
    </x:row>
    <x:row r="486" ht="60" customHeight="1">
      <x:c r="A486" s="26" t="str">
        <x:v>J1819+1305</x:v>
      </x:c>
      <x:c r="B486" s="26" t="str"/>
      <x:c r="C486" s="26" t="str">
        <x:v>NOT_SEARCHED</x:v>
      </x:c>
      <x:c r="D486" s="26"/>
      <x:c r="E486" s="26" t="str">
        <x:v>No observed search</x:v>
      </x:c>
      <x:c r="F486" s="26" t="str">
        <x:v>Retain exclusion for current scope</x:v>
      </x:c>
      <x:c r="G486" s="26" t="str">
        <x:v>TPA EXCLUDED</x:v>
      </x:c>
      <x:c r="H486" s="27" t="n">
        <x:v>169</x:v>
      </x:c>
      <x:c r="I486" s="27" t="n">
        <x:v>27</x:v>
      </x:c>
      <x:c r="J486" s="28" t="n">
        <x:v>1261.5627059234757</x:v>
      </x:c>
      <x:c r="K486" s="26"/>
      <x:c r="L486" s="26" t="str">
        <x:v>insufficient_span_or_epochs</x:v>
      </x:c>
      <x:c r="M486" s="26" t="str">
        <x:v>Absent from named inventory</x:v>
      </x:c>
      <x:c r="N486" s="26" t="str">
        <x:v>Absent from named inventory</x:v>
      </x:c>
      <x:c r="O486" s="26" t="str">
        <x:v>Absent from named inventory</x:v>
      </x:c>
      <x:c r="P486" s="26"/>
      <x:c r="Q486" s="26" t="str">
        <x:v>../Project Recherche Data/tpa-batch01-20260908/selection.json</x:v>
      </x:c>
      <x:c r="R486" s="26" t="str">
        <x:v>047722e4dca24e16c44c810f43990492b2f988012ca2b4bab47826ff4c95f1db</x:v>
      </x:c>
      <x:c r="S486" s="26" t="str">
        <x:v>317a35a561b43608168fedc512784182e3f0b3b0c79727f95b29fecdd3fb5b48</x:v>
      </x:c>
      <x:c r="T486" s="26" t="str">
        <x:v>df7bc1bcaea29ab47cc40d714aced9585421b8ebf2ca7afc125994e9618788ee</x:v>
      </x:c>
    </x:row>
    <x:row r="487" ht="60" customHeight="1">
      <x:c r="A487" s="26" t="str">
        <x:v>J1819-0925</x:v>
      </x:c>
      <x:c r="B487" s="26" t="str"/>
      <x:c r="C487" s="26" t="str">
        <x:v>NO_TRIGGER</x:v>
      </x:c>
      <x:c r="D487" s="26" t="str">
        <x:v>tpa-batch05-20260908-J1819-0925-run01</x:v>
      </x:c>
      <x:c r="E487" s="26" t="str">
        <x:v>No qualifying signal in eligible 30–400-day cells</x:v>
      </x:c>
      <x:c r="F487" s="26" t="str">
        <x:v>Retain result; consider independent data or a separately defined new scope</x:v>
      </x:c>
      <x:c r="G487" s="26" t="str">
        <x:v>SEARCHED</x:v>
      </x:c>
      <x:c r="H487" s="27" t="n">
        <x:v>416</x:v>
      </x:c>
      <x:c r="I487" s="27" t="n">
        <x:v>52</x:v>
      </x:c>
      <x:c r="J487" s="28" t="n">
        <x:v>1280.1958271610129</x:v>
      </x:c>
      <x:c r="K487" s="26" t="str">
        <x:v>tpa-batch05-20260908</x:v>
      </x:c>
      <x:c r="L487" s="26"/>
      <x:c r="M487" s="26" t="str">
        <x:v>Absent from named inventory</x:v>
      </x:c>
      <x:c r="N487" s="26" t="str">
        <x:v>Absent from named inventory</x:v>
      </x:c>
      <x:c r="O487" s="26" t="str">
        <x:v>Absent from named inventory</x:v>
      </x:c>
      <x:c r="P487" s="26"/>
      <x:c r="Q487" s="26" t="str">
        <x:v>../Project Recherche Data/tpa-batch05-20260908/selection.json</x:v>
      </x:c>
      <x:c r="R487" s="26" t="str">
        <x:v>1212bfb743fa2d3f16f95056ab4d3c2b52ec5dd997358fe385b8fd00313b3907</x:v>
      </x:c>
      <x:c r="S487" s="26" t="str">
        <x:v>58de7713bcaccae3397584a9f245296ddfca993e1beab5ee1be2712b38ffe1fe</x:v>
      </x:c>
      <x:c r="T487" s="26" t="str">
        <x:v>745ff7bd4a14366eac70d83dd651ecb2baffdfbd38293aea963f2f465e5cbd8e</x:v>
      </x:c>
    </x:row>
    <x:row r="488" ht="60" customHeight="1">
      <x:c r="A488" s="26" t="str">
        <x:v>J1819-1114</x:v>
      </x:c>
      <x:c r="B488" s="26" t="str"/>
      <x:c r="C488" s="26" t="str">
        <x:v>NOT_SEARCHED</x:v>
      </x:c>
      <x:c r="D488" s="26"/>
      <x:c r="E488" s="26" t="str">
        <x:v>No observed search</x:v>
      </x:c>
      <x:c r="F488" s="26" t="str">
        <x:v>Retain exclusion for current scope</x:v>
      </x:c>
      <x:c r="G488" s="26" t="str">
        <x:v>TPA EXCLUDED</x:v>
      </x:c>
      <x:c r="H488" s="27" t="n">
        <x:v>214</x:v>
      </x:c>
      <x:c r="I488" s="27" t="n">
        <x:v>27</x:v>
      </x:c>
      <x:c r="J488" s="28" t="n">
        <x:v>1201.6677034613022</x:v>
      </x:c>
      <x:c r="K488" s="26"/>
      <x:c r="L488" s="26" t="str">
        <x:v>insufficient_span_or_epochs</x:v>
      </x:c>
      <x:c r="M488" s="26" t="str">
        <x:v>Present</x:v>
      </x:c>
      <x:c r="N488" s="26" t="str">
        <x:v>Absent from named inventory</x:v>
      </x:c>
      <x:c r="O488" s="26" t="str">
        <x:v>Absent from named inventory</x:v>
      </x:c>
      <x:c r="P488" s="26"/>
      <x:c r="Q488" s="26" t="str">
        <x:v>../Project Recherche Data/tpa-batch01-20260908/selection.json</x:v>
      </x:c>
      <x:c r="R488" s="26" t="str">
        <x:v>047722e4dca24e16c44c810f43990492b2f988012ca2b4bab47826ff4c95f1db</x:v>
      </x:c>
      <x:c r="S488" s="26" t="str">
        <x:v>8cdb300075623d7168789dfec082c7367f5593cb7c570ab421962fe4427b8ff4</x:v>
      </x:c>
      <x:c r="T488" s="26" t="str">
        <x:v>8feb14abab27a518f2d1eaf3e845de5291c83ac52a43e08690d3d53fc5052e14</x:v>
      </x:c>
    </x:row>
    <x:row r="489" ht="60" customHeight="1">
      <x:c r="A489" s="26" t="str">
        <x:v>J1820-0427</x:v>
      </x:c>
      <x:c r="B489" s="26" t="str">
        <x:v>B1818-04</x:v>
      </x:c>
      <x:c r="C489" s="26" t="str">
        <x:v>NO_TRIGGER</x:v>
      </x:c>
      <x:c r="D489" s="26" t="str">
        <x:v>utmost-batch05-20260909-J1820-0427-run01</x:v>
      </x:c>
      <x:c r="E489" s="26" t="str">
        <x:v>No qualifying signal in eligible 30–400-day cells</x:v>
      </x:c>
      <x:c r="F489" s="26" t="str">
        <x:v>Retain result; consider independent data or a separately defined new scope</x:v>
      </x:c>
      <x:c r="G489" s="26" t="str">
        <x:v>UTMOST SEARCHED</x:v>
      </x:c>
      <x:c r="H489" s="27" t="n">
        <x:v>416</x:v>
      </x:c>
      <x:c r="I489" s="27" t="n">
        <x:v>52</x:v>
      </x:c>
      <x:c r="J489" s="28" t="n">
        <x:v>1257.4370583592463</x:v>
      </x:c>
      <x:c r="K489" s="26" t="str">
        <x:v>tpa-batch07-20260908</x:v>
      </x:c>
      <x:c r="L489" s="26"/>
      <x:c r="M489" s="26" t="str">
        <x:v>Present</x:v>
      </x:c>
      <x:c r="N489" s="26" t="str">
        <x:v>Absent from named inventory</x:v>
      </x:c>
      <x:c r="O489" s="26" t="str">
        <x:v>Absent from named inventory</x:v>
      </x:c>
      <x:c r="P489" s="26"/>
      <x:c r="Q489" s="26" t="str">
        <x:v>../Project Recherche Data/tpa-batch07-20260908/selection.json</x:v>
      </x:c>
      <x:c r="R489" s="26" t="str">
        <x:v>a0944d5da0924367a8ed78a56de7826f64b6d517eb7c66fa044c452abc4894a7</x:v>
      </x:c>
      <x:c r="S489" s="26" t="str">
        <x:v>9aa0ca7ccc1d7ea3d719f8ffb7b1ebe448b4b16e426d5d49f742ae02161ec86c</x:v>
      </x:c>
      <x:c r="T489" s="26" t="str">
        <x:v>cad5fb5166048343971a6e13bc01224f535555888cce3ed37008a9a5af3d6108</x:v>
      </x:c>
    </x:row>
    <x:row r="490" ht="60" customHeight="1">
      <x:c r="A490" s="26" t="str">
        <x:v>J1820-0509</x:v>
      </x:c>
      <x:c r="B490" s="26" t="str"/>
      <x:c r="C490" s="26" t="str">
        <x:v>NOT_SEARCHED</x:v>
      </x:c>
      <x:c r="D490" s="26"/>
      <x:c r="E490" s="26" t="str">
        <x:v>No observed search</x:v>
      </x:c>
      <x:c r="F490" s="26" t="str">
        <x:v>Retain exclusion for current scope</x:v>
      </x:c>
      <x:c r="G490" s="26" t="str">
        <x:v>TPA EXCLUDED</x:v>
      </x:c>
      <x:c r="H490" s="27" t="n">
        <x:v>138</x:v>
      </x:c>
      <x:c r="I490" s="27" t="n">
        <x:v>19</x:v>
      </x:c>
      <x:c r="J490" s="28" t="n">
        <x:v>1322.2068559826075</x:v>
      </x:c>
      <x:c r="K490" s="26"/>
      <x:c r="L490" s="26" t="str">
        <x:v>insufficient_span_or_epochs</x:v>
      </x:c>
      <x:c r="M490" s="26" t="str">
        <x:v>Present</x:v>
      </x:c>
      <x:c r="N490" s="26" t="str">
        <x:v>Absent from named inventory</x:v>
      </x:c>
      <x:c r="O490" s="26" t="str">
        <x:v>Absent from named inventory</x:v>
      </x:c>
      <x:c r="P490" s="26"/>
      <x:c r="Q490" s="26" t="str">
        <x:v>../Project Recherche Data/tpa-batch01-20260908/selection.json</x:v>
      </x:c>
      <x:c r="R490" s="26" t="str">
        <x:v>047722e4dca24e16c44c810f43990492b2f988012ca2b4bab47826ff4c95f1db</x:v>
      </x:c>
      <x:c r="S490" s="26" t="str">
        <x:v>bd7d754d4468fbda43ce59a5a52284fa06edc1da4a503f713dcf2eeec4b94880</x:v>
      </x:c>
      <x:c r="T490" s="26" t="str">
        <x:v>226ed0e9cd0c08d55661886203e565b9243d0d5d452e31ec78c5751a5df1024d</x:v>
      </x:c>
    </x:row>
    <x:row r="491" ht="60" customHeight="1">
      <x:c r="A491" s="26" t="str">
        <x:v>J1820-1818</x:v>
      </x:c>
      <x:c r="B491" s="26" t="str">
        <x:v>B1817-18</x:v>
      </x:c>
      <x:c r="C491" s="26" t="str">
        <x:v>NOT_SEARCHED</x:v>
      </x:c>
      <x:c r="D491" s="26"/>
      <x:c r="E491" s="26" t="str">
        <x:v>No observed search</x:v>
      </x:c>
      <x:c r="F491" s="26" t="str">
        <x:v>Retain exclusion for current scope</x:v>
      </x:c>
      <x:c r="G491" s="26" t="str">
        <x:v>TPA EXCLUDED</x:v>
      </x:c>
      <x:c r="H491" s="27" t="n">
        <x:v>208</x:v>
      </x:c>
      <x:c r="I491" s="27" t="n">
        <x:v>26</x:v>
      </x:c>
      <x:c r="J491" s="28" t="n">
        <x:v>1254.5542919977597</x:v>
      </x:c>
      <x:c r="K491" s="26"/>
      <x:c r="L491" s="26" t="str">
        <x:v>insufficient_span_or_epochs</x:v>
      </x:c>
      <x:c r="M491" s="26" t="str">
        <x:v>Present</x:v>
      </x:c>
      <x:c r="N491" s="26" t="str">
        <x:v>Absent from named inventory</x:v>
      </x:c>
      <x:c r="O491" s="26" t="str">
        <x:v>Absent from named inventory</x:v>
      </x:c>
      <x:c r="P491" s="26"/>
      <x:c r="Q491" s="26" t="str">
        <x:v>../Project Recherche Data/tpa-batch01-20260908/selection.json</x:v>
      </x:c>
      <x:c r="R491" s="26" t="str">
        <x:v>047722e4dca24e16c44c810f43990492b2f988012ca2b4bab47826ff4c95f1db</x:v>
      </x:c>
      <x:c r="S491" s="26" t="str">
        <x:v>4f4a03decb60752b00341c26ef1f735bce013c68f839c60835e8ef30267dbdac</x:v>
      </x:c>
      <x:c r="T491" s="26" t="str">
        <x:v>2471ace5e458177b45ff79c9c5e0efda4565e2213f4254788c65ca60ba25783b</x:v>
      </x:c>
    </x:row>
    <x:row r="492" ht="60" customHeight="1">
      <x:c r="A492" s="26" t="str">
        <x:v>J1822-4209</x:v>
      </x:c>
      <x:c r="B492" s="26" t="str"/>
      <x:c r="C492" s="26" t="str">
        <x:v>NO_TRIGGER</x:v>
      </x:c>
      <x:c r="D492" s="26" t="str">
        <x:v>tpa-batch04-20260908-J1822-4209-run01</x:v>
      </x:c>
      <x:c r="E492" s="26" t="str">
        <x:v>No qualifying signal in eligible 30–400-day cells</x:v>
      </x:c>
      <x:c r="F492" s="26" t="str">
        <x:v>Retain result; consider independent data or a separately defined new scope</x:v>
      </x:c>
      <x:c r="G492" s="26" t="str">
        <x:v>SEARCHED</x:v>
      </x:c>
      <x:c r="H492" s="27" t="n">
        <x:v>408</x:v>
      </x:c>
      <x:c r="I492" s="27" t="n">
        <x:v>51</x:v>
      </x:c>
      <x:c r="J492" s="28" t="n">
        <x:v>1232.3377013780992</x:v>
      </x:c>
      <x:c r="K492" s="26" t="str">
        <x:v>tpa-batch04-20260908</x:v>
      </x:c>
      <x:c r="L492" s="26"/>
      <x:c r="M492" s="26" t="str">
        <x:v>Absent from named inventory</x:v>
      </x:c>
      <x:c r="N492" s="26" t="str">
        <x:v>Absent from named inventory</x:v>
      </x:c>
      <x:c r="O492" s="26" t="str">
        <x:v>Absent from named inventory</x:v>
      </x:c>
      <x:c r="P492" s="26"/>
      <x:c r="Q492" s="26" t="str">
        <x:v>../Project Recherche Data/tpa-batch04-20260908/selection.json</x:v>
      </x:c>
      <x:c r="R492" s="26" t="str">
        <x:v>88cb06482cd14a2f65e966c23ca1cdea20fdeb356fd59137885e0ec5f3b47d1a</x:v>
      </x:c>
      <x:c r="S492" s="26" t="str">
        <x:v>0482b43a242c4a46fc8d88f694eb7278c30045bc5fb2e83abfe80ad519729265</x:v>
      </x:c>
      <x:c r="T492" s="26" t="str">
        <x:v>72fb73e78a72c5ff6e470dfe8ef915d2b1798ed0006d60f1e208d95a29be59c7</x:v>
      </x:c>
    </x:row>
    <x:row r="493" ht="60" customHeight="1">
      <x:c r="A493" s="26" t="str">
        <x:v>J1823+0550</x:v>
      </x:c>
      <x:c r="B493" s="26" t="str">
        <x:v>B1821+05</x:v>
      </x:c>
      <x:c r="C493" s="26" t="str">
        <x:v>NO_TRIGGER</x:v>
      </x:c>
      <x:c r="D493" s="26" t="str">
        <x:v>tpa-batch08-20260908-J1823+0550-run01</x:v>
      </x:c>
      <x:c r="E493" s="26" t="str">
        <x:v>No qualifying signal in eligible 30–400-day cells</x:v>
      </x:c>
      <x:c r="F493" s="26" t="str">
        <x:v>Retain result; consider independent data or a separately defined new scope</x:v>
      </x:c>
      <x:c r="G493" s="26" t="str">
        <x:v>SEARCHED</x:v>
      </x:c>
      <x:c r="H493" s="27" t="n">
        <x:v>439</x:v>
      </x:c>
      <x:c r="I493" s="27" t="n">
        <x:v>55</x:v>
      </x:c>
      <x:c r="J493" s="28" t="n">
        <x:v>1280.1960223486167</x:v>
      </x:c>
      <x:c r="K493" s="26" t="str">
        <x:v>tpa-batch08-20260908</x:v>
      </x:c>
      <x:c r="L493" s="26"/>
      <x:c r="M493" s="26" t="str">
        <x:v>Present</x:v>
      </x:c>
      <x:c r="N493" s="26" t="str">
        <x:v>Absent from named inventory</x:v>
      </x:c>
      <x:c r="O493" s="26" t="str">
        <x:v>Absent from named inventory</x:v>
      </x:c>
      <x:c r="P493" s="26"/>
      <x:c r="Q493" s="26" t="str">
        <x:v>../Project Recherche Data/tpa-batch08-20260908/selection.json</x:v>
      </x:c>
      <x:c r="R493" s="26" t="str">
        <x:v>6fe595c0d188861ebc661368dcb361d40c70c01fd3243f0147e51a513ec4e764</x:v>
      </x:c>
      <x:c r="S493" s="26" t="str">
        <x:v>fd8321a8bf6c5b62bf010978952d2296cdc7cbd5f433b950351139eed91a2b7b</x:v>
      </x:c>
      <x:c r="T493" s="26" t="str">
        <x:v>65db89bb664a2a7d9a2cf4d5b69c025cb8cb0b61b9c13955ca1fbe2b858f7540</x:v>
      </x:c>
    </x:row>
    <x:row r="494" ht="60" customHeight="1">
      <x:c r="A494" s="26" t="str">
        <x:v>J1823-0154</x:v>
      </x:c>
      <x:c r="B494" s="26" t="str"/>
      <x:c r="C494" s="26" t="str">
        <x:v>NOT_SEARCHED</x:v>
      </x:c>
      <x:c r="D494" s="26"/>
      <x:c r="E494" s="26" t="str">
        <x:v>No observed search</x:v>
      </x:c>
      <x:c r="F494" s="26" t="str">
        <x:v>Retain exclusion for current scope</x:v>
      </x:c>
      <x:c r="G494" s="26" t="str">
        <x:v>TPA EXCLUDED</x:v>
      </x:c>
      <x:c r="H494" s="27" t="n">
        <x:v>240</x:v>
      </x:c>
      <x:c r="I494" s="27" t="n">
        <x:v>30</x:v>
      </x:c>
      <x:c r="J494" s="28" t="n">
        <x:v>1270.3739219420022</x:v>
      </x:c>
      <x:c r="K494" s="26"/>
      <x:c r="L494" s="26" t="str">
        <x:v>insufficient_span_or_epochs</x:v>
      </x:c>
      <x:c r="M494" s="26" t="str">
        <x:v>Present</x:v>
      </x:c>
      <x:c r="N494" s="26" t="str">
        <x:v>Absent from named inventory</x:v>
      </x:c>
      <x:c r="O494" s="26" t="str">
        <x:v>Absent from named inventory</x:v>
      </x:c>
      <x:c r="P494" s="26"/>
      <x:c r="Q494" s="26" t="str">
        <x:v>../Project Recherche Data/tpa-batch01-20260908/selection.json</x:v>
      </x:c>
      <x:c r="R494" s="26" t="str">
        <x:v>047722e4dca24e16c44c810f43990492b2f988012ca2b4bab47826ff4c95f1db</x:v>
      </x:c>
      <x:c r="S494" s="26" t="str">
        <x:v>b9c5949e3f236dc7a256ac9492ed1c32a6f315a30bb25a1cbd23356ac2a05325</x:v>
      </x:c>
      <x:c r="T494" s="26" t="str">
        <x:v>5b5d64ec9ad5d4e900c783bd267e8c4fb9cb226af3691a72a70f676dc896da23</x:v>
      </x:c>
    </x:row>
    <x:row r="495" ht="60" customHeight="1">
      <x:c r="A495" s="26" t="str">
        <x:v>J1823-3106</x:v>
      </x:c>
      <x:c r="B495" s="26" t="str">
        <x:v>B1820-31</x:v>
      </x:c>
      <x:c r="C495" s="26" t="str">
        <x:v>NOT_SEARCHED</x:v>
      </x:c>
      <x:c r="D495" s="26"/>
      <x:c r="E495" s="26" t="str">
        <x:v>No observed search</x:v>
      </x:c>
      <x:c r="F495" s="26" t="str">
        <x:v>Retain exclusion for current scope</x:v>
      </x:c>
      <x:c r="G495" s="26" t="str">
        <x:v>TPA EXCLUDED</x:v>
      </x:c>
      <x:c r="H495" s="27" t="n">
        <x:v>96</x:v>
      </x:c>
      <x:c r="I495" s="27" t="n">
        <x:v>12</x:v>
      </x:c>
      <x:c r="J495" s="28" t="n">
        <x:v>486.5775655769248</x:v>
      </x:c>
      <x:c r="K495" s="26"/>
      <x:c r="L495" s="26" t="str">
        <x:v>insufficient_span_or_epochs</x:v>
      </x:c>
      <x:c r="M495" s="26" t="str">
        <x:v>Present</x:v>
      </x:c>
      <x:c r="N495" s="26" t="str">
        <x:v>Absent from named inventory</x:v>
      </x:c>
      <x:c r="O495" s="26" t="str">
        <x:v>Absent from named inventory</x:v>
      </x:c>
      <x:c r="P495" s="26"/>
      <x:c r="Q495" s="26" t="str">
        <x:v>../Project Recherche Data/tpa-batch01-20260908/selection.json</x:v>
      </x:c>
      <x:c r="R495" s="26" t="str">
        <x:v>047722e4dca24e16c44c810f43990492b2f988012ca2b4bab47826ff4c95f1db</x:v>
      </x:c>
      <x:c r="S495" s="26" t="str">
        <x:v>584cc40c296bfa22068ad4eb8d03a142a427df63faec33614205fe156ab56f4d</x:v>
      </x:c>
      <x:c r="T495" s="26" t="str">
        <x:v>8e992850bfd8cdbee3ac8818b2caa66f8adfd4bfc4f8d3efcf739c387c76ab76</x:v>
      </x:c>
    </x:row>
    <x:row r="496" ht="60" customHeight="1">
      <x:c r="A496" s="26" t="str">
        <x:v>J1824-0127</x:v>
      </x:c>
      <x:c r="B496" s="26" t="str"/>
      <x:c r="C496" s="26" t="str">
        <x:v>NOT_SEARCHED</x:v>
      </x:c>
      <x:c r="D496" s="26"/>
      <x:c r="E496" s="26" t="str">
        <x:v>No observed search</x:v>
      </x:c>
      <x:c r="F496" s="26" t="str">
        <x:v>Retain exclusion for current scope</x:v>
      </x:c>
      <x:c r="G496" s="26" t="str">
        <x:v>TPA EXCLUDED</x:v>
      </x:c>
      <x:c r="H496" s="27" t="n">
        <x:v>216</x:v>
      </x:c>
      <x:c r="I496" s="27" t="n">
        <x:v>27</x:v>
      </x:c>
      <x:c r="J496" s="28" t="n">
        <x:v>1108.0405483835202</x:v>
      </x:c>
      <x:c r="K496" s="26"/>
      <x:c r="L496" s="26" t="str">
        <x:v>insufficient_span_or_epochs</x:v>
      </x:c>
      <x:c r="M496" s="26" t="str">
        <x:v>Present</x:v>
      </x:c>
      <x:c r="N496" s="26" t="str">
        <x:v>Absent from named inventory</x:v>
      </x:c>
      <x:c r="O496" s="26" t="str">
        <x:v>Absent from named inventory</x:v>
      </x:c>
      <x:c r="P496" s="26"/>
      <x:c r="Q496" s="26" t="str">
        <x:v>../Project Recherche Data/tpa-batch01-20260908/selection.json</x:v>
      </x:c>
      <x:c r="R496" s="26" t="str">
        <x:v>047722e4dca24e16c44c810f43990492b2f988012ca2b4bab47826ff4c95f1db</x:v>
      </x:c>
      <x:c r="S496" s="26" t="str">
        <x:v>45d4b29ac5c822a4b1db80e06090fe1e863d9b91e3d1285e6b3e675d6c546115</x:v>
      </x:c>
      <x:c r="T496" s="26" t="str">
        <x:v>9a9a14dcc36277d175c81921b15895dc9d01928618d97f152db8a4afdb564c9d</x:v>
      </x:c>
    </x:row>
    <x:row r="497" ht="60" customHeight="1">
      <x:c r="A497" s="26" t="str">
        <x:v>J1824-1945</x:v>
      </x:c>
      <x:c r="B497" s="26" t="str">
        <x:v>B1821-19</x:v>
      </x:c>
      <x:c r="C497" s="26" t="str">
        <x:v>NO_TRIGGER</x:v>
      </x:c>
      <x:c r="D497" s="26" t="str">
        <x:v>utmost-batch03-20260909-J1824-1945-run01</x:v>
      </x:c>
      <x:c r="E497" s="26" t="str">
        <x:v>No qualifying signal in eligible 30–400-day cells</x:v>
      </x:c>
      <x:c r="F497" s="26" t="str">
        <x:v>Retain result; consider independent data or a separately defined new scope</x:v>
      </x:c>
      <x:c r="G497" s="26" t="str">
        <x:v>UTMOST SEARCHED</x:v>
      </x:c>
      <x:c r="H497" s="27" t="n">
        <x:v>80</x:v>
      </x:c>
      <x:c r="I497" s="27" t="n">
        <x:v>10</x:v>
      </x:c>
      <x:c r="J497" s="28" t="n">
        <x:v>486.5749530373723</x:v>
      </x:c>
      <x:c r="K497" s="26"/>
      <x:c r="L497" s="26" t="str">
        <x:v>insufficient_span_or_epochs</x:v>
      </x:c>
      <x:c r="M497" s="26" t="str">
        <x:v>Present</x:v>
      </x:c>
      <x:c r="N497" s="26" t="str">
        <x:v>Absent from named inventory</x:v>
      </x:c>
      <x:c r="O497" s="26" t="str">
        <x:v>Absent from named inventory</x:v>
      </x:c>
      <x:c r="P497" s="26"/>
      <x:c r="Q497" s="26" t="str">
        <x:v>../Project Recherche Data/tpa-batch01-20260908/selection.json</x:v>
      </x:c>
      <x:c r="R497" s="26" t="str">
        <x:v>047722e4dca24e16c44c810f43990492b2f988012ca2b4bab47826ff4c95f1db</x:v>
      </x:c>
      <x:c r="S497" s="26" t="str">
        <x:v>786400e2e289707676f460e9da22f43839e11838047be93b3544f27a58acdfd9</x:v>
      </x:c>
      <x:c r="T497" s="26" t="str">
        <x:v>f6b3e903fe97383fc1f573b475adf31869d29fea61b57076fd500b3cb97015b8</x:v>
      </x:c>
    </x:row>
    <x:row r="498" ht="60" customHeight="1">
      <x:c r="A498" s="26" t="str">
        <x:v>J1825+0004</x:v>
      </x:c>
      <x:c r="B498" s="26" t="str">
        <x:v>B1822+00</x:v>
      </x:c>
      <x:c r="C498" s="26" t="str">
        <x:v>NOT_SEARCHED</x:v>
      </x:c>
      <x:c r="D498" s="26"/>
      <x:c r="E498" s="26" t="str">
        <x:v>No observed search</x:v>
      </x:c>
      <x:c r="F498" s="26" t="str">
        <x:v>Retain exclusion for current scope</x:v>
      </x:c>
      <x:c r="G498" s="26" t="str">
        <x:v>TPA EXCLUDED</x:v>
      </x:c>
      <x:c r="H498" s="27" t="n">
        <x:v>408</x:v>
      </x:c>
      <x:c r="I498" s="27" t="n">
        <x:v>51</x:v>
      </x:c>
      <x:c r="J498" s="28" t="n">
        <x:v>1107.8660362713708</x:v>
      </x:c>
      <x:c r="K498" s="26"/>
      <x:c r="L498" s="26" t="str">
        <x:v>insufficient_span_or_epochs</x:v>
      </x:c>
      <x:c r="M498" s="26" t="str">
        <x:v>Present</x:v>
      </x:c>
      <x:c r="N498" s="26" t="str">
        <x:v>Absent from named inventory</x:v>
      </x:c>
      <x:c r="O498" s="26" t="str">
        <x:v>Absent from named inventory</x:v>
      </x:c>
      <x:c r="P498" s="26"/>
      <x:c r="Q498" s="26" t="str">
        <x:v>../Project Recherche Data/tpa-batch01-20260908/selection.json</x:v>
      </x:c>
      <x:c r="R498" s="26" t="str">
        <x:v>047722e4dca24e16c44c810f43990492b2f988012ca2b4bab47826ff4c95f1db</x:v>
      </x:c>
      <x:c r="S498" s="26" t="str">
        <x:v>8ce21c17f0ab6505d9760c49f7451bbf564b3a11770d59e7a950ad8e476fdf58</x:v>
      </x:c>
      <x:c r="T498" s="26" t="str">
        <x:v>b47a2e4b0948e6855431480ffd02a8405f9265afba5979b02cdaa43952329484</x:v>
      </x:c>
    </x:row>
    <x:row r="499" ht="39.599998474121094" hidden="0" customHeight="1">
      <x:c r="A499" s="26" t="str">
        <x:v>J1825-0935</x:v>
      </x:c>
      <x:c r="B499" s="26" t="str">
        <x:v>B1822-09</x:v>
      </x:c>
      <x:c r="C499" s="26" t="str">
        <x:v>NO_TRIGGER</x:v>
      </x:c>
      <x:c r="D499" s="26" t="str">
        <x:v>tpa-batch09-20260908-J1825-0935-run01</x:v>
      </x:c>
      <x:c r="E499" s="26" t="str">
        <x:v>No qualifying signal in eligible 30–400-day cells</x:v>
      </x:c>
      <x:c r="F499" s="26" t="str">
        <x:v>UTMOST DR1 deferred: DE405 and legacy T2CMETHOD TEMPO are not faithfully supported. Prior dataset results remain valid. Revisit only with a compatible timing runtime.</x:v>
      </x:c>
      <x:c r="G499" s="26" t="str">
        <x:v>SEARCHED</x:v>
      </x:c>
      <x:c r="H499" s="27" t="n">
        <x:v>456</x:v>
      </x:c>
      <x:c r="I499" s="27" t="n">
        <x:v>57</x:v>
      </x:c>
      <x:c r="J499" s="28" t="n">
        <x:v>1469.8326648242728</x:v>
      </x:c>
      <x:c r="K499" s="26" t="str">
        <x:v>tpa-batch09-20260908</x:v>
      </x:c>
      <x:c r="L499" s="26"/>
      <x:c r="M499" s="26" t="str">
        <x:v>Present</x:v>
      </x:c>
      <x:c r="N499" s="26" t="str">
        <x:v>Absent from named inventory</x:v>
      </x:c>
      <x:c r="O499" s="26" t="str">
        <x:v>Absent from named inventory</x:v>
      </x:c>
      <x:c r="P499" s="26"/>
      <x:c r="Q499" s="26" t="str">
        <x:v>../Project Recherche Data/tpa-batch09-20260908/selection.json</x:v>
      </x:c>
      <x:c r="R499" s="26" t="str">
        <x:v>395304d24c4ccc368723e19c91081b318fa94afe187f103f7b2ae19ebdbfa4d6</x:v>
      </x:c>
      <x:c r="S499" s="26" t="str">
        <x:v>a16f592a49e2e8e1a585d7f7262f64311250b60a7fe559049ae5c1231c5c7a1f</x:v>
      </x:c>
      <x:c r="T499" s="26" t="str">
        <x:v>f7b63128db9b34933d53d370d73852bf7f43f824b89ff629c3df0728ddbb01cc</x:v>
      </x:c>
    </x:row>
    <x:row r="500" ht="60" customHeight="1">
      <x:c r="A500" s="26" t="str">
        <x:v>J1825-1446</x:v>
      </x:c>
      <x:c r="B500" s="26" t="str">
        <x:v>B1822-14</x:v>
      </x:c>
      <x:c r="C500" s="26" t="str">
        <x:v>NO_TRIGGER</x:v>
      </x:c>
      <x:c r="D500" s="26" t="str">
        <x:v>tpa-batch09-20260908-J1825-1446-run01</x:v>
      </x:c>
      <x:c r="E500" s="26" t="str">
        <x:v>No qualifying signal in eligible 30–400-day cells</x:v>
      </x:c>
      <x:c r="F500" s="26" t="str">
        <x:v>Retain result; consider independent data or a separately defined new scope</x:v>
      </x:c>
      <x:c r="G500" s="26" t="str">
        <x:v>SEARCHED</x:v>
      </x:c>
      <x:c r="H500" s="27" t="n">
        <x:v>376</x:v>
      </x:c>
      <x:c r="I500" s="27" t="n">
        <x:v>47</x:v>
      </x:c>
      <x:c r="J500" s="28" t="n">
        <x:v>1257.4364895103572</x:v>
      </x:c>
      <x:c r="K500" s="26" t="str">
        <x:v>tpa-batch09-20260908</x:v>
      </x:c>
      <x:c r="L500" s="26"/>
      <x:c r="M500" s="26" t="str">
        <x:v>Present</x:v>
      </x:c>
      <x:c r="N500" s="26" t="str">
        <x:v>Absent from named inventory</x:v>
      </x:c>
      <x:c r="O500" s="26" t="str">
        <x:v>Absent from named inventory</x:v>
      </x:c>
      <x:c r="P500" s="26"/>
      <x:c r="Q500" s="26" t="str">
        <x:v>../Project Recherche Data/tpa-batch09-20260908/selection.json</x:v>
      </x:c>
      <x:c r="R500" s="26" t="str">
        <x:v>395304d24c4ccc368723e19c91081b318fa94afe187f103f7b2ae19ebdbfa4d6</x:v>
      </x:c>
      <x:c r="S500" s="26" t="str">
        <x:v>fe1566c8041ff3be600928b2a580383d7091680736789c40cd7d9dcc23ed1a79</x:v>
      </x:c>
      <x:c r="T500" s="26" t="str">
        <x:v>22e4d1bfff0dff03328f08c327d31e3af36b18724688ccf789b8a53081c0f658</x:v>
      </x:c>
    </x:row>
    <x:row r="501" ht="60" customHeight="1">
      <x:c r="A501" s="26" t="str">
        <x:v>J1826-1131</x:v>
      </x:c>
      <x:c r="B501" s="26" t="str">
        <x:v>B1823-11</x:v>
      </x:c>
      <x:c r="C501" s="26" t="str">
        <x:v>NOT_SEARCHED</x:v>
      </x:c>
      <x:c r="D501" s="26"/>
      <x:c r="E501" s="26" t="str">
        <x:v>No observed search</x:v>
      </x:c>
      <x:c r="F501" s="26" t="str">
        <x:v>Retain exclusion for current scope</x:v>
      </x:c>
      <x:c r="G501" s="26" t="str">
        <x:v>TPA EXCLUDED</x:v>
      </x:c>
      <x:c r="H501" s="27" t="n">
        <x:v>224</x:v>
      </x:c>
      <x:c r="I501" s="27" t="n">
        <x:v>28</x:v>
      </x:c>
      <x:c r="J501" s="28" t="n">
        <x:v>1254.5445073692026</x:v>
      </x:c>
      <x:c r="K501" s="26"/>
      <x:c r="L501" s="26" t="str">
        <x:v>insufficient_span_or_epochs</x:v>
      </x:c>
      <x:c r="M501" s="26" t="str">
        <x:v>Present</x:v>
      </x:c>
      <x:c r="N501" s="26" t="str">
        <x:v>Absent from named inventory</x:v>
      </x:c>
      <x:c r="O501" s="26" t="str">
        <x:v>Absent from named inventory</x:v>
      </x:c>
      <x:c r="P501" s="26"/>
      <x:c r="Q501" s="26" t="str">
        <x:v>../Project Recherche Data/tpa-batch01-20260908/selection.json</x:v>
      </x:c>
      <x:c r="R501" s="26" t="str">
        <x:v>047722e4dca24e16c44c810f43990492b2f988012ca2b4bab47826ff4c95f1db</x:v>
      </x:c>
      <x:c r="S501" s="26" t="str">
        <x:v>f5923ad11ca42907002be284821d81aa8a80d1dd8acb626cba79f90ed3f7f6f8</x:v>
      </x:c>
      <x:c r="T501" s="26" t="str">
        <x:v>b64f73067e4fa81455d9df8a3ced116576d067e07940aa8ce764bb8087199c05</x:v>
      </x:c>
    </x:row>
    <x:row r="502" ht="60" customHeight="1">
      <x:c r="A502" s="26" t="str">
        <x:v>J1826-1334</x:v>
      </x:c>
      <x:c r="B502" s="26" t="str">
        <x:v>B1823-13</x:v>
      </x:c>
      <x:c r="C502" s="26" t="str">
        <x:v>NOT_SEARCHED</x:v>
      </x:c>
      <x:c r="D502" s="26"/>
      <x:c r="E502" s="26" t="str">
        <x:v>No observed search</x:v>
      </x:c>
      <x:c r="F502" s="26" t="str">
        <x:v>Retain exclusion for current scope</x:v>
      </x:c>
      <x:c r="G502" s="26" t="str">
        <x:v>TPA EXCLUDED</x:v>
      </x:c>
      <x:c r="H502" s="27" t="n">
        <x:v>96</x:v>
      </x:c>
      <x:c r="I502" s="27" t="n">
        <x:v>12</x:v>
      </x:c>
      <x:c r="J502" s="28" t="n">
        <x:v>486.55598372087115</x:v>
      </x:c>
      <x:c r="K502" s="26"/>
      <x:c r="L502" s="26" t="str">
        <x:v>published_glitch, insufficient_span_or_epochs</x:v>
      </x:c>
      <x:c r="M502" s="26" t="str">
        <x:v>Present</x:v>
      </x:c>
      <x:c r="N502" s="26" t="str">
        <x:v>Absent from named inventory</x:v>
      </x:c>
      <x:c r="O502" s="26" t="str">
        <x:v>Absent from named inventory</x:v>
      </x:c>
      <x:c r="P502" s="26"/>
      <x:c r="Q502" s="26" t="str">
        <x:v>../Project Recherche Data/tpa-batch01-20260908/selection.json</x:v>
      </x:c>
      <x:c r="R502" s="26" t="str">
        <x:v>047722e4dca24e16c44c810f43990492b2f988012ca2b4bab47826ff4c95f1db</x:v>
      </x:c>
      <x:c r="S502" s="26" t="str">
        <x:v>d3ecd0ebb45bb4bec6d7d236cd3080d2faa8541793709d32d60abb24e46f183c</x:v>
      </x:c>
      <x:c r="T502" s="26" t="str">
        <x:v>7dc7d8265af69721c294178ac109c89c694bf40dd37a65c641a744df0c180064</x:v>
      </x:c>
    </x:row>
    <x:row r="503" ht="60" customHeight="1">
      <x:c r="A503" s="26" t="str">
        <x:v>J1827-0750</x:v>
      </x:c>
      <x:c r="B503" s="26" t="str"/>
      <x:c r="C503" s="26" t="str">
        <x:v>NO_TRIGGER</x:v>
      </x:c>
      <x:c r="D503" s="26" t="str">
        <x:v>tpa-batch10-20260908-J1827-0750-run01</x:v>
      </x:c>
      <x:c r="E503" s="26" t="str">
        <x:v>No qualifying signal in eligible 30–400-day cells</x:v>
      </x:c>
      <x:c r="F503" s="26" t="str">
        <x:v>Retain result; consider independent data or a separately defined new scope</x:v>
      </x:c>
      <x:c r="G503" s="26" t="str">
        <x:v>SEARCHED</x:v>
      </x:c>
      <x:c r="H503" s="27" t="n">
        <x:v>432</x:v>
      </x:c>
      <x:c r="I503" s="27" t="n">
        <x:v>54</x:v>
      </x:c>
      <x:c r="J503" s="28" t="n">
        <x:v>1280.2440827269602</x:v>
      </x:c>
      <x:c r="K503" s="26" t="str">
        <x:v>tpa-batch10-20260908</x:v>
      </x:c>
      <x:c r="L503" s="26"/>
      <x:c r="M503" s="26" t="str">
        <x:v>Present</x:v>
      </x:c>
      <x:c r="N503" s="26" t="str">
        <x:v>Absent from named inventory</x:v>
      </x:c>
      <x:c r="O503" s="26" t="str">
        <x:v>Absent from named inventory</x:v>
      </x:c>
      <x:c r="P503" s="26"/>
      <x:c r="Q503" s="26" t="str">
        <x:v>../Project Recherche Data/tpa-batch10-20260908/selection.json</x:v>
      </x:c>
      <x:c r="R503" s="26" t="str">
        <x:v>f291b1f7787d65b8a00b6e0862fccba716fb6a5f33f3265ceaca9fa5b1fd2c2a</x:v>
      </x:c>
      <x:c r="S503" s="26" t="str">
        <x:v>aafabba20cf5610ae554f22c52f610c060b17ddad0bcbdfa60d63b457c15846a</x:v>
      </x:c>
      <x:c r="T503" s="26" t="str">
        <x:v>630a0cf2aaf4c60163180569894ba349e8a01a29dc09e5b5ed765433dc9982de</x:v>
      </x:c>
    </x:row>
    <x:row r="504" ht="60" customHeight="1">
      <x:c r="A504" s="26" t="str">
        <x:v>J1828-0611</x:v>
      </x:c>
      <x:c r="B504" s="26" t="str"/>
      <x:c r="C504" s="26" t="str">
        <x:v>NOT_SEARCHED</x:v>
      </x:c>
      <x:c r="D504" s="26"/>
      <x:c r="E504" s="26" t="str">
        <x:v>No observed search</x:v>
      </x:c>
      <x:c r="F504" s="26" t="str">
        <x:v>Retain exclusion for current scope</x:v>
      </x:c>
      <x:c r="G504" s="26" t="str">
        <x:v>TPA EXCLUDED</x:v>
      </x:c>
      <x:c r="H504" s="27" t="n">
        <x:v>240</x:v>
      </x:c>
      <x:c r="I504" s="27" t="n">
        <x:v>30</x:v>
      </x:c>
      <x:c r="J504" s="28" t="n">
        <x:v>1270.408094944556</x:v>
      </x:c>
      <x:c r="K504" s="26"/>
      <x:c r="L504" s="26" t="str">
        <x:v>insufficient_span_or_epochs</x:v>
      </x:c>
      <x:c r="M504" s="26" t="str">
        <x:v>Absent from named inventory</x:v>
      </x:c>
      <x:c r="N504" s="26" t="str">
        <x:v>Absent from named inventory</x:v>
      </x:c>
      <x:c r="O504" s="26" t="str">
        <x:v>Absent from named inventory</x:v>
      </x:c>
      <x:c r="P504" s="26"/>
      <x:c r="Q504" s="26" t="str">
        <x:v>../Project Recherche Data/tpa-batch01-20260908/selection.json</x:v>
      </x:c>
      <x:c r="R504" s="26" t="str">
        <x:v>047722e4dca24e16c44c810f43990492b2f988012ca2b4bab47826ff4c95f1db</x:v>
      </x:c>
      <x:c r="S504" s="26" t="str">
        <x:v>cd77eb34923554951984d5a704d2d87f28e3c1156504e26a5be27f42a277fdbd</x:v>
      </x:c>
      <x:c r="T504" s="26" t="str">
        <x:v>72f050bc726c37b4069ddcc4eb7050b3bb4588f57593d069fe3550cb5306cca1</x:v>
      </x:c>
    </x:row>
    <x:row r="505" ht="60" customHeight="1">
      <x:c r="A505" s="26" t="str">
        <x:v>J1828-1101</x:v>
      </x:c>
      <x:c r="B505" s="26" t="str"/>
      <x:c r="C505" s="26" t="str">
        <x:v>NO_TRIGGER</x:v>
      </x:c>
      <x:c r="D505" s="26" t="str">
        <x:v>tpa-batch09-20260908-J1828-1101-run01</x:v>
      </x:c>
      <x:c r="E505" s="26" t="str">
        <x:v>No qualifying signal in eligible 30–400-day cells</x:v>
      </x:c>
      <x:c r="F505" s="26" t="str">
        <x:v>Retain result; consider independent data or a separately defined new scope</x:v>
      </x:c>
      <x:c r="G505" s="26" t="str">
        <x:v>SEARCHED</x:v>
      </x:c>
      <x:c r="H505" s="27" t="n">
        <x:v>592</x:v>
      </x:c>
      <x:c r="I505" s="27" t="n">
        <x:v>74</x:v>
      </x:c>
      <x:c r="J505" s="28" t="n">
        <x:v>1257.4327530386872</x:v>
      </x:c>
      <x:c r="K505" s="26" t="str">
        <x:v>tpa-batch09-20260908</x:v>
      </x:c>
      <x:c r="L505" s="26"/>
      <x:c r="M505" s="26" t="str">
        <x:v>Present</x:v>
      </x:c>
      <x:c r="N505" s="26" t="str">
        <x:v>Absent from named inventory</x:v>
      </x:c>
      <x:c r="O505" s="26" t="str">
        <x:v>Absent from named inventory</x:v>
      </x:c>
      <x:c r="P505" s="26"/>
      <x:c r="Q505" s="26" t="str">
        <x:v>../Project Recherche Data/tpa-batch09-20260908/selection.json</x:v>
      </x:c>
      <x:c r="R505" s="26" t="str">
        <x:v>395304d24c4ccc368723e19c91081b318fa94afe187f103f7b2ae19ebdbfa4d6</x:v>
      </x:c>
      <x:c r="S505" s="26" t="str">
        <x:v>0b84eb4c67ecba6e66aa80662739b56b4b591b4c38636d0b6f918f028297545f</x:v>
      </x:c>
      <x:c r="T505" s="26" t="str">
        <x:v>726a6c0682cb86ad864b97d2cddb3480d51af0b312e5597df5193db784273dfe</x:v>
      </x:c>
    </x:row>
    <x:row r="506" ht="60" customHeight="1">
      <x:c r="A506" s="26" t="str">
        <x:v>J1829-0734</x:v>
      </x:c>
      <x:c r="B506" s="26" t="str"/>
      <x:c r="C506" s="26" t="str">
        <x:v>NOT_SEARCHED</x:v>
      </x:c>
      <x:c r="D506" s="26"/>
      <x:c r="E506" s="26" t="str">
        <x:v>No observed search</x:v>
      </x:c>
      <x:c r="F506" s="26" t="str">
        <x:v>Retain exclusion for current scope</x:v>
      </x:c>
      <x:c r="G506" s="26" t="str">
        <x:v>TPA EXCLUDED</x:v>
      </x:c>
      <x:c r="H506" s="27" t="n">
        <x:v>264</x:v>
      </x:c>
      <x:c r="I506" s="27" t="n">
        <x:v>33</x:v>
      </x:c>
      <x:c r="J506" s="28" t="n">
        <x:v>1412.102823746689</x:v>
      </x:c>
      <x:c r="K506" s="26"/>
      <x:c r="L506" s="26" t="str">
        <x:v>insufficient_span_or_epochs</x:v>
      </x:c>
      <x:c r="M506" s="26" t="str">
        <x:v>Absent from named inventory</x:v>
      </x:c>
      <x:c r="N506" s="26" t="str">
        <x:v>Absent from named inventory</x:v>
      </x:c>
      <x:c r="O506" s="26" t="str">
        <x:v>Absent from named inventory</x:v>
      </x:c>
      <x:c r="P506" s="26"/>
      <x:c r="Q506" s="26" t="str">
        <x:v>../Project Recherche Data/tpa-batch01-20260908/selection.json</x:v>
      </x:c>
      <x:c r="R506" s="26" t="str">
        <x:v>047722e4dca24e16c44c810f43990492b2f988012ca2b4bab47826ff4c95f1db</x:v>
      </x:c>
      <x:c r="S506" s="26" t="str">
        <x:v>4de56aa4400cf9719c96a104e02a00ed9fa3dccaf7d51a307f7be527d8adb61b</x:v>
      </x:c>
      <x:c r="T506" s="26" t="str">
        <x:v>665167bc6798757587d3f022a6d7891ed38e492560a1c9fd5a926d9262e9b4a1</x:v>
      </x:c>
    </x:row>
    <x:row r="507" ht="60" customHeight="1">
      <x:c r="A507" s="26" t="str">
        <x:v>J1829-1751</x:v>
      </x:c>
      <x:c r="B507" s="26" t="str">
        <x:v>B1826-17</x:v>
      </x:c>
      <x:c r="C507" s="26" t="str">
        <x:v>NO_TRIGGER</x:v>
      </x:c>
      <x:c r="D507" s="26" t="str">
        <x:v>utmost-batch04-20260909-J1829-1751-run01</x:v>
      </x:c>
      <x:c r="E507" s="26" t="str">
        <x:v>No qualifying signal in eligible 30–400-day cells</x:v>
      </x:c>
      <x:c r="F507" s="26" t="str">
        <x:v>Retain result; consider independent data or a separately defined new scope</x:v>
      </x:c>
      <x:c r="G507" s="26" t="str">
        <x:v>UTMOST SEARCHED</x:v>
      </x:c>
      <x:c r="H507" s="27" t="n">
        <x:v>400</x:v>
      </x:c>
      <x:c r="I507" s="27" t="n">
        <x:v>50</x:v>
      </x:c>
      <x:c r="J507" s="28" t="n">
        <x:v>1488.7473464465584</x:v>
      </x:c>
      <x:c r="K507" s="26" t="str">
        <x:v>TPA batch 01</x:v>
      </x:c>
      <x:c r="L507" s="26"/>
      <x:c r="M507" s="26" t="str">
        <x:v>Absent from named inventory</x:v>
      </x:c>
      <x:c r="N507" s="26" t="str">
        <x:v>Absent from named inventory</x:v>
      </x:c>
      <x:c r="O507" s="26" t="str">
        <x:v>Absent from named inventory</x:v>
      </x:c>
      <x:c r="P507" s="26"/>
      <x:c r="Q507" s="26" t="str">
        <x:v>../Project Recherche Data/tpa-batch01-20260908/selection.json</x:v>
      </x:c>
      <x:c r="R507" s="26" t="str">
        <x:v>047722e4dca24e16c44c810f43990492b2f988012ca2b4bab47826ff4c95f1db</x:v>
      </x:c>
      <x:c r="S507" s="26" t="str">
        <x:v>9d236df752715482b8b50a9d6b8a30a68db48846516da30b2dc354faf4013dad</x:v>
      </x:c>
      <x:c r="T507" s="26" t="str">
        <x:v>b474e46a80c8ed05226e9f215e7d9277b33eb0bda570a61d0f337791cfa8d5ed</x:v>
      </x:c>
    </x:row>
    <x:row r="508" ht="60" customHeight="1">
      <x:c r="A508" s="26" t="str">
        <x:v>J1830-0131</x:v>
      </x:c>
      <x:c r="B508" s="26" t="str"/>
      <x:c r="C508" s="26" t="str">
        <x:v>NOT_SEARCHED</x:v>
      </x:c>
      <x:c r="D508" s="26"/>
      <x:c r="E508" s="26" t="str">
        <x:v>No observed search</x:v>
      </x:c>
      <x:c r="F508" s="26" t="str">
        <x:v>Retain exclusion for current scope</x:v>
      </x:c>
      <x:c r="G508" s="26" t="str">
        <x:v>TPA EXCLUDED</x:v>
      </x:c>
      <x:c r="H508" s="27" t="n">
        <x:v>104</x:v>
      </x:c>
      <x:c r="I508" s="27" t="n">
        <x:v>13</x:v>
      </x:c>
      <x:c r="J508" s="28" t="n">
        <x:v>651.128276670046</x:v>
      </x:c>
      <x:c r="K508" s="26"/>
      <x:c r="L508" s="26" t="str">
        <x:v>harmonic_timing_convention, insufficient_span_or_epochs</x:v>
      </x:c>
      <x:c r="M508" s="26" t="str">
        <x:v>Present</x:v>
      </x:c>
      <x:c r="N508" s="26" t="str">
        <x:v>Absent from named inventory</x:v>
      </x:c>
      <x:c r="O508" s="26" t="str">
        <x:v>Absent from named inventory</x:v>
      </x:c>
      <x:c r="P508" s="26"/>
      <x:c r="Q508" s="26" t="str">
        <x:v>../Project Recherche Data/tpa-batch01-20260908/selection.json</x:v>
      </x:c>
      <x:c r="R508" s="26" t="str">
        <x:v>047722e4dca24e16c44c810f43990492b2f988012ca2b4bab47826ff4c95f1db</x:v>
      </x:c>
      <x:c r="S508" s="26" t="str">
        <x:v>47f83a9b7062292c74a30e447e2d55c58d35bae10798bb1b2e39f6c5e2e8cfef</x:v>
      </x:c>
      <x:c r="T508" s="26" t="str">
        <x:v>2e2278efff5da6d6faf250aa7d2a5c4b000a0aa23dcedd878839587aa2ab16a2</x:v>
      </x:c>
    </x:row>
    <x:row r="509" ht="60" customHeight="1">
      <x:c r="A509" s="26" t="str">
        <x:v>J1830-1059</x:v>
      </x:c>
      <x:c r="B509" s="26" t="str">
        <x:v>B1828-11</x:v>
      </x:c>
      <x:c r="C509" s="26" t="str">
        <x:v>NO_TRIGGER</x:v>
      </x:c>
      <x:c r="D509" s="26" t="str">
        <x:v>tpa-batch09-20260908-J1830-1059-run01</x:v>
      </x:c>
      <x:c r="E509" s="26" t="str">
        <x:v>No qualifying signal in eligible 30–400-day cells</x:v>
      </x:c>
      <x:c r="F509" s="26" t="str">
        <x:v>Retain result; consider independent data or a separately defined new scope</x:v>
      </x:c>
      <x:c r="G509" s="26" t="str">
        <x:v>SEARCHED</x:v>
      </x:c>
      <x:c r="H509" s="27" t="n">
        <x:v>400</x:v>
      </x:c>
      <x:c r="I509" s="27" t="n">
        <x:v>50</x:v>
      </x:c>
      <x:c r="J509" s="28" t="n">
        <x:v>1243.2470282423164</x:v>
      </x:c>
      <x:c r="K509" s="26" t="str">
        <x:v>tpa-batch09-20260908</x:v>
      </x:c>
      <x:c r="L509" s="26"/>
      <x:c r="M509" s="26" t="str">
        <x:v>Present</x:v>
      </x:c>
      <x:c r="N509" s="26" t="str">
        <x:v>Absent from named inventory</x:v>
      </x:c>
      <x:c r="O509" s="26" t="str">
        <x:v>Absent from named inventory</x:v>
      </x:c>
      <x:c r="P509" s="26"/>
      <x:c r="Q509" s="26" t="str">
        <x:v>../Project Recherche Data/tpa-batch09-20260908/selection.json</x:v>
      </x:c>
      <x:c r="R509" s="26" t="str">
        <x:v>395304d24c4ccc368723e19c91081b318fa94afe187f103f7b2ae19ebdbfa4d6</x:v>
      </x:c>
      <x:c r="S509" s="26" t="str">
        <x:v>38e07d51180aa8f875edf285ee1acc4fb3f20262b1808a4f76e51858f1fb106e</x:v>
      </x:c>
      <x:c r="T509" s="26" t="str">
        <x:v>d21fa2ddb7c4fc4a714d6f4754487d414372e55975201c73ef9b852ea4bd6a77</x:v>
      </x:c>
    </x:row>
    <x:row r="510" ht="60" customHeight="1">
      <x:c r="A510" s="26" t="str">
        <x:v>J1831-0823</x:v>
      </x:c>
      <x:c r="B510" s="26" t="str"/>
      <x:c r="C510" s="26" t="str">
        <x:v>NOT_SEARCHED</x:v>
      </x:c>
      <x:c r="D510" s="26"/>
      <x:c r="E510" s="26" t="str">
        <x:v>No observed search</x:v>
      </x:c>
      <x:c r="F510" s="26" t="str">
        <x:v>Retain exclusion for current scope</x:v>
      </x:c>
      <x:c r="G510" s="26" t="str">
        <x:v>TPA EXCLUDED</x:v>
      </x:c>
      <x:c r="H510" s="27" t="n">
        <x:v>232</x:v>
      </x:c>
      <x:c r="I510" s="27" t="n">
        <x:v>29</x:v>
      </x:c>
      <x:c r="J510" s="28" t="n">
        <x:v>1270.4163737094568</x:v>
      </x:c>
      <x:c r="K510" s="26"/>
      <x:c r="L510" s="26" t="str">
        <x:v>insufficient_span_or_epochs</x:v>
      </x:c>
      <x:c r="M510" s="26" t="str">
        <x:v>Absent from named inventory</x:v>
      </x:c>
      <x:c r="N510" s="26" t="str">
        <x:v>Absent from named inventory</x:v>
      </x:c>
      <x:c r="O510" s="26" t="str">
        <x:v>Absent from named inventory</x:v>
      </x:c>
      <x:c r="P510" s="26"/>
      <x:c r="Q510" s="26" t="str">
        <x:v>../Project Recherche Data/tpa-batch01-20260908/selection.json</x:v>
      </x:c>
      <x:c r="R510" s="26" t="str">
        <x:v>047722e4dca24e16c44c810f43990492b2f988012ca2b4bab47826ff4c95f1db</x:v>
      </x:c>
      <x:c r="S510" s="26" t="str">
        <x:v>1cfec4398830ac563a1b0f2559dd96b14e71aeb02c1ab936470c2ce8d85c6b18</x:v>
      </x:c>
      <x:c r="T510" s="26" t="str">
        <x:v>edab1ab9d6fb8b0e46ca0790ac52dbfbf13db0f4f7f3fe365a42c1f840ebfb9d</x:v>
      </x:c>
    </x:row>
    <x:row r="511" ht="60" customHeight="1">
      <x:c r="A511" s="26" t="str">
        <x:v>J1832-0644</x:v>
      </x:c>
      <x:c r="B511" s="26" t="str"/>
      <x:c r="C511" s="26" t="str">
        <x:v>NOT_SEARCHED</x:v>
      </x:c>
      <x:c r="D511" s="26"/>
      <x:c r="E511" s="26" t="str">
        <x:v>No observed search</x:v>
      </x:c>
      <x:c r="F511" s="26" t="str">
        <x:v>Retain exclusion for current scope</x:v>
      </x:c>
      <x:c r="G511" s="26" t="str">
        <x:v>TPA EXCLUDED</x:v>
      </x:c>
      <x:c r="H511" s="27" t="n">
        <x:v>247</x:v>
      </x:c>
      <x:c r="I511" s="27" t="n">
        <x:v>31</x:v>
      </x:c>
      <x:c r="J511" s="28" t="n">
        <x:v>1357.390722400749</x:v>
      </x:c>
      <x:c r="K511" s="26"/>
      <x:c r="L511" s="26" t="str">
        <x:v>insufficient_span_or_epochs</x:v>
      </x:c>
      <x:c r="M511" s="26" t="str">
        <x:v>Present</x:v>
      </x:c>
      <x:c r="N511" s="26" t="str">
        <x:v>Absent from named inventory</x:v>
      </x:c>
      <x:c r="O511" s="26" t="str">
        <x:v>Absent from named inventory</x:v>
      </x:c>
      <x:c r="P511" s="26"/>
      <x:c r="Q511" s="26" t="str">
        <x:v>../Project Recherche Data/tpa-batch01-20260908/selection.json</x:v>
      </x:c>
      <x:c r="R511" s="26" t="str">
        <x:v>047722e4dca24e16c44c810f43990492b2f988012ca2b4bab47826ff4c95f1db</x:v>
      </x:c>
      <x:c r="S511" s="26" t="str">
        <x:v>5b36ad328ee78c1c8055b67a29cf6508f173039b69c2220edcd6074b2c498af1</x:v>
      </x:c>
      <x:c r="T511" s="26" t="str">
        <x:v>5706b4a2e69eea62489678d554e458246617677a211cca22af489bf3bfa45270</x:v>
      </x:c>
    </x:row>
    <x:row r="512" ht="60" customHeight="1">
      <x:c r="A512" s="26" t="str">
        <x:v>J1832-0827</x:v>
      </x:c>
      <x:c r="B512" s="26" t="str">
        <x:v>B1829-08</x:v>
      </x:c>
      <x:c r="C512" s="26" t="str">
        <x:v>NOT_SEARCHED</x:v>
      </x:c>
      <x:c r="D512" s="26"/>
      <x:c r="E512" s="26" t="str">
        <x:v>No observed search</x:v>
      </x:c>
      <x:c r="F512" s="26" t="str">
        <x:v>Retain exclusion for current scope</x:v>
      </x:c>
      <x:c r="G512" s="26" t="str">
        <x:v>TPA EXCLUDED</x:v>
      </x:c>
      <x:c r="H512" s="27" t="n">
        <x:v>96</x:v>
      </x:c>
      <x:c r="I512" s="27" t="n">
        <x:v>12</x:v>
      </x:c>
      <x:c r="J512" s="28" t="n">
        <x:v>486.56415108365763</x:v>
      </x:c>
      <x:c r="K512" s="26"/>
      <x:c r="L512" s="26" t="str">
        <x:v>insufficient_span_or_epochs</x:v>
      </x:c>
      <x:c r="M512" s="26" t="str">
        <x:v>Present</x:v>
      </x:c>
      <x:c r="N512" s="26" t="str">
        <x:v>Absent from named inventory</x:v>
      </x:c>
      <x:c r="O512" s="26" t="str">
        <x:v>Absent from named inventory</x:v>
      </x:c>
      <x:c r="P512" s="26"/>
      <x:c r="Q512" s="26" t="str">
        <x:v>../Project Recherche Data/tpa-batch01-20260908/selection.json</x:v>
      </x:c>
      <x:c r="R512" s="26" t="str">
        <x:v>047722e4dca24e16c44c810f43990492b2f988012ca2b4bab47826ff4c95f1db</x:v>
      </x:c>
      <x:c r="S512" s="26" t="str">
        <x:v>84595ece747304a6ed8fea2dec99442d19291f39c2509f8aaa7099e740eb1e42</x:v>
      </x:c>
      <x:c r="T512" s="26" t="str">
        <x:v>c6f41c06ea744af0a19860e4dd75ab941efa2eae1d909057758d9f66755d0b9f</x:v>
      </x:c>
    </x:row>
    <x:row r="513" ht="60" customHeight="1">
      <x:c r="A513" s="26" t="str">
        <x:v>J1833-0338</x:v>
      </x:c>
      <x:c r="B513" s="26" t="str">
        <x:v>B1831-03</x:v>
      </x:c>
      <x:c r="C513" s="26" t="str">
        <x:v>NO_TRIGGER</x:v>
      </x:c>
      <x:c r="D513" s="26" t="str">
        <x:v>tpa-batch09-20260908-J1833-0338-run01</x:v>
      </x:c>
      <x:c r="E513" s="26" t="str">
        <x:v>No qualifying signal in eligible 30–400-day cells</x:v>
      </x:c>
      <x:c r="F513" s="26" t="str">
        <x:v>Retain result; consider independent data or a separately defined new scope</x:v>
      </x:c>
      <x:c r="G513" s="26" t="str">
        <x:v>SEARCHED</x:v>
      </x:c>
      <x:c r="H513" s="27" t="n">
        <x:v>424</x:v>
      </x:c>
      <x:c r="I513" s="27" t="n">
        <x:v>53</x:v>
      </x:c>
      <x:c r="J513" s="28" t="n">
        <x:v>1280.2561999568716</x:v>
      </x:c>
      <x:c r="K513" s="26" t="str">
        <x:v>tpa-batch09-20260908</x:v>
      </x:c>
      <x:c r="L513" s="26"/>
      <x:c r="M513" s="26" t="str">
        <x:v>Present</x:v>
      </x:c>
      <x:c r="N513" s="26" t="str">
        <x:v>Absent from named inventory</x:v>
      </x:c>
      <x:c r="O513" s="26" t="str">
        <x:v>Absent from named inventory</x:v>
      </x:c>
      <x:c r="P513" s="26"/>
      <x:c r="Q513" s="26" t="str">
        <x:v>../Project Recherche Data/tpa-batch09-20260908/selection.json</x:v>
      </x:c>
      <x:c r="R513" s="26" t="str">
        <x:v>395304d24c4ccc368723e19c91081b318fa94afe187f103f7b2ae19ebdbfa4d6</x:v>
      </x:c>
      <x:c r="S513" s="26" t="str">
        <x:v>320dd38590d11abd476d9aae0591af4c17596f16a7ceaae0ade22ddd54cfdba0</x:v>
      </x:c>
      <x:c r="T513" s="26" t="str">
        <x:v>fe49616eaab9f9b5c960a488caa733690c1af31648f80291ab973cfa77f59959</x:v>
      </x:c>
    </x:row>
    <x:row r="514" ht="60" customHeight="1">
      <x:c r="A514" s="26" t="str">
        <x:v>J1833-0827</x:v>
      </x:c>
      <x:c r="B514" s="26" t="str">
        <x:v>B1830-08</x:v>
      </x:c>
      <x:c r="C514" s="26" t="str">
        <x:v>NOT_SEARCHED</x:v>
      </x:c>
      <x:c r="D514" s="26"/>
      <x:c r="E514" s="26" t="str">
        <x:v>No observed search</x:v>
      </x:c>
      <x:c r="F514" s="26" t="str">
        <x:v>Retain exclusion for current scope</x:v>
      </x:c>
      <x:c r="G514" s="26" t="str">
        <x:v>TPA EXCLUDED</x:v>
      </x:c>
      <x:c r="H514" s="27" t="n">
        <x:v>96</x:v>
      </x:c>
      <x:c r="I514" s="27" t="n">
        <x:v>12</x:v>
      </x:c>
      <x:c r="J514" s="28" t="n">
        <x:v>486.56067929520214</x:v>
      </x:c>
      <x:c r="K514" s="26"/>
      <x:c r="L514" s="26" t="str">
        <x:v>insufficient_span_or_epochs</x:v>
      </x:c>
      <x:c r="M514" s="26" t="str">
        <x:v>Present</x:v>
      </x:c>
      <x:c r="N514" s="26" t="str">
        <x:v>Absent from named inventory</x:v>
      </x:c>
      <x:c r="O514" s="26" t="str">
        <x:v>Absent from named inventory</x:v>
      </x:c>
      <x:c r="P514" s="26"/>
      <x:c r="Q514" s="26" t="str">
        <x:v>../Project Recherche Data/tpa-batch01-20260908/selection.json</x:v>
      </x:c>
      <x:c r="R514" s="26" t="str">
        <x:v>047722e4dca24e16c44c810f43990492b2f988012ca2b4bab47826ff4c95f1db</x:v>
      </x:c>
      <x:c r="S514" s="26" t="str">
        <x:v>f8b4bef8da52f2f44dc571a89b40ad7c3b3d09f8b7ecdae93b9284383a76f33a</x:v>
      </x:c>
      <x:c r="T514" s="26" t="str">
        <x:v>fceaa5b1556c0f41520184e46c236475011f0bdba4dc38b8e969ace08151cddd</x:v>
      </x:c>
    </x:row>
    <x:row r="515" ht="60" customHeight="1">
      <x:c r="A515" s="26" t="str">
        <x:v>J1834-0426</x:v>
      </x:c>
      <x:c r="B515" s="26" t="str">
        <x:v>B1831-04</x:v>
      </x:c>
      <x:c r="C515" s="26" t="str">
        <x:v>NO_TRIGGER</x:v>
      </x:c>
      <x:c r="D515" s="26" t="str">
        <x:v>tpa-batch07-20260908-J1834-0426-run01</x:v>
      </x:c>
      <x:c r="E515" s="26" t="str">
        <x:v>No qualifying signal in eligible 30–400-day cells</x:v>
      </x:c>
      <x:c r="F515" s="26" t="str">
        <x:v>Retain result; consider independent data or a separately defined new scope</x:v>
      </x:c>
      <x:c r="G515" s="26" t="str">
        <x:v>SEARCHED</x:v>
      </x:c>
      <x:c r="H515" s="27" t="n">
        <x:v>432</x:v>
      </x:c>
      <x:c r="I515" s="27" t="n">
        <x:v>54</x:v>
      </x:c>
      <x:c r="J515" s="28" t="n">
        <x:v>1257.4065540616211</x:v>
      </x:c>
      <x:c r="K515" s="26" t="str">
        <x:v>tpa-batch07-20260908</x:v>
      </x:c>
      <x:c r="L515" s="26"/>
      <x:c r="M515" s="26" t="str">
        <x:v>Present</x:v>
      </x:c>
      <x:c r="N515" s="26" t="str">
        <x:v>Absent from named inventory</x:v>
      </x:c>
      <x:c r="O515" s="26" t="str">
        <x:v>Absent from named inventory</x:v>
      </x:c>
      <x:c r="P515" s="26"/>
      <x:c r="Q515" s="26" t="str">
        <x:v>../Project Recherche Data/tpa-batch07-20260908/selection.json</x:v>
      </x:c>
      <x:c r="R515" s="26" t="str">
        <x:v>a0944d5da0924367a8ed78a56de7826f64b6d517eb7c66fa044c452abc4894a7</x:v>
      </x:c>
      <x:c r="S515" s="26" t="str">
        <x:v>92c57a83fe9df1ae0cec31f7521dea71ad3143bc933607bbd1a3df67fd2a6abf</x:v>
      </x:c>
      <x:c r="T515" s="26" t="str">
        <x:v>7a4cf813985df02c2751c77fb7130493d9e2d445e7bbe92b3d0d035869805b10</x:v>
      </x:c>
    </x:row>
    <x:row r="516" ht="60" customHeight="1">
      <x:c r="A516" s="26" t="str">
        <x:v>J1834-0742</x:v>
      </x:c>
      <x:c r="B516" s="26" t="str"/>
      <x:c r="C516" s="26" t="str">
        <x:v>NOT_SEARCHED</x:v>
      </x:c>
      <x:c r="D516" s="26"/>
      <x:c r="E516" s="26" t="str">
        <x:v>No observed search</x:v>
      </x:c>
      <x:c r="F516" s="26" t="str">
        <x:v>Retain exclusion for current scope</x:v>
      </x:c>
      <x:c r="G516" s="26" t="str">
        <x:v>TPA EXCLUDED</x:v>
      </x:c>
      <x:c r="H516" s="27" t="n">
        <x:v>213</x:v>
      </x:c>
      <x:c r="I516" s="27" t="n">
        <x:v>27</x:v>
      </x:c>
      <x:c r="J516" s="28" t="n">
        <x:v>1097.9599243222838</x:v>
      </x:c>
      <x:c r="K516" s="26"/>
      <x:c r="L516" s="26" t="str">
        <x:v>insufficient_span_or_epochs</x:v>
      </x:c>
      <x:c r="M516" s="26" t="str">
        <x:v>Present</x:v>
      </x:c>
      <x:c r="N516" s="26" t="str">
        <x:v>Absent from named inventory</x:v>
      </x:c>
      <x:c r="O516" s="26" t="str">
        <x:v>Absent from named inventory</x:v>
      </x:c>
      <x:c r="P516" s="26"/>
      <x:c r="Q516" s="26" t="str">
        <x:v>../Project Recherche Data/tpa-batch01-20260908/selection.json</x:v>
      </x:c>
      <x:c r="R516" s="26" t="str">
        <x:v>047722e4dca24e16c44c810f43990492b2f988012ca2b4bab47826ff4c95f1db</x:v>
      </x:c>
      <x:c r="S516" s="26" t="str">
        <x:v>96b0d1de3f1f9f152205511d2a027074289672d526bc4bf2bef31fa06f078ac1</x:v>
      </x:c>
      <x:c r="T516" s="26" t="str">
        <x:v>17b9ac6d142b02654e1d6992c36a8b948cdd3004037105443b77a5d3c897f3e0</x:v>
      </x:c>
    </x:row>
    <x:row r="517" ht="60" customHeight="1">
      <x:c r="A517" s="26" t="str">
        <x:v>J1834-1202</x:v>
      </x:c>
      <x:c r="B517" s="26" t="str"/>
      <x:c r="C517" s="26" t="str">
        <x:v>NOT_SEARCHED</x:v>
      </x:c>
      <x:c r="D517" s="26"/>
      <x:c r="E517" s="26" t="str">
        <x:v>No observed search</x:v>
      </x:c>
      <x:c r="F517" s="26" t="str">
        <x:v>Retain exclusion for current scope</x:v>
      </x:c>
      <x:c r="G517" s="26" t="str">
        <x:v>TPA EXCLUDED</x:v>
      </x:c>
      <x:c r="H517" s="27" t="n">
        <x:v>230</x:v>
      </x:c>
      <x:c r="I517" s="27" t="n">
        <x:v>29</x:v>
      </x:c>
      <x:c r="J517" s="28" t="n">
        <x:v>1341.4927055521985</x:v>
      </x:c>
      <x:c r="K517" s="26"/>
      <x:c r="L517" s="26" t="str">
        <x:v>insufficient_span_or_epochs</x:v>
      </x:c>
      <x:c r="M517" s="26" t="str">
        <x:v>Absent from named inventory</x:v>
      </x:c>
      <x:c r="N517" s="26" t="str">
        <x:v>Absent from named inventory</x:v>
      </x:c>
      <x:c r="O517" s="26" t="str">
        <x:v>Absent from named inventory</x:v>
      </x:c>
      <x:c r="P517" s="26"/>
      <x:c r="Q517" s="26" t="str">
        <x:v>../Project Recherche Data/tpa-batch01-20260908/selection.json</x:v>
      </x:c>
      <x:c r="R517" s="26" t="str">
        <x:v>047722e4dca24e16c44c810f43990492b2f988012ca2b4bab47826ff4c95f1db</x:v>
      </x:c>
      <x:c r="S517" s="26" t="str">
        <x:v>fac346ca88613b1708a946a44160093e49162a7f13d38430bf39ff81da5ea336</x:v>
      </x:c>
      <x:c r="T517" s="26" t="str">
        <x:v>44c51269ad51ca7e2a356eb50bd1865e15a32c4bb5bd527aa5fd2628136cdbac</x:v>
      </x:c>
    </x:row>
    <x:row r="518" ht="60" customHeight="1">
      <x:c r="A518" s="26" t="str">
        <x:v>J1835-1020</x:v>
      </x:c>
      <x:c r="B518" s="26" t="str"/>
      <x:c r="C518" s="26" t="str">
        <x:v>NO_TRIGGER</x:v>
      </x:c>
      <x:c r="D518" s="26" t="str">
        <x:v>tpa-batch08-20260908-J1835-1020-run01</x:v>
      </x:c>
      <x:c r="E518" s="26" t="str">
        <x:v>No qualifying signal in eligible 30–400-day cells</x:v>
      </x:c>
      <x:c r="F518" s="26" t="str">
        <x:v>Retain result; consider independent data or a separately defined new scope</x:v>
      </x:c>
      <x:c r="G518" s="26" t="str">
        <x:v>SEARCHED</x:v>
      </x:c>
      <x:c r="H518" s="27" t="n">
        <x:v>416</x:v>
      </x:c>
      <x:c r="I518" s="27" t="n">
        <x:v>52</x:v>
      </x:c>
      <x:c r="J518" s="28" t="n">
        <x:v>1280.283960218374</x:v>
      </x:c>
      <x:c r="K518" s="26" t="str">
        <x:v>tpa-batch08-20260908</x:v>
      </x:c>
      <x:c r="L518" s="26"/>
      <x:c r="M518" s="26" t="str">
        <x:v>Present</x:v>
      </x:c>
      <x:c r="N518" s="26" t="str">
        <x:v>Absent from named inventory</x:v>
      </x:c>
      <x:c r="O518" s="26" t="str">
        <x:v>Absent from named inventory</x:v>
      </x:c>
      <x:c r="P518" s="26"/>
      <x:c r="Q518" s="26" t="str">
        <x:v>../Project Recherche Data/tpa-batch08-20260908/selection.json</x:v>
      </x:c>
      <x:c r="R518" s="26" t="str">
        <x:v>6fe595c0d188861ebc661368dcb361d40c70c01fd3243f0147e51a513ec4e764</x:v>
      </x:c>
      <x:c r="S518" s="26" t="str">
        <x:v>7b97def524c585fa4633578ebdc986f70aedf8f2daf261de133ac1f86bbe2c75</x:v>
      </x:c>
      <x:c r="T518" s="26" t="str">
        <x:v>2c08bfedca3066a97b6efae56337e9200b39540e02d88c8ab2f07bbc67273030</x:v>
      </x:c>
    </x:row>
    <x:row r="519" ht="60" customHeight="1">
      <x:c r="A519" s="26" t="str">
        <x:v>J1835-1106</x:v>
      </x:c>
      <x:c r="B519" s="26" t="str"/>
      <x:c r="C519" s="26" t="str">
        <x:v>NOT_SEARCHED</x:v>
      </x:c>
      <x:c r="D519" s="26"/>
      <x:c r="E519" s="26" t="str">
        <x:v>No observed search</x:v>
      </x:c>
      <x:c r="F519" s="26" t="str">
        <x:v>Retain exclusion for current scope</x:v>
      </x:c>
      <x:c r="G519" s="26" t="str">
        <x:v>TPA EXCLUDED</x:v>
      </x:c>
      <x:c r="H519" s="27" t="n">
        <x:v>96</x:v>
      </x:c>
      <x:c r="I519" s="27" t="n">
        <x:v>12</x:v>
      </x:c>
      <x:c r="J519" s="28" t="n">
        <x:v>486.57214347011904</x:v>
      </x:c>
      <x:c r="K519" s="26"/>
      <x:c r="L519" s="26" t="str">
        <x:v>insufficient_span_or_epochs</x:v>
      </x:c>
      <x:c r="M519" s="26" t="str">
        <x:v>Present</x:v>
      </x:c>
      <x:c r="N519" s="26" t="str">
        <x:v>Absent from named inventory</x:v>
      </x:c>
      <x:c r="O519" s="26" t="str">
        <x:v>Absent from named inventory</x:v>
      </x:c>
      <x:c r="P519" s="26"/>
      <x:c r="Q519" s="26" t="str">
        <x:v>../Project Recherche Data/tpa-batch01-20260908/selection.json</x:v>
      </x:c>
      <x:c r="R519" s="26" t="str">
        <x:v>047722e4dca24e16c44c810f43990492b2f988012ca2b4bab47826ff4c95f1db</x:v>
      </x:c>
      <x:c r="S519" s="26" t="str">
        <x:v>e3272d6c3f606e07dee949dfbbab5b14297ab56bd74ad4e8f154a410e7ce5f92</x:v>
      </x:c>
      <x:c r="T519" s="26" t="str">
        <x:v>c06b428760a35d4ba215825d5074d310c3c504a407e0b941a2be838b89a24cbc</x:v>
      </x:c>
    </x:row>
    <x:row r="520" ht="60" customHeight="1">
      <x:c r="A520" s="26" t="str">
        <x:v>J1836-0436</x:v>
      </x:c>
      <x:c r="B520" s="26" t="str">
        <x:v>B1834-04</x:v>
      </x:c>
      <x:c r="C520" s="26" t="str">
        <x:v>NOT_SEARCHED</x:v>
      </x:c>
      <x:c r="D520" s="26"/>
      <x:c r="E520" s="26" t="str">
        <x:v>No observed search</x:v>
      </x:c>
      <x:c r="F520" s="26" t="str">
        <x:v>Retain exclusion for current scope</x:v>
      </x:c>
      <x:c r="G520" s="26" t="str">
        <x:v>TPA EXCLUDED</x:v>
      </x:c>
      <x:c r="H520" s="27" t="n">
        <x:v>240</x:v>
      </x:c>
      <x:c r="I520" s="27" t="n">
        <x:v>30</x:v>
      </x:c>
      <x:c r="J520" s="28" t="n">
        <x:v>1270.4137979132647</x:v>
      </x:c>
      <x:c r="K520" s="26"/>
      <x:c r="L520" s="26" t="str">
        <x:v>insufficient_span_or_epochs</x:v>
      </x:c>
      <x:c r="M520" s="26" t="str">
        <x:v>Present</x:v>
      </x:c>
      <x:c r="N520" s="26" t="str">
        <x:v>Absent from named inventory</x:v>
      </x:c>
      <x:c r="O520" s="26" t="str">
        <x:v>Absent from named inventory</x:v>
      </x:c>
      <x:c r="P520" s="26"/>
      <x:c r="Q520" s="26" t="str">
        <x:v>../Project Recherche Data/tpa-batch01-20260908/selection.json</x:v>
      </x:c>
      <x:c r="R520" s="26" t="str">
        <x:v>047722e4dca24e16c44c810f43990492b2f988012ca2b4bab47826ff4c95f1db</x:v>
      </x:c>
      <x:c r="S520" s="26" t="str">
        <x:v>effbcbc14e9cc699931fe6fb32acc515d716edc08b43b3eb77c437f2f0df41b2</x:v>
      </x:c>
      <x:c r="T520" s="26" t="str">
        <x:v>ad4b88d64e42cc52efad55d2adc195a866569fa6dd93ee8b2dfcb337f57d3b3b</x:v>
      </x:c>
    </x:row>
    <x:row r="521" ht="60" customHeight="1">
      <x:c r="A521" s="26" t="str">
        <x:v>J1836-1008</x:v>
      </x:c>
      <x:c r="B521" s="26" t="str">
        <x:v>B1834-10</x:v>
      </x:c>
      <x:c r="C521" s="26" t="str">
        <x:v>NO_TRIGGER</x:v>
      </x:c>
      <x:c r="D521" s="26" t="str">
        <x:v>utmost-batch03-20260909-J1836-1008-run01</x:v>
      </x:c>
      <x:c r="E521" s="26" t="str">
        <x:v>No qualifying signal in eligible 30–400-day cells</x:v>
      </x:c>
      <x:c r="F521" s="26" t="str">
        <x:v>Retain result; consider independent data or a separately defined new scope</x:v>
      </x:c>
      <x:c r="G521" s="26" t="str">
        <x:v>UTMOST SEARCHED</x:v>
      </x:c>
      <x:c r="H521" s="27" t="n">
        <x:v>224</x:v>
      </x:c>
      <x:c r="I521" s="27" t="n">
        <x:v>28</x:v>
      </x:c>
      <x:c r="J521" s="28" t="n">
        <x:v>1254.5442832244516</x:v>
      </x:c>
      <x:c r="K521" s="26"/>
      <x:c r="L521" s="26" t="str">
        <x:v>published_glitch, insufficient_span_or_epochs</x:v>
      </x:c>
      <x:c r="M521" s="26" t="str">
        <x:v>Present</x:v>
      </x:c>
      <x:c r="N521" s="26" t="str">
        <x:v>Absent from named inventory</x:v>
      </x:c>
      <x:c r="O521" s="26" t="str">
        <x:v>Absent from named inventory</x:v>
      </x:c>
      <x:c r="P521" s="26"/>
      <x:c r="Q521" s="26" t="str">
        <x:v>../Project Recherche Data/tpa-batch01-20260908/selection.json</x:v>
      </x:c>
      <x:c r="R521" s="26" t="str">
        <x:v>047722e4dca24e16c44c810f43990492b2f988012ca2b4bab47826ff4c95f1db</x:v>
      </x:c>
      <x:c r="S521" s="26" t="str">
        <x:v>1cae84b8d6e22c77341b2de0afd0f1b90173c5a4f950171d090ef3032f3833f8</x:v>
      </x:c>
      <x:c r="T521" s="26" t="str">
        <x:v>94e270715ad1ad6d534ed718f3f0751c695fb692d73776a05fb9271309209648</x:v>
      </x:c>
    </x:row>
    <x:row r="522" ht="60" customHeight="1">
      <x:c r="A522" s="26" t="str">
        <x:v>J1837+1221</x:v>
      </x:c>
      <x:c r="B522" s="26" t="str"/>
      <x:c r="C522" s="26" t="str">
        <x:v>NOT_SEARCHED</x:v>
      </x:c>
      <x:c r="D522" s="26"/>
      <x:c r="E522" s="26" t="str">
        <x:v>No observed search</x:v>
      </x:c>
      <x:c r="F522" s="26" t="str">
        <x:v>Retain exclusion for current scope</x:v>
      </x:c>
      <x:c r="G522" s="26" t="str">
        <x:v>TPA EXCLUDED</x:v>
      </x:c>
      <x:c r="H522" s="27" t="n">
        <x:v>216</x:v>
      </x:c>
      <x:c r="I522" s="27" t="n">
        <x:v>27</x:v>
      </x:c>
      <x:c r="J522" s="28" t="n">
        <x:v>1090.1111491131378</x:v>
      </x:c>
      <x:c r="K522" s="26"/>
      <x:c r="L522" s="26" t="str">
        <x:v>insufficient_span_or_epochs</x:v>
      </x:c>
      <x:c r="M522" s="26" t="str">
        <x:v>Present</x:v>
      </x:c>
      <x:c r="N522" s="26" t="str">
        <x:v>Absent from named inventory</x:v>
      </x:c>
      <x:c r="O522" s="26" t="str">
        <x:v>Absent from named inventory</x:v>
      </x:c>
      <x:c r="P522" s="26"/>
      <x:c r="Q522" s="26" t="str">
        <x:v>../Project Recherche Data/tpa-batch01-20260908/selection.json</x:v>
      </x:c>
      <x:c r="R522" s="26" t="str">
        <x:v>047722e4dca24e16c44c810f43990492b2f988012ca2b4bab47826ff4c95f1db</x:v>
      </x:c>
      <x:c r="S522" s="26" t="str">
        <x:v>b76aa1b984cd68d560f56b75d92ee588cfdea0e3ebafdfc720687b8fc60e9ebb</x:v>
      </x:c>
      <x:c r="T522" s="26" t="str">
        <x:v>e4fe4e465d0fbc82344de655f42f0c9b72085f0ce8463134ce27009f1e2d9b47</x:v>
      </x:c>
    </x:row>
    <x:row r="523" ht="60" customHeight="1">
      <x:c r="A523" s="26" t="str">
        <x:v>J1837-0045</x:v>
      </x:c>
      <x:c r="B523" s="26" t="str"/>
      <x:c r="C523" s="26" t="str">
        <x:v>NOT_SEARCHED</x:v>
      </x:c>
      <x:c r="D523" s="26"/>
      <x:c r="E523" s="26" t="str">
        <x:v>No observed search</x:v>
      </x:c>
      <x:c r="F523" s="26" t="str">
        <x:v>Retain exclusion for current scope</x:v>
      </x:c>
      <x:c r="G523" s="26" t="str">
        <x:v>TPA EXCLUDED</x:v>
      </x:c>
      <x:c r="H523" s="27" t="n">
        <x:v>415</x:v>
      </x:c>
      <x:c r="I523" s="27" t="n">
        <x:v>52</x:v>
      </x:c>
      <x:c r="J523" s="28" t="n">
        <x:v>1099.9186262982112</x:v>
      </x:c>
      <x:c r="K523" s="26"/>
      <x:c r="L523" s="26" t="str">
        <x:v>insufficient_span_or_epochs</x:v>
      </x:c>
      <x:c r="M523" s="26" t="str">
        <x:v>Present</x:v>
      </x:c>
      <x:c r="N523" s="26" t="str">
        <x:v>Absent from named inventory</x:v>
      </x:c>
      <x:c r="O523" s="26" t="str">
        <x:v>Absent from named inventory</x:v>
      </x:c>
      <x:c r="P523" s="26"/>
      <x:c r="Q523" s="26" t="str">
        <x:v>../Project Recherche Data/tpa-batch01-20260908/selection.json</x:v>
      </x:c>
      <x:c r="R523" s="26" t="str">
        <x:v>047722e4dca24e16c44c810f43990492b2f988012ca2b4bab47826ff4c95f1db</x:v>
      </x:c>
      <x:c r="S523" s="26" t="str">
        <x:v>bf88578a92b45107d59e91ed1cf4fb8cf91502eb93fb33db5d1698227e663460</x:v>
      </x:c>
      <x:c r="T523" s="26" t="str">
        <x:v>8b55c98fe6f8234936f2c6cf564563df6550295566dab920e3edbded066cfd48</x:v>
      </x:c>
    </x:row>
    <x:row r="524" ht="60" customHeight="1">
      <x:c r="A524" s="26" t="str">
        <x:v>J1837-0559</x:v>
      </x:c>
      <x:c r="B524" s="26" t="str"/>
      <x:c r="C524" s="26" t="str">
        <x:v>NOT_SEARCHED</x:v>
      </x:c>
      <x:c r="D524" s="26"/>
      <x:c r="E524" s="26" t="str">
        <x:v>No observed search</x:v>
      </x:c>
      <x:c r="F524" s="26" t="str">
        <x:v>Retain exclusion for current scope</x:v>
      </x:c>
      <x:c r="G524" s="26" t="str">
        <x:v>TPA EXCLUDED</x:v>
      </x:c>
      <x:c r="H524" s="27" t="n">
        <x:v>216</x:v>
      </x:c>
      <x:c r="I524" s="27" t="n">
        <x:v>27</x:v>
      </x:c>
      <x:c r="J524" s="28" t="n">
        <x:v>1090.0981037602323</x:v>
      </x:c>
      <x:c r="K524" s="26"/>
      <x:c r="L524" s="26" t="str">
        <x:v>insufficient_span_or_epochs</x:v>
      </x:c>
      <x:c r="M524" s="26" t="str">
        <x:v>Present</x:v>
      </x:c>
      <x:c r="N524" s="26" t="str">
        <x:v>Absent from named inventory</x:v>
      </x:c>
      <x:c r="O524" s="26" t="str">
        <x:v>Absent from named inventory</x:v>
      </x:c>
      <x:c r="P524" s="26"/>
      <x:c r="Q524" s="26" t="str">
        <x:v>../Project Recherche Data/tpa-batch01-20260908/selection.json</x:v>
      </x:c>
      <x:c r="R524" s="26" t="str">
        <x:v>047722e4dca24e16c44c810f43990492b2f988012ca2b4bab47826ff4c95f1db</x:v>
      </x:c>
      <x:c r="S524" s="26" t="str">
        <x:v>14baf4a9e3e2d7e50e66a9725411a15a6d1df465bd62cd6235eb3c7dd5fc50bf</x:v>
      </x:c>
      <x:c r="T524" s="26" t="str">
        <x:v>94f4e5a3979e62738d6770feb2fd46275d1b9f1b34cc17b4c0dd2f4cac8e4cba</x:v>
      </x:c>
    </x:row>
    <x:row r="525" ht="60" customHeight="1">
      <x:c r="A525" s="26" t="str">
        <x:v>J1837-0604</x:v>
      </x:c>
      <x:c r="B525" s="26" t="str"/>
      <x:c r="C525" s="26" t="str">
        <x:v>NOT_SEARCHED</x:v>
      </x:c>
      <x:c r="D525" s="26"/>
      <x:c r="E525" s="26" t="str">
        <x:v>No observed search</x:v>
      </x:c>
      <x:c r="F525" s="26" t="str">
        <x:v>Retain exclusion for current scope</x:v>
      </x:c>
      <x:c r="G525" s="26" t="str">
        <x:v>TPA EXCLUDED</x:v>
      </x:c>
      <x:c r="H525" s="27" t="n">
        <x:v>215</x:v>
      </x:c>
      <x:c r="I525" s="27" t="n">
        <x:v>27</x:v>
      </x:c>
      <x:c r="J525" s="28" t="n">
        <x:v>1202.5582642387235</x:v>
      </x:c>
      <x:c r="K525" s="26"/>
      <x:c r="L525" s="26" t="str">
        <x:v>published_glitch, insufficient_span_or_epochs</x:v>
      </x:c>
      <x:c r="M525" s="26" t="str">
        <x:v>Present</x:v>
      </x:c>
      <x:c r="N525" s="26" t="str">
        <x:v>Absent from named inventory</x:v>
      </x:c>
      <x:c r="O525" s="26" t="str">
        <x:v>Absent from named inventory</x:v>
      </x:c>
      <x:c r="P525" s="26"/>
      <x:c r="Q525" s="26" t="str">
        <x:v>../Project Recherche Data/tpa-batch01-20260908/selection.json</x:v>
      </x:c>
      <x:c r="R525" s="26" t="str">
        <x:v>047722e4dca24e16c44c810f43990492b2f988012ca2b4bab47826ff4c95f1db</x:v>
      </x:c>
      <x:c r="S525" s="26" t="str">
        <x:v>04e248733d9bfbf80d3ce0328226120718f3d18a680bf6dce7f46bc8db3f0e1b</x:v>
      </x:c>
      <x:c r="T525" s="26" t="str">
        <x:v>6936998c117edc7f9b6e10c6a5362228aa4c7ac739203914a6ff797a12b77dbf</x:v>
      </x:c>
    </x:row>
    <x:row r="526" ht="60" customHeight="1">
      <x:c r="A526" s="26" t="str">
        <x:v>J1837-0653</x:v>
      </x:c>
      <x:c r="B526" s="26" t="str">
        <x:v>B1834-06</x:v>
      </x:c>
      <x:c r="C526" s="26" t="str">
        <x:v>NOT_SEARCHED</x:v>
      </x:c>
      <x:c r="D526" s="26"/>
      <x:c r="E526" s="26" t="str">
        <x:v>No observed search</x:v>
      </x:c>
      <x:c r="F526" s="26" t="str">
        <x:v>Retain exclusion for current scope</x:v>
      </x:c>
      <x:c r="G526" s="26" t="str">
        <x:v>TPA EXCLUDED</x:v>
      </x:c>
      <x:c r="H526" s="27" t="n">
        <x:v>240</x:v>
      </x:c>
      <x:c r="I526" s="27" t="n">
        <x:v>30</x:v>
      </x:c>
      <x:c r="J526" s="28" t="n">
        <x:v>1270.4447398286575</x:v>
      </x:c>
      <x:c r="K526" s="26"/>
      <x:c r="L526" s="26" t="str">
        <x:v>insufficient_span_or_epochs</x:v>
      </x:c>
      <x:c r="M526" s="26" t="str">
        <x:v>Present</x:v>
      </x:c>
      <x:c r="N526" s="26" t="str">
        <x:v>Absent from named inventory</x:v>
      </x:c>
      <x:c r="O526" s="26" t="str">
        <x:v>Absent from named inventory</x:v>
      </x:c>
      <x:c r="P526" s="26"/>
      <x:c r="Q526" s="26" t="str">
        <x:v>../Project Recherche Data/tpa-batch01-20260908/selection.json</x:v>
      </x:c>
      <x:c r="R526" s="26" t="str">
        <x:v>047722e4dca24e16c44c810f43990492b2f988012ca2b4bab47826ff4c95f1db</x:v>
      </x:c>
      <x:c r="S526" s="26" t="str">
        <x:v>a7f8005050a022746baa144060d60e0836155d66ec9d8fd60980d5d1fed21a4b</x:v>
      </x:c>
      <x:c r="T526" s="26" t="str">
        <x:v>3b4f9c70e7c924d2b94094a91dea99197b0c517f6e21384ec4d49fde559ba490</x:v>
      </x:c>
    </x:row>
    <x:row r="527" ht="60" customHeight="1">
      <x:c r="A527" s="26" t="str">
        <x:v>J1837-1837</x:v>
      </x:c>
      <x:c r="B527" s="26" t="str"/>
      <x:c r="C527" s="26" t="str">
        <x:v>NOT_SEARCHED</x:v>
      </x:c>
      <x:c r="D527" s="26"/>
      <x:c r="E527" s="26" t="str">
        <x:v>No observed search</x:v>
      </x:c>
      <x:c r="F527" s="26" t="str">
        <x:v>Retain exclusion for current scope</x:v>
      </x:c>
      <x:c r="G527" s="26" t="str">
        <x:v>TPA EXCLUDED</x:v>
      </x:c>
      <x:c r="H527" s="27" t="n">
        <x:v>224</x:v>
      </x:c>
      <x:c r="I527" s="27" t="n">
        <x:v>28</x:v>
      </x:c>
      <x:c r="J527" s="28" t="n">
        <x:v>1396.0597706373446</x:v>
      </x:c>
      <x:c r="K527" s="26"/>
      <x:c r="L527" s="26" t="str">
        <x:v>insufficient_span_or_epochs</x:v>
      </x:c>
      <x:c r="M527" s="26" t="str">
        <x:v>Absent from named inventory</x:v>
      </x:c>
      <x:c r="N527" s="26" t="str">
        <x:v>Absent from named inventory</x:v>
      </x:c>
      <x:c r="O527" s="26" t="str">
        <x:v>Absent from named inventory</x:v>
      </x:c>
      <x:c r="P527" s="26"/>
      <x:c r="Q527" s="26" t="str">
        <x:v>../Project Recherche Data/tpa-batch01-20260908/selection.json</x:v>
      </x:c>
      <x:c r="R527" s="26" t="str">
        <x:v>047722e4dca24e16c44c810f43990492b2f988012ca2b4bab47826ff4c95f1db</x:v>
      </x:c>
      <x:c r="S527" s="26" t="str">
        <x:v>fdf498ed8e847874bf3649e6f9b8e172ca553eae7781837adc8baaaa9667f434</x:v>
      </x:c>
      <x:c r="T527" s="26" t="str">
        <x:v>9fb83b64f97fc9857187f44ce4178b4dd453ca3f5722ddb4db72d5f17992e5eb</x:v>
      </x:c>
    </x:row>
    <x:row r="528" ht="60" customHeight="1">
      <x:c r="A528" s="26" t="str">
        <x:v>J1839-1238</x:v>
      </x:c>
      <x:c r="B528" s="26" t="str"/>
      <x:c r="C528" s="26" t="str">
        <x:v>NOT_SEARCHED</x:v>
      </x:c>
      <x:c r="D528" s="26"/>
      <x:c r="E528" s="26" t="str">
        <x:v>No observed search</x:v>
      </x:c>
      <x:c r="F528" s="26" t="str">
        <x:v>Retain exclusion for current scope</x:v>
      </x:c>
      <x:c r="G528" s="26" t="str">
        <x:v>TPA EXCLUDED</x:v>
      </x:c>
      <x:c r="H528" s="27" t="n">
        <x:v>216</x:v>
      </x:c>
      <x:c r="I528" s="27" t="n">
        <x:v>27</x:v>
      </x:c>
      <x:c r="J528" s="28" t="n">
        <x:v>1074.0374216922355</x:v>
      </x:c>
      <x:c r="K528" s="26"/>
      <x:c r="L528" s="26" t="str">
        <x:v>insufficient_span_or_epochs</x:v>
      </x:c>
      <x:c r="M528" s="26" t="str">
        <x:v>Present</x:v>
      </x:c>
      <x:c r="N528" s="26" t="str">
        <x:v>Absent from named inventory</x:v>
      </x:c>
      <x:c r="O528" s="26" t="str">
        <x:v>Absent from named inventory</x:v>
      </x:c>
      <x:c r="P528" s="26"/>
      <x:c r="Q528" s="26" t="str">
        <x:v>../Project Recherche Data/tpa-batch01-20260908/selection.json</x:v>
      </x:c>
      <x:c r="R528" s="26" t="str">
        <x:v>047722e4dca24e16c44c810f43990492b2f988012ca2b4bab47826ff4c95f1db</x:v>
      </x:c>
      <x:c r="S528" s="26" t="str">
        <x:v>4c642f18b17acf9d587df8da24d4696b760aa1e0d3c0ba6d7637fe0d881d6ef0</x:v>
      </x:c>
      <x:c r="T528" s="26" t="str">
        <x:v>b4d266bcfca9b559e51717a9a46b7e1d4078d45e1b0687429c61f6a8f3c8810c</x:v>
      </x:c>
    </x:row>
    <x:row r="529" ht="60" customHeight="1">
      <x:c r="A529" s="26" t="str">
        <x:v>J1840-0809</x:v>
      </x:c>
      <x:c r="B529" s="26" t="str"/>
      <x:c r="C529" s="26" t="str">
        <x:v>NO_TRIGGER</x:v>
      </x:c>
      <x:c r="D529" s="26" t="str">
        <x:v>utmost-batch04-20260909-J1840-0809-run01</x:v>
      </x:c>
      <x:c r="E529" s="26" t="str">
        <x:v>No qualifying signal in eligible 30–400-day cells</x:v>
      </x:c>
      <x:c r="F529" s="26" t="str">
        <x:v>Retain result; consider independent data or a separately defined new scope</x:v>
      </x:c>
      <x:c r="G529" s="26" t="str">
        <x:v>UTMOST SEARCHED</x:v>
      </x:c>
      <x:c r="H529" s="27" t="n">
        <x:v>432</x:v>
      </x:c>
      <x:c r="I529" s="27" t="n">
        <x:v>54</x:v>
      </x:c>
      <x:c r="J529" s="28" t="n">
        <x:v>1280.279040391899</x:v>
      </x:c>
      <x:c r="K529" s="26" t="str">
        <x:v>tpa-batch04-20260908</x:v>
      </x:c>
      <x:c r="L529" s="26"/>
      <x:c r="M529" s="26" t="str">
        <x:v>Absent from named inventory</x:v>
      </x:c>
      <x:c r="N529" s="26" t="str">
        <x:v>Absent from named inventory</x:v>
      </x:c>
      <x:c r="O529" s="26" t="str">
        <x:v>Absent from named inventory</x:v>
      </x:c>
      <x:c r="P529" s="26"/>
      <x:c r="Q529" s="26" t="str">
        <x:v>../Project Recherche Data/tpa-batch04-20260908/selection.json</x:v>
      </x:c>
      <x:c r="R529" s="26" t="str">
        <x:v>88cb06482cd14a2f65e966c23ca1cdea20fdeb356fd59137885e0ec5f3b47d1a</x:v>
      </x:c>
      <x:c r="S529" s="26" t="str">
        <x:v>1d8f2053af11015b35e31d260cb9a8ae0affc0afed77e35818dc344f580684c4</x:v>
      </x:c>
      <x:c r="T529" s="26" t="str">
        <x:v>0a4cdd78eb2dd38269918a3eb8dfcf8f0b0357dcf1affe3a1de454e9a528bc79</x:v>
      </x:c>
    </x:row>
    <x:row r="530" ht="60" customHeight="1">
      <x:c r="A530" s="26" t="str">
        <x:v>J1840-0815</x:v>
      </x:c>
      <x:c r="B530" s="26" t="str"/>
      <x:c r="C530" s="26" t="str">
        <x:v>NO_TRIGGER</x:v>
      </x:c>
      <x:c r="D530" s="26" t="str">
        <x:v>tpa-batch06-20260908-J1840-0815-run01</x:v>
      </x:c>
      <x:c r="E530" s="26" t="str">
        <x:v>No qualifying signal in eligible 30–400-day cells</x:v>
      </x:c>
      <x:c r="F530" s="26" t="str">
        <x:v>Retain result; consider independent data or a separately defined new scope</x:v>
      </x:c>
      <x:c r="G530" s="26" t="str">
        <x:v>SEARCHED</x:v>
      </x:c>
      <x:c r="H530" s="27" t="n">
        <x:v>440</x:v>
      </x:c>
      <x:c r="I530" s="27" t="n">
        <x:v>55</x:v>
      </x:c>
      <x:c r="J530" s="28" t="n">
        <x:v>1280.264271060878</x:v>
      </x:c>
      <x:c r="K530" s="26" t="str">
        <x:v>tpa-batch06-20260908</x:v>
      </x:c>
      <x:c r="L530" s="26"/>
      <x:c r="M530" s="26" t="str">
        <x:v>Absent from named inventory</x:v>
      </x:c>
      <x:c r="N530" s="26" t="str">
        <x:v>Absent from named inventory</x:v>
      </x:c>
      <x:c r="O530" s="26" t="str">
        <x:v>Absent from named inventory</x:v>
      </x:c>
      <x:c r="P530" s="26"/>
      <x:c r="Q530" s="26" t="str">
        <x:v>../Project Recherche Data/tpa-batch06-20260908/selection.json</x:v>
      </x:c>
      <x:c r="R530" s="26" t="str">
        <x:v>aa7dc82ae2f0aa7f4ad390810d65a59ea2811f4802deb69c9130205b6466f356</x:v>
      </x:c>
      <x:c r="S530" s="26" t="str">
        <x:v>9155286a59521cdd1e52c22dda111b2b55349d89c682195ffa29f98f5e57d4cb</x:v>
      </x:c>
      <x:c r="T530" s="26" t="str">
        <x:v>9ebfae536a07feabe0637890403c16111397d63ad107e500ee7b632538c34d4e</x:v>
      </x:c>
    </x:row>
    <x:row r="531" ht="60" customHeight="1">
      <x:c r="A531" s="26" t="str">
        <x:v>J1841+0912</x:v>
      </x:c>
      <x:c r="B531" s="26" t="str">
        <x:v>B1839+09</x:v>
      </x:c>
      <x:c r="C531" s="26" t="str">
        <x:v>NO_TRIGGER</x:v>
      </x:c>
      <x:c r="D531" s="26" t="str">
        <x:v>tpa-batch08-20260908-J1841+0912-run01</x:v>
      </x:c>
      <x:c r="E531" s="26" t="str">
        <x:v>No qualifying signal in eligible 30–400-day cells</x:v>
      </x:c>
      <x:c r="F531" s="26" t="str">
        <x:v>Retain result; consider independent data or a separately defined new scope</x:v>
      </x:c>
      <x:c r="G531" s="26" t="str">
        <x:v>SEARCHED</x:v>
      </x:c>
      <x:c r="H531" s="27" t="n">
        <x:v>432</x:v>
      </x:c>
      <x:c r="I531" s="27" t="n">
        <x:v>54</x:v>
      </x:c>
      <x:c r="J531" s="28" t="n">
        <x:v>1271.3378301235134</x:v>
      </x:c>
      <x:c r="K531" s="26" t="str">
        <x:v>tpa-batch08-20260908</x:v>
      </x:c>
      <x:c r="L531" s="26"/>
      <x:c r="M531" s="26" t="str">
        <x:v>Present</x:v>
      </x:c>
      <x:c r="N531" s="26" t="str">
        <x:v>Absent from named inventory</x:v>
      </x:c>
      <x:c r="O531" s="26" t="str">
        <x:v>Absent from named inventory</x:v>
      </x:c>
      <x:c r="P531" s="26"/>
      <x:c r="Q531" s="26" t="str">
        <x:v>../Project Recherche Data/tpa-batch08-20260908/selection.json</x:v>
      </x:c>
      <x:c r="R531" s="26" t="str">
        <x:v>6fe595c0d188861ebc661368dcb361d40c70c01fd3243f0147e51a513ec4e764</x:v>
      </x:c>
      <x:c r="S531" s="26" t="str">
        <x:v>4c9e332dfe67a21df0ed07d638e30a37db6950ed4c0148e8ebecd88f4bc7cf1d</x:v>
      </x:c>
      <x:c r="T531" s="26" t="str">
        <x:v>e7f83a7296476d788d020448fb14104f05749a1e30d84e77dbf0a1f5ecb8ea77</x:v>
      </x:c>
    </x:row>
    <x:row r="532" ht="60" customHeight="1">
      <x:c r="A532" s="26" t="str">
        <x:v>J1841-0157</x:v>
      </x:c>
      <x:c r="B532" s="26" t="str"/>
      <x:c r="C532" s="26" t="str">
        <x:v>NO_TRIGGER</x:v>
      </x:c>
      <x:c r="D532" s="26" t="str">
        <x:v>tpa-batch09-20260908-J1841-0157-run01</x:v>
      </x:c>
      <x:c r="E532" s="26" t="str">
        <x:v>No qualifying signal in eligible 30–400-day cells</x:v>
      </x:c>
      <x:c r="F532" s="26" t="str">
        <x:v>Retain result; consider independent data or a separately defined new scope</x:v>
      </x:c>
      <x:c r="G532" s="26" t="str">
        <x:v>SEARCHED</x:v>
      </x:c>
      <x:c r="H532" s="27" t="n">
        <x:v>440</x:v>
      </x:c>
      <x:c r="I532" s="27" t="n">
        <x:v>55</x:v>
      </x:c>
      <x:c r="J532" s="28" t="n">
        <x:v>1280.2222505442478</x:v>
      </x:c>
      <x:c r="K532" s="26" t="str">
        <x:v>tpa-batch09-20260908</x:v>
      </x:c>
      <x:c r="L532" s="26"/>
      <x:c r="M532" s="26" t="str">
        <x:v>Present</x:v>
      </x:c>
      <x:c r="N532" s="26" t="str">
        <x:v>Absent from named inventory</x:v>
      </x:c>
      <x:c r="O532" s="26" t="str">
        <x:v>Absent from named inventory</x:v>
      </x:c>
      <x:c r="P532" s="26"/>
      <x:c r="Q532" s="26" t="str">
        <x:v>../Project Recherche Data/tpa-batch09-20260908/selection.json</x:v>
      </x:c>
      <x:c r="R532" s="26" t="str">
        <x:v>395304d24c4ccc368723e19c91081b318fa94afe187f103f7b2ae19ebdbfa4d6</x:v>
      </x:c>
      <x:c r="S532" s="26" t="str">
        <x:v>64bbb622c9af820c8765b8e9eb940e76bcb602bc515cf827f70d382ecb4f6704</x:v>
      </x:c>
      <x:c r="T532" s="26" t="str">
        <x:v>1f24830f9cf8c4b9df361d2236941a2aa0278fc8537b64199e12c84046d708dc</x:v>
      </x:c>
    </x:row>
    <x:row r="533" ht="60" customHeight="1">
      <x:c r="A533" s="26" t="str">
        <x:v>J1841-0345</x:v>
      </x:c>
      <x:c r="B533" s="26" t="str"/>
      <x:c r="C533" s="26" t="str">
        <x:v>NOT_SEARCHED</x:v>
      </x:c>
      <x:c r="D533" s="26"/>
      <x:c r="E533" s="26" t="str">
        <x:v>No observed search</x:v>
      </x:c>
      <x:c r="F533" s="26" t="str">
        <x:v>Retain exclusion for current scope</x:v>
      </x:c>
      <x:c r="G533" s="26" t="str">
        <x:v>TPA EXCLUDED</x:v>
      </x:c>
      <x:c r="H533" s="27" t="n">
        <x:v>232</x:v>
      </x:c>
      <x:c r="I533" s="27" t="n">
        <x:v>29</x:v>
      </x:c>
      <x:c r="J533" s="28" t="n">
        <x:v>1233.4504978873956</x:v>
      </x:c>
      <x:c r="K533" s="26"/>
      <x:c r="L533" s="26" t="str">
        <x:v>insufficient_span_or_epochs</x:v>
      </x:c>
      <x:c r="M533" s="26" t="str">
        <x:v>Present</x:v>
      </x:c>
      <x:c r="N533" s="26" t="str">
        <x:v>Absent from named inventory</x:v>
      </x:c>
      <x:c r="O533" s="26" t="str">
        <x:v>Absent from named inventory</x:v>
      </x:c>
      <x:c r="P533" s="26"/>
      <x:c r="Q533" s="26" t="str">
        <x:v>../Project Recherche Data/tpa-batch01-20260908/selection.json</x:v>
      </x:c>
      <x:c r="R533" s="26" t="str">
        <x:v>047722e4dca24e16c44c810f43990492b2f988012ca2b4bab47826ff4c95f1db</x:v>
      </x:c>
      <x:c r="S533" s="26" t="str">
        <x:v>e2e6e97774a87371998f228bf677cae82a6a3774db647c99fa4dfc463c52bf23</x:v>
      </x:c>
      <x:c r="T533" s="26" t="str">
        <x:v>673d833716e7d37222100d1616df66870490ecb8e9ca5da175322636d4a674f6</x:v>
      </x:c>
    </x:row>
    <x:row r="534" ht="60" customHeight="1">
      <x:c r="A534" s="26" t="str">
        <x:v>J1842+1332</x:v>
      </x:c>
      <x:c r="B534" s="26" t="str"/>
      <x:c r="C534" s="26" t="str">
        <x:v>NO_TRIGGER</x:v>
      </x:c>
      <x:c r="D534" s="26" t="str">
        <x:v>tpa-batch07-20260908-J1842+1332-run01</x:v>
      </x:c>
      <x:c r="E534" s="26" t="str">
        <x:v>No qualifying signal in eligible 30–400-day cells</x:v>
      </x:c>
      <x:c r="F534" s="26" t="str">
        <x:v>Retain result; consider independent data or a separately defined new scope</x:v>
      </x:c>
      <x:c r="G534" s="26" t="str">
        <x:v>SEARCHED</x:v>
      </x:c>
      <x:c r="H534" s="27" t="n">
        <x:v>427</x:v>
      </x:c>
      <x:c r="I534" s="27" t="n">
        <x:v>54</x:v>
      </x:c>
      <x:c r="J534" s="28" t="n">
        <x:v>1271.455182505808</x:v>
      </x:c>
      <x:c r="K534" s="26" t="str">
        <x:v>tpa-batch07-20260908</x:v>
      </x:c>
      <x:c r="L534" s="26"/>
      <x:c r="M534" s="26" t="str">
        <x:v>Absent from named inventory</x:v>
      </x:c>
      <x:c r="N534" s="26" t="str">
        <x:v>Absent from named inventory</x:v>
      </x:c>
      <x:c r="O534" s="26" t="str">
        <x:v>Absent from named inventory</x:v>
      </x:c>
      <x:c r="P534" s="26"/>
      <x:c r="Q534" s="26" t="str">
        <x:v>../Project Recherche Data/tpa-batch07-20260908/selection.json</x:v>
      </x:c>
      <x:c r="R534" s="26" t="str">
        <x:v>a0944d5da0924367a8ed78a56de7826f64b6d517eb7c66fa044c452abc4894a7</x:v>
      </x:c>
      <x:c r="S534" s="26" t="str">
        <x:v>70db241dfd5f704c300b251f5d4a5e54e7300d3dcbb9237a7c3b0af5d8890a1d</x:v>
      </x:c>
      <x:c r="T534" s="26" t="str">
        <x:v>13d6d92fb08a8bfaa46fa0f8c0cf32a96d10551b6b6f40f9068b23c2dad55789</x:v>
      </x:c>
    </x:row>
    <x:row r="535" ht="60" customHeight="1">
      <x:c r="A535" s="26" t="str">
        <x:v>J1842-0359</x:v>
      </x:c>
      <x:c r="B535" s="26" t="str">
        <x:v>B1839-04</x:v>
      </x:c>
      <x:c r="C535" s="26" t="str">
        <x:v>NO_TRIGGER</x:v>
      </x:c>
      <x:c r="D535" s="26" t="str">
        <x:v>utmost-batch05-20260909-J1842-0359-run01</x:v>
      </x:c>
      <x:c r="E535" s="26" t="str">
        <x:v>No qualifying signal in eligible 30–400-day cells</x:v>
      </x:c>
      <x:c r="F535" s="26" t="str">
        <x:v>Retain result; consider independent data or a separately defined new scope</x:v>
      </x:c>
      <x:c r="G535" s="26" t="str">
        <x:v>UTMOST SEARCHED</x:v>
      </x:c>
      <x:c r="H535" s="27" t="n">
        <x:v>440</x:v>
      </x:c>
      <x:c r="I535" s="27" t="n">
        <x:v>55</x:v>
      </x:c>
      <x:c r="J535" s="28" t="n">
        <x:v>1280.2410624562253</x:v>
      </x:c>
      <x:c r="K535" s="26" t="str">
        <x:v>tpa-batch10-20260908</x:v>
      </x:c>
      <x:c r="L535" s="26"/>
      <x:c r="M535" s="26" t="str">
        <x:v>Present</x:v>
      </x:c>
      <x:c r="N535" s="26" t="str">
        <x:v>Absent from named inventory</x:v>
      </x:c>
      <x:c r="O535" s="26" t="str">
        <x:v>Absent from named inventory</x:v>
      </x:c>
      <x:c r="P535" s="26"/>
      <x:c r="Q535" s="26" t="str">
        <x:v>../Project Recherche Data/tpa-batch10-20260908/selection.json</x:v>
      </x:c>
      <x:c r="R535" s="26" t="str">
        <x:v>f291b1f7787d65b8a00b6e0862fccba716fb6a5f33f3265ceaca9fa5b1fd2c2a</x:v>
      </x:c>
      <x:c r="S535" s="26" t="str">
        <x:v>858f5ef9d275786e53101e579786303ef19962063f7beed299ccba3a589f882c</x:v>
      </x:c>
      <x:c r="T535" s="26" t="str">
        <x:v>c2b44904a054646de505cc45f95259dd3789df274960bc347f09075921b15d9f</x:v>
      </x:c>
    </x:row>
    <x:row r="536" ht="60" customHeight="1">
      <x:c r="A536" s="26" t="str">
        <x:v>J1842-0905</x:v>
      </x:c>
      <x:c r="B536" s="26" t="str"/>
      <x:c r="C536" s="26" t="str">
        <x:v>NOT_SEARCHED</x:v>
      </x:c>
      <x:c r="D536" s="26"/>
      <x:c r="E536" s="26" t="str">
        <x:v>No observed search</x:v>
      </x:c>
      <x:c r="F536" s="26" t="str">
        <x:v>Retain exclusion for current scope</x:v>
      </x:c>
      <x:c r="G536" s="26" t="str">
        <x:v>TPA EXCLUDED</x:v>
      </x:c>
      <x:c r="H536" s="27" t="n">
        <x:v>232</x:v>
      </x:c>
      <x:c r="I536" s="27" t="n">
        <x:v>29</x:v>
      </x:c>
      <x:c r="J536" s="28" t="n">
        <x:v>1233.4527868994119</x:v>
      </x:c>
      <x:c r="K536" s="26"/>
      <x:c r="L536" s="26" t="str">
        <x:v>insufficient_span_or_epochs</x:v>
      </x:c>
      <x:c r="M536" s="26" t="str">
        <x:v>Present</x:v>
      </x:c>
      <x:c r="N536" s="26" t="str">
        <x:v>Absent from named inventory</x:v>
      </x:c>
      <x:c r="O536" s="26" t="str">
        <x:v>Absent from named inventory</x:v>
      </x:c>
      <x:c r="P536" s="26"/>
      <x:c r="Q536" s="26" t="str">
        <x:v>../Project Recherche Data/tpa-batch01-20260908/selection.json</x:v>
      </x:c>
      <x:c r="R536" s="26" t="str">
        <x:v>047722e4dca24e16c44c810f43990492b2f988012ca2b4bab47826ff4c95f1db</x:v>
      </x:c>
      <x:c r="S536" s="26" t="str">
        <x:v>c81cc5885c7f4569d19b3fb153b644a87a6337f7d931bb9d11ae7fc544094d8d</x:v>
      </x:c>
      <x:c r="T536" s="26" t="str">
        <x:v>ac399ce06a3b4f45f772eb7e3d7abd4d205234b37436ee8142cf7f4cfe4bea15</x:v>
      </x:c>
    </x:row>
    <x:row r="537" ht="60" customHeight="1">
      <x:c r="A537" s="26" t="str">
        <x:v>J1843-0000</x:v>
      </x:c>
      <x:c r="B537" s="26" t="str"/>
      <x:c r="C537" s="26" t="str">
        <x:v>NO_TRIGGER</x:v>
      </x:c>
      <x:c r="D537" s="26" t="str">
        <x:v>tpa-batch04-20260908-J1843-0000-run01</x:v>
      </x:c>
      <x:c r="E537" s="26" t="str">
        <x:v>No qualifying signal in eligible 30–400-day cells</x:v>
      </x:c>
      <x:c r="F537" s="26" t="str">
        <x:v>Retain result; consider independent data or a separately defined new scope</x:v>
      </x:c>
      <x:c r="G537" s="26" t="str">
        <x:v>SEARCHED</x:v>
      </x:c>
      <x:c r="H537" s="27" t="n">
        <x:v>432</x:v>
      </x:c>
      <x:c r="I537" s="27" t="n">
        <x:v>54</x:v>
      </x:c>
      <x:c r="J537" s="28" t="n">
        <x:v>1280.219111933111</x:v>
      </x:c>
      <x:c r="K537" s="26" t="str">
        <x:v>tpa-batch04-20260908</x:v>
      </x:c>
      <x:c r="L537" s="26"/>
      <x:c r="M537" s="26" t="str">
        <x:v>Absent from named inventory</x:v>
      </x:c>
      <x:c r="N537" s="26" t="str">
        <x:v>Absent from named inventory</x:v>
      </x:c>
      <x:c r="O537" s="26" t="str">
        <x:v>Absent from named inventory</x:v>
      </x:c>
      <x:c r="P537" s="26"/>
      <x:c r="Q537" s="26" t="str">
        <x:v>../Project Recherche Data/tpa-batch04-20260908/selection.json</x:v>
      </x:c>
      <x:c r="R537" s="26" t="str">
        <x:v>88cb06482cd14a2f65e966c23ca1cdea20fdeb356fd59137885e0ec5f3b47d1a</x:v>
      </x:c>
      <x:c r="S537" s="26" t="str">
        <x:v>65fd8df8ff9ba845f8cd2e9c5ec8b376a3a4309737dcc5b18a45a9446846e5ad</x:v>
      </x:c>
      <x:c r="T537" s="26" t="str">
        <x:v>cbbfd4a51540958c417c8452335d30803a4dd0a05018733163dfeb864ceeab35</x:v>
      </x:c>
    </x:row>
    <x:row r="538" ht="60" customHeight="1">
      <x:c r="A538" s="26" t="str">
        <x:v>J1843-0211</x:v>
      </x:c>
      <x:c r="B538" s="26" t="str"/>
      <x:c r="C538" s="26" t="str">
        <x:v>NOT_SEARCHED</x:v>
      </x:c>
      <x:c r="D538" s="26"/>
      <x:c r="E538" s="26" t="str">
        <x:v>No observed search</x:v>
      </x:c>
      <x:c r="F538" s="26" t="str">
        <x:v>Retain exclusion for current scope</x:v>
      </x:c>
      <x:c r="G538" s="26" t="str">
        <x:v>TPA EXCLUDED</x:v>
      </x:c>
      <x:c r="H538" s="27" t="n">
        <x:v>240</x:v>
      </x:c>
      <x:c r="I538" s="27" t="n">
        <x:v>30</x:v>
      </x:c>
      <x:c r="J538" s="28" t="n">
        <x:v>1270.4180368610832</x:v>
      </x:c>
      <x:c r="K538" s="26"/>
      <x:c r="L538" s="26" t="str">
        <x:v>insufficient_span_or_epochs</x:v>
      </x:c>
      <x:c r="M538" s="26" t="str">
        <x:v>Absent from named inventory</x:v>
      </x:c>
      <x:c r="N538" s="26" t="str">
        <x:v>Absent from named inventory</x:v>
      </x:c>
      <x:c r="O538" s="26" t="str">
        <x:v>Absent from named inventory</x:v>
      </x:c>
      <x:c r="P538" s="26"/>
      <x:c r="Q538" s="26" t="str">
        <x:v>../Project Recherche Data/tpa-batch01-20260908/selection.json</x:v>
      </x:c>
      <x:c r="R538" s="26" t="str">
        <x:v>047722e4dca24e16c44c810f43990492b2f988012ca2b4bab47826ff4c95f1db</x:v>
      </x:c>
      <x:c r="S538" s="26" t="str">
        <x:v>cc3986300ac57fee81a3425f115941f772bdf78cb5abff39a76b31af2f87a657</x:v>
      </x:c>
      <x:c r="T538" s="26" t="str">
        <x:v>83b78a72a9b52fa64768238c362749647be99ceeea0fabe563f24640352c5a4d</x:v>
      </x:c>
    </x:row>
    <x:row r="539" ht="60" customHeight="1">
      <x:c r="A539" s="26" t="str">
        <x:v>J1843-0459</x:v>
      </x:c>
      <x:c r="B539" s="26" t="str"/>
      <x:c r="C539" s="26" t="str">
        <x:v>NOT_SEARCHED</x:v>
      </x:c>
      <x:c r="D539" s="26"/>
      <x:c r="E539" s="26" t="str">
        <x:v>No observed search</x:v>
      </x:c>
      <x:c r="F539" s="26" t="str">
        <x:v>Retain exclusion for current scope</x:v>
      </x:c>
      <x:c r="G539" s="26" t="str">
        <x:v>TPA EXCLUDED</x:v>
      </x:c>
      <x:c r="H539" s="27" t="n">
        <x:v>240</x:v>
      </x:c>
      <x:c r="I539" s="27" t="n">
        <x:v>30</x:v>
      </x:c>
      <x:c r="J539" s="28" t="n">
        <x:v>1270.443496505599</x:v>
      </x:c>
      <x:c r="K539" s="26"/>
      <x:c r="L539" s="26" t="str">
        <x:v>insufficient_span_or_epochs</x:v>
      </x:c>
      <x:c r="M539" s="26" t="str">
        <x:v>Absent from named inventory</x:v>
      </x:c>
      <x:c r="N539" s="26" t="str">
        <x:v>Absent from named inventory</x:v>
      </x:c>
      <x:c r="O539" s="26" t="str">
        <x:v>Absent from named inventory</x:v>
      </x:c>
      <x:c r="P539" s="26"/>
      <x:c r="Q539" s="26" t="str">
        <x:v>../Project Recherche Data/tpa-batch01-20260908/selection.json</x:v>
      </x:c>
      <x:c r="R539" s="26" t="str">
        <x:v>047722e4dca24e16c44c810f43990492b2f988012ca2b4bab47826ff4c95f1db</x:v>
      </x:c>
      <x:c r="S539" s="26" t="str">
        <x:v>1acf7492d8031251a33a2cecd87973ab3aaa349e98176fa85f2545d31e0001aa</x:v>
      </x:c>
      <x:c r="T539" s="26" t="str">
        <x:v>c0ea8f0d3767e01385b80a38c3769b5c425d4e8405532efe63504a4c3af30faa</x:v>
      </x:c>
    </x:row>
    <x:row r="540" ht="60" customHeight="1">
      <x:c r="A540" s="26" t="str">
        <x:v>J1843-0806</x:v>
      </x:c>
      <x:c r="B540" s="26" t="str"/>
      <x:c r="C540" s="26" t="str">
        <x:v>NOT_SEARCHED</x:v>
      </x:c>
      <x:c r="D540" s="26"/>
      <x:c r="E540" s="26" t="str">
        <x:v>No observed search</x:v>
      </x:c>
      <x:c r="F540" s="26" t="str">
        <x:v>Retain exclusion for current scope</x:v>
      </x:c>
      <x:c r="G540" s="26" t="str">
        <x:v>TPA EXCLUDED</x:v>
      </x:c>
      <x:c r="H540" s="27" t="n">
        <x:v>240</x:v>
      </x:c>
      <x:c r="I540" s="27" t="n">
        <x:v>30</x:v>
      </x:c>
      <x:c r="J540" s="28" t="n">
        <x:v>1412.1540275471416</x:v>
      </x:c>
      <x:c r="K540" s="26"/>
      <x:c r="L540" s="26" t="str">
        <x:v>insufficient_span_or_epochs</x:v>
      </x:c>
      <x:c r="M540" s="26" t="str">
        <x:v>Absent from named inventory</x:v>
      </x:c>
      <x:c r="N540" s="26" t="str">
        <x:v>Absent from named inventory</x:v>
      </x:c>
      <x:c r="O540" s="26" t="str">
        <x:v>Absent from named inventory</x:v>
      </x:c>
      <x:c r="P540" s="26"/>
      <x:c r="Q540" s="26" t="str">
        <x:v>../Project Recherche Data/tpa-batch01-20260908/selection.json</x:v>
      </x:c>
      <x:c r="R540" s="26" t="str">
        <x:v>047722e4dca24e16c44c810f43990492b2f988012ca2b4bab47826ff4c95f1db</x:v>
      </x:c>
      <x:c r="S540" s="26" t="str">
        <x:v>7b0eceb8e45e2bd7470e05e0f00fff3e0a7953423fc9b767388bef6e094ddc2d</x:v>
      </x:c>
      <x:c r="T540" s="26" t="str">
        <x:v>e9257c108e47d0c52ba0625c3aa23e77c54ec79b337b2c8e50c9ab73ed134159</x:v>
      </x:c>
    </x:row>
    <x:row r="541" ht="60" customHeight="1">
      <x:c r="A541" s="26" t="str">
        <x:v>J1844+1454</x:v>
      </x:c>
      <x:c r="B541" s="26" t="str">
        <x:v>B1842+14</x:v>
      </x:c>
      <x:c r="C541" s="26" t="str">
        <x:v>NO_TRIGGER</x:v>
      </x:c>
      <x:c r="D541" s="26" t="str">
        <x:v>tpa-batch07-20260908-J1844+1454-run01</x:v>
      </x:c>
      <x:c r="E541" s="26" t="str">
        <x:v>No qualifying signal in eligible 30–400-day cells</x:v>
      </x:c>
      <x:c r="F541" s="26" t="str">
        <x:v>Retain result; consider independent data or a separately defined new scope</x:v>
      </x:c>
      <x:c r="G541" s="26" t="str">
        <x:v>SEARCHED</x:v>
      </x:c>
      <x:c r="H541" s="27" t="n">
        <x:v>424</x:v>
      </x:c>
      <x:c r="I541" s="27" t="n">
        <x:v>53</x:v>
      </x:c>
      <x:c r="J541" s="28" t="n">
        <x:v>1271.4324365966604</x:v>
      </x:c>
      <x:c r="K541" s="26" t="str">
        <x:v>tpa-batch07-20260908</x:v>
      </x:c>
      <x:c r="L541" s="26"/>
      <x:c r="M541" s="26" t="str">
        <x:v>Present</x:v>
      </x:c>
      <x:c r="N541" s="26" t="str">
        <x:v>Absent from named inventory</x:v>
      </x:c>
      <x:c r="O541" s="26" t="str">
        <x:v>Absent from named inventory</x:v>
      </x:c>
      <x:c r="P541" s="26"/>
      <x:c r="Q541" s="26" t="str">
        <x:v>../Project Recherche Data/tpa-batch07-20260908/selection.json</x:v>
      </x:c>
      <x:c r="R541" s="26" t="str">
        <x:v>a0944d5da0924367a8ed78a56de7826f64b6d517eb7c66fa044c452abc4894a7</x:v>
      </x:c>
      <x:c r="S541" s="26" t="str">
        <x:v>121279b4f1b70bc0245b68d94a1f3c1123ff7389fab8515829e0b867415039f3</x:v>
      </x:c>
      <x:c r="T541" s="26" t="str">
        <x:v>fb824c17d07b9fc7c86f1a18220c8bcae9f4a3160a3d077cc89681d9e6596915</x:v>
      </x:c>
    </x:row>
    <x:row r="542" ht="60" customHeight="1">
      <x:c r="A542" s="26" t="str">
        <x:v>J1844-0030</x:v>
      </x:c>
      <x:c r="B542" s="26" t="str"/>
      <x:c r="C542" s="26" t="str">
        <x:v>NOT_SEARCHED</x:v>
      </x:c>
      <x:c r="D542" s="26"/>
      <x:c r="E542" s="26" t="str">
        <x:v>No observed search</x:v>
      </x:c>
      <x:c r="F542" s="26" t="str">
        <x:v>Retain exclusion for current scope</x:v>
      </x:c>
      <x:c r="G542" s="26" t="str">
        <x:v>TPA EXCLUDED</x:v>
      </x:c>
      <x:c r="H542" s="27" t="n">
        <x:v>216</x:v>
      </x:c>
      <x:c r="I542" s="27" t="n">
        <x:v>27</x:v>
      </x:c>
      <x:c r="J542" s="28" t="n">
        <x:v>1085.0718247152472</x:v>
      </x:c>
      <x:c r="K542" s="26"/>
      <x:c r="L542" s="26" t="str">
        <x:v>insufficient_span_or_epochs</x:v>
      </x:c>
      <x:c r="M542" s="26" t="str">
        <x:v>Absent from named inventory</x:v>
      </x:c>
      <x:c r="N542" s="26" t="str">
        <x:v>Absent from named inventory</x:v>
      </x:c>
      <x:c r="O542" s="26" t="str">
        <x:v>Absent from named inventory</x:v>
      </x:c>
      <x:c r="P542" s="26"/>
      <x:c r="Q542" s="26" t="str">
        <x:v>../Project Recherche Data/tpa-batch01-20260908/selection.json</x:v>
      </x:c>
      <x:c r="R542" s="26" t="str">
        <x:v>047722e4dca24e16c44c810f43990492b2f988012ca2b4bab47826ff4c95f1db</x:v>
      </x:c>
      <x:c r="S542" s="26" t="str">
        <x:v>2933579eb1f7f91fbe690af8939f0d5d21f8034126150fb4843672a22c0bdafb</x:v>
      </x:c>
      <x:c r="T542" s="26" t="str">
        <x:v>eccafd26f4be7583b269ccc9f9f34a47f140858a3818a053f0687d193a7da530</x:v>
      </x:c>
    </x:row>
    <x:row r="543" ht="60" customHeight="1">
      <x:c r="A543" s="26" t="str">
        <x:v>J1844-0433</x:v>
      </x:c>
      <x:c r="B543" s="26" t="str">
        <x:v>B1841-04</x:v>
      </x:c>
      <x:c r="C543" s="26" t="str">
        <x:v>NO_TRIGGER</x:v>
      </x:c>
      <x:c r="D543" s="26" t="str">
        <x:v>tpa-batch08-20260908-J1844-0433-run01</x:v>
      </x:c>
      <x:c r="E543" s="26" t="str">
        <x:v>No qualifying signal in eligible 30–400-day cells</x:v>
      </x:c>
      <x:c r="F543" s="26" t="str">
        <x:v>Retain result; consider independent data or a separately defined new scope</x:v>
      </x:c>
      <x:c r="G543" s="26" t="str">
        <x:v>SEARCHED</x:v>
      </x:c>
      <x:c r="H543" s="27" t="n">
        <x:v>432</x:v>
      </x:c>
      <x:c r="I543" s="27" t="n">
        <x:v>54</x:v>
      </x:c>
      <x:c r="J543" s="28" t="n">
        <x:v>1280.267102088459</x:v>
      </x:c>
      <x:c r="K543" s="26" t="str">
        <x:v>tpa-batch08-20260908</x:v>
      </x:c>
      <x:c r="L543" s="26"/>
      <x:c r="M543" s="26" t="str">
        <x:v>Present</x:v>
      </x:c>
      <x:c r="N543" s="26" t="str">
        <x:v>Absent from named inventory</x:v>
      </x:c>
      <x:c r="O543" s="26" t="str">
        <x:v>Absent from named inventory</x:v>
      </x:c>
      <x:c r="P543" s="26"/>
      <x:c r="Q543" s="26" t="str">
        <x:v>../Project Recherche Data/tpa-batch08-20260908/selection.json</x:v>
      </x:c>
      <x:c r="R543" s="26" t="str">
        <x:v>6fe595c0d188861ebc661368dcb361d40c70c01fd3243f0147e51a513ec4e764</x:v>
      </x:c>
      <x:c r="S543" s="26" t="str">
        <x:v>e4eb1f99ad1fd575bde01534c01440c028bf09826027815fa314635978d2023d</x:v>
      </x:c>
      <x:c r="T543" s="26" t="str">
        <x:v>3ac4dcebf1c617cffd6fb4848b5b249a69091d3f8947fd809ad07c97cf5da757</x:v>
      </x:c>
    </x:row>
    <x:row r="544" ht="60" customHeight="1">
      <x:c r="A544" s="26" t="str">
        <x:v>J1845+0623</x:v>
      </x:c>
      <x:c r="B544" s="26" t="str"/>
      <x:c r="C544" s="26" t="str">
        <x:v>NOT_SEARCHED</x:v>
      </x:c>
      <x:c r="D544" s="26"/>
      <x:c r="E544" s="26" t="str">
        <x:v>No observed search</x:v>
      </x:c>
      <x:c r="F544" s="26" t="str">
        <x:v>Retain exclusion for current scope</x:v>
      </x:c>
      <x:c r="G544" s="26" t="str">
        <x:v>TPA EXCLUDED</x:v>
      </x:c>
      <x:c r="H544" s="27" t="n">
        <x:v>214</x:v>
      </x:c>
      <x:c r="I544" s="27" t="n">
        <x:v>27</x:v>
      </x:c>
      <x:c r="J544" s="28" t="n">
        <x:v>1085.0637121853142</x:v>
      </x:c>
      <x:c r="K544" s="26"/>
      <x:c r="L544" s="26" t="str">
        <x:v>insufficient_span_or_epochs</x:v>
      </x:c>
      <x:c r="M544" s="26" t="str">
        <x:v>Present</x:v>
      </x:c>
      <x:c r="N544" s="26" t="str">
        <x:v>Absent from named inventory</x:v>
      </x:c>
      <x:c r="O544" s="26" t="str">
        <x:v>Absent from named inventory</x:v>
      </x:c>
      <x:c r="P544" s="26"/>
      <x:c r="Q544" s="26" t="str">
        <x:v>../Project Recherche Data/tpa-batch01-20260908/selection.json</x:v>
      </x:c>
      <x:c r="R544" s="26" t="str">
        <x:v>047722e4dca24e16c44c810f43990492b2f988012ca2b4bab47826ff4c95f1db</x:v>
      </x:c>
      <x:c r="S544" s="26" t="str">
        <x:v>6e0cf2ed793ef223692538d5579317f9e8bf28168b7570a2744c10ca489ad30b</x:v>
      </x:c>
      <x:c r="T544" s="26" t="str">
        <x:v>b78ecd26fe6fd39a20748438815098d33c8b59d5219612df6fee85698853c842</x:v>
      </x:c>
    </x:row>
    <x:row r="545" ht="60" customHeight="1">
      <x:c r="A545" s="26" t="str">
        <x:v>J1845-0434</x:v>
      </x:c>
      <x:c r="B545" s="26" t="str">
        <x:v>B1842-04</x:v>
      </x:c>
      <x:c r="C545" s="26" t="str">
        <x:v>NO_TRIGGER</x:v>
      </x:c>
      <x:c r="D545" s="26" t="str">
        <x:v>tpa-batch08-20260908-J1845-0434-run01</x:v>
      </x:c>
      <x:c r="E545" s="26" t="str">
        <x:v>No qualifying signal in eligible 30–400-day cells</x:v>
      </x:c>
      <x:c r="F545" s="26" t="str">
        <x:v>Retain result; consider independent data or a separately defined new scope</x:v>
      </x:c>
      <x:c r="G545" s="26" t="str">
        <x:v>SEARCHED</x:v>
      </x:c>
      <x:c r="H545" s="27" t="n">
        <x:v>432</x:v>
      </x:c>
      <x:c r="I545" s="27" t="n">
        <x:v>54</x:v>
      </x:c>
      <x:c r="J545" s="28" t="n">
        <x:v>1257.410632637766</x:v>
      </x:c>
      <x:c r="K545" s="26" t="str">
        <x:v>tpa-batch08-20260908</x:v>
      </x:c>
      <x:c r="L545" s="26"/>
      <x:c r="M545" s="26" t="str">
        <x:v>Present</x:v>
      </x:c>
      <x:c r="N545" s="26" t="str">
        <x:v>Absent from named inventory</x:v>
      </x:c>
      <x:c r="O545" s="26" t="str">
        <x:v>Absent from named inventory</x:v>
      </x:c>
      <x:c r="P545" s="26"/>
      <x:c r="Q545" s="26" t="str">
        <x:v>../Project Recherche Data/tpa-batch08-20260908/selection.json</x:v>
      </x:c>
      <x:c r="R545" s="26" t="str">
        <x:v>6fe595c0d188861ebc661368dcb361d40c70c01fd3243f0147e51a513ec4e764</x:v>
      </x:c>
      <x:c r="S545" s="26" t="str">
        <x:v>1863be83e50365b6a02afbbedf4d3342ccdcef2639dd74a378488abfd9b78147</x:v>
      </x:c>
      <x:c r="T545" s="26" t="str">
        <x:v>9fc2803d1721d96b5582a44d9112d1f56704ca1d5631a24b28fe25b06454af87</x:v>
      </x:c>
    </x:row>
    <x:row r="546" ht="60" customHeight="1">
      <x:c r="A546" s="26" t="str">
        <x:v>J1845-0545</x:v>
      </x:c>
      <x:c r="B546" s="26" t="str"/>
      <x:c r="C546" s="26" t="str">
        <x:v>NOT_SEARCHED</x:v>
      </x:c>
      <x:c r="D546" s="26"/>
      <x:c r="E546" s="26" t="str">
        <x:v>No observed search</x:v>
      </x:c>
      <x:c r="F546" s="26" t="str">
        <x:v>Retain exclusion for current scope</x:v>
      </x:c>
      <x:c r="G546" s="26" t="str">
        <x:v>TPA EXCLUDED</x:v>
      </x:c>
      <x:c r="H546" s="27" t="n">
        <x:v>183</x:v>
      </x:c>
      <x:c r="I546" s="27" t="n">
        <x:v>23</x:v>
      </x:c>
      <x:c r="J546" s="28" t="n">
        <x:v>1085.1312564694672</x:v>
      </x:c>
      <x:c r="K546" s="26"/>
      <x:c r="L546" s="26" t="str">
        <x:v>insufficient_span_or_epochs</x:v>
      </x:c>
      <x:c r="M546" s="26" t="str">
        <x:v>Absent from named inventory</x:v>
      </x:c>
      <x:c r="N546" s="26" t="str">
        <x:v>Absent from named inventory</x:v>
      </x:c>
      <x:c r="O546" s="26" t="str">
        <x:v>Absent from named inventory</x:v>
      </x:c>
      <x:c r="P546" s="26"/>
      <x:c r="Q546" s="26" t="str">
        <x:v>../Project Recherche Data/tpa-batch01-20260908/selection.json</x:v>
      </x:c>
      <x:c r="R546" s="26" t="str">
        <x:v>047722e4dca24e16c44c810f43990492b2f988012ca2b4bab47826ff4c95f1db</x:v>
      </x:c>
      <x:c r="S546" s="26" t="str">
        <x:v>db3f35be0882a26f87f8ffa86493db7f0f84d526d7201bf2b6c1f16b7cca82e0</x:v>
      </x:c>
      <x:c r="T546" s="26" t="str">
        <x:v>1d2b0ef87fcaab524f21d701352bf9235bba39ed2e2784d18ca5e09d4335ec1e</x:v>
      </x:c>
    </x:row>
    <x:row r="547" ht="60" customHeight="1">
      <x:c r="A547" s="26" t="str">
        <x:v>J1845-0635</x:v>
      </x:c>
      <x:c r="B547" s="26" t="str"/>
      <x:c r="C547" s="26" t="str">
        <x:v>NOT_SEARCHED</x:v>
      </x:c>
      <x:c r="D547" s="26"/>
      <x:c r="E547" s="26" t="str">
        <x:v>No observed search</x:v>
      </x:c>
      <x:c r="F547" s="26" t="str">
        <x:v>Retain exclusion for current scope</x:v>
      </x:c>
      <x:c r="G547" s="26" t="str">
        <x:v>TPA EXCLUDED</x:v>
      </x:c>
      <x:c r="H547" s="27" t="n">
        <x:v>256</x:v>
      </x:c>
      <x:c r="I547" s="27" t="n">
        <x:v>32</x:v>
      </x:c>
      <x:c r="J547" s="28" t="n">
        <x:v>1412.1701239703616</x:v>
      </x:c>
      <x:c r="K547" s="26"/>
      <x:c r="L547" s="26" t="str">
        <x:v>insufficient_span_or_epochs</x:v>
      </x:c>
      <x:c r="M547" s="26" t="str">
        <x:v>Present</x:v>
      </x:c>
      <x:c r="N547" s="26" t="str">
        <x:v>Absent from named inventory</x:v>
      </x:c>
      <x:c r="O547" s="26" t="str">
        <x:v>Absent from named inventory</x:v>
      </x:c>
      <x:c r="P547" s="26"/>
      <x:c r="Q547" s="26" t="str">
        <x:v>../Project Recherche Data/tpa-batch01-20260908/selection.json</x:v>
      </x:c>
      <x:c r="R547" s="26" t="str">
        <x:v>047722e4dca24e16c44c810f43990492b2f988012ca2b4bab47826ff4c95f1db</x:v>
      </x:c>
      <x:c r="S547" s="26" t="str">
        <x:v>1ec2057600a88933560fb626e3132fe9c2b6bdf6a33d557a578ecde42d2db513</x:v>
      </x:c>
      <x:c r="T547" s="26" t="str">
        <x:v>816815140b550b2074079d5767d124588f28bef51eaf9079cb97d95c31dd2b9e</x:v>
      </x:c>
    </x:row>
    <x:row r="548" ht="60" customHeight="1">
      <x:c r="A548" s="26" t="str">
        <x:v>J1845-0743</x:v>
      </x:c>
      <x:c r="B548" s="26" t="str"/>
      <x:c r="C548" s="26" t="str">
        <x:v>NOT_SEARCHED</x:v>
      </x:c>
      <x:c r="D548" s="26"/>
      <x:c r="E548" s="26" t="str">
        <x:v>No observed search</x:v>
      </x:c>
      <x:c r="F548" s="26" t="str">
        <x:v>Retain exclusion for current scope</x:v>
      </x:c>
      <x:c r="G548" s="26" t="str">
        <x:v>TPA EXCLUDED</x:v>
      </x:c>
      <x:c r="H548" s="27" t="n">
        <x:v>96</x:v>
      </x:c>
      <x:c r="I548" s="27" t="n">
        <x:v>12</x:v>
      </x:c>
      <x:c r="J548" s="28" t="n">
        <x:v>486.596982787647</x:v>
      </x:c>
      <x:c r="K548" s="26"/>
      <x:c r="L548" s="26" t="str">
        <x:v>insufficient_span_or_epochs</x:v>
      </x:c>
      <x:c r="M548" s="26" t="str">
        <x:v>Present</x:v>
      </x:c>
      <x:c r="N548" s="26" t="str">
        <x:v>Absent from named inventory</x:v>
      </x:c>
      <x:c r="O548" s="26" t="str">
        <x:v>Absent from named inventory</x:v>
      </x:c>
      <x:c r="P548" s="26"/>
      <x:c r="Q548" s="26" t="str">
        <x:v>../Project Recherche Data/tpa-batch01-20260908/selection.json</x:v>
      </x:c>
      <x:c r="R548" s="26" t="str">
        <x:v>047722e4dca24e16c44c810f43990492b2f988012ca2b4bab47826ff4c95f1db</x:v>
      </x:c>
      <x:c r="S548" s="26" t="str">
        <x:v>edbd76faa41849fb0898587a930308f7fb9e587c2b1c850cfb71fb930e634e9d</x:v>
      </x:c>
      <x:c r="T548" s="26" t="str">
        <x:v>56715455773549029e12bf75e32ef962e5fda3bc75b70cb1583690e1c41619b0</x:v>
      </x:c>
    </x:row>
    <x:row r="549" ht="60" customHeight="1">
      <x:c r="A549" s="26" t="str">
        <x:v>J1845-1114</x:v>
      </x:c>
      <x:c r="B549" s="26" t="str"/>
      <x:c r="C549" s="26" t="str">
        <x:v>NOT_SEARCHED</x:v>
      </x:c>
      <x:c r="D549" s="26"/>
      <x:c r="E549" s="26" t="str">
        <x:v>No observed search</x:v>
      </x:c>
      <x:c r="F549" s="26" t="str">
        <x:v>Retain exclusion for current scope</x:v>
      </x:c>
      <x:c r="G549" s="26" t="str">
        <x:v>TPA EXCLUDED</x:v>
      </x:c>
      <x:c r="H549" s="27" t="n">
        <x:v>408</x:v>
      </x:c>
      <x:c r="I549" s="27" t="n">
        <x:v>51</x:v>
      </x:c>
      <x:c r="J549" s="28" t="n">
        <x:v>1094.9831387854501</x:v>
      </x:c>
      <x:c r="K549" s="26"/>
      <x:c r="L549" s="26" t="str">
        <x:v>insufficient_span_or_epochs</x:v>
      </x:c>
      <x:c r="M549" s="26" t="str">
        <x:v>Present</x:v>
      </x:c>
      <x:c r="N549" s="26" t="str">
        <x:v>Absent from named inventory</x:v>
      </x:c>
      <x:c r="O549" s="26" t="str">
        <x:v>Absent from named inventory</x:v>
      </x:c>
      <x:c r="P549" s="26"/>
      <x:c r="Q549" s="26" t="str">
        <x:v>../Project Recherche Data/tpa-batch01-20260908/selection.json</x:v>
      </x:c>
      <x:c r="R549" s="26" t="str">
        <x:v>047722e4dca24e16c44c810f43990492b2f988012ca2b4bab47826ff4c95f1db</x:v>
      </x:c>
      <x:c r="S549" s="26" t="str">
        <x:v>77a1cda473086e22bb08adaf27bbae0adf688dbde9eeaa8dac57c33ade450ff1</x:v>
      </x:c>
      <x:c r="T549" s="26" t="str">
        <x:v>bec95ea3ac1de9834868865342f636b7601fe879c176c439b197f53f162c69fe</x:v>
      </x:c>
    </x:row>
    <x:row r="550" ht="60" customHeight="1">
      <x:c r="A550" s="26" t="str">
        <x:v>J1846+0051</x:v>
      </x:c>
      <x:c r="B550" s="26" t="str"/>
      <x:c r="C550" s="26" t="str">
        <x:v>NOT_SEARCHED</x:v>
      </x:c>
      <x:c r="D550" s="26"/>
      <x:c r="E550" s="26" t="str">
        <x:v>No observed search</x:v>
      </x:c>
      <x:c r="F550" s="26" t="str">
        <x:v>Retain exclusion for current scope</x:v>
      </x:c>
      <x:c r="G550" s="26" t="str">
        <x:v>TPA EXCLUDED</x:v>
      </x:c>
      <x:c r="H550" s="27" t="n">
        <x:v>214</x:v>
      </x:c>
      <x:c r="I550" s="27" t="n">
        <x:v>27</x:v>
      </x:c>
      <x:c r="J550" s="28" t="n">
        <x:v>1085.0586261731078</x:v>
      </x:c>
      <x:c r="K550" s="26"/>
      <x:c r="L550" s="26" t="str">
        <x:v>insufficient_span_or_epochs</x:v>
      </x:c>
      <x:c r="M550" s="26" t="str">
        <x:v>Absent from named inventory</x:v>
      </x:c>
      <x:c r="N550" s="26" t="str">
        <x:v>Absent from named inventory</x:v>
      </x:c>
      <x:c r="O550" s="26" t="str">
        <x:v>Absent from named inventory</x:v>
      </x:c>
      <x:c r="P550" s="26"/>
      <x:c r="Q550" s="26" t="str">
        <x:v>../Project Recherche Data/tpa-batch01-20260908/selection.json</x:v>
      </x:c>
      <x:c r="R550" s="26" t="str">
        <x:v>047722e4dca24e16c44c810f43990492b2f988012ca2b4bab47826ff4c95f1db</x:v>
      </x:c>
      <x:c r="S550" s="26" t="str">
        <x:v>f9306423977ea710e6d83c91e19cc33419205ffaba206bf592f5eb2d6ee885b1</x:v>
      </x:c>
      <x:c r="T550" s="26" t="str">
        <x:v>15321c3a342cc15b8e55f4f2b413e62e35de3e0dd6f71843f2e4cdfa5e09ccfb</x:v>
      </x:c>
    </x:row>
    <x:row r="551" ht="60" customHeight="1">
      <x:c r="A551" s="26" t="str">
        <x:v>J1847-0402</x:v>
      </x:c>
      <x:c r="B551" s="26" t="str">
        <x:v>B1844-04</x:v>
      </x:c>
      <x:c r="C551" s="26" t="str">
        <x:v>NO_TRIGGER</x:v>
      </x:c>
      <x:c r="D551" s="26" t="str">
        <x:v>utmost-batch03-20260909-J1847-0402-run01</x:v>
      </x:c>
      <x:c r="E551" s="26" t="str">
        <x:v>No qualifying signal in eligible 30–400-day cells</x:v>
      </x:c>
      <x:c r="F551" s="26" t="str">
        <x:v>Retain result; consider independent data or a separately defined new scope</x:v>
      </x:c>
      <x:c r="G551" s="26" t="str">
        <x:v>UTMOST SEARCHED</x:v>
      </x:c>
      <x:c r="H551" s="27" t="n">
        <x:v>96</x:v>
      </x:c>
      <x:c r="I551" s="27" t="n">
        <x:v>12</x:v>
      </x:c>
      <x:c r="J551" s="28" t="n">
        <x:v>482.4427984984359</x:v>
      </x:c>
      <x:c r="K551" s="26"/>
      <x:c r="L551" s="26" t="str">
        <x:v>insufficient_span_or_epochs</x:v>
      </x:c>
      <x:c r="M551" s="26" t="str">
        <x:v>Present</x:v>
      </x:c>
      <x:c r="N551" s="26" t="str">
        <x:v>Absent from named inventory</x:v>
      </x:c>
      <x:c r="O551" s="26" t="str">
        <x:v>Absent from named inventory</x:v>
      </x:c>
      <x:c r="P551" s="26"/>
      <x:c r="Q551" s="26" t="str">
        <x:v>../Project Recherche Data/tpa-batch01-20260908/selection.json</x:v>
      </x:c>
      <x:c r="R551" s="26" t="str">
        <x:v>047722e4dca24e16c44c810f43990492b2f988012ca2b4bab47826ff4c95f1db</x:v>
      </x:c>
      <x:c r="S551" s="26" t="str">
        <x:v>a2174d870ea7b31d3e8e4c31ca5de1202c0d6fe01691f94fbaf8a625fd8dccb9</x:v>
      </x:c>
      <x:c r="T551" s="26" t="str">
        <x:v>1c8cf9b69720a0a9810778d755788c35ba471e45f9e76f7f1025f3afb7a3e9e7</x:v>
      </x:c>
    </x:row>
    <x:row r="552" ht="60" customHeight="1">
      <x:c r="A552" s="26" t="str">
        <x:v>J1847-0438</x:v>
      </x:c>
      <x:c r="B552" s="26" t="str"/>
      <x:c r="C552" s="26" t="str">
        <x:v>NOT_SEARCHED</x:v>
      </x:c>
      <x:c r="D552" s="26"/>
      <x:c r="E552" s="26" t="str">
        <x:v>No observed search</x:v>
      </x:c>
      <x:c r="F552" s="26" t="str">
        <x:v>Retain exclusion for current scope</x:v>
      </x:c>
      <x:c r="G552" s="26" t="str">
        <x:v>TPA EXCLUDED</x:v>
      </x:c>
      <x:c r="H552" s="27" t="n">
        <x:v>216</x:v>
      </x:c>
      <x:c r="I552" s="27" t="n">
        <x:v>27</x:v>
      </x:c>
      <x:c r="J552" s="28" t="n">
        <x:v>1085.1115290510934</x:v>
      </x:c>
      <x:c r="K552" s="26"/>
      <x:c r="L552" s="26" t="str">
        <x:v>insufficient_span_or_epochs</x:v>
      </x:c>
      <x:c r="M552" s="26" t="str">
        <x:v>Absent from named inventory</x:v>
      </x:c>
      <x:c r="N552" s="26" t="str">
        <x:v>Absent from named inventory</x:v>
      </x:c>
      <x:c r="O552" s="26" t="str">
        <x:v>Absent from named inventory</x:v>
      </x:c>
      <x:c r="P552" s="26"/>
      <x:c r="Q552" s="26" t="str">
        <x:v>../Project Recherche Data/tpa-batch01-20260908/selection.json</x:v>
      </x:c>
      <x:c r="R552" s="26" t="str">
        <x:v>047722e4dca24e16c44c810f43990492b2f988012ca2b4bab47826ff4c95f1db</x:v>
      </x:c>
      <x:c r="S552" s="26" t="str">
        <x:v>62aecfdec181f88e4a810f93119a222a00aa91dba826e1c9cdb39381f9c76f33</x:v>
      </x:c>
      <x:c r="T552" s="26" t="str">
        <x:v>798f01dc0c427a8a42bdaf826e0579513dc5c5679a6f94b4bda6547ff6f5faf0</x:v>
      </x:c>
    </x:row>
    <x:row r="553" ht="60" customHeight="1">
      <x:c r="A553" s="26" t="str">
        <x:v>J1847-0605</x:v>
      </x:c>
      <x:c r="B553" s="26" t="str"/>
      <x:c r="C553" s="26" t="str">
        <x:v>NO_TRIGGER</x:v>
      </x:c>
      <x:c r="D553" s="26" t="str">
        <x:v>tpa-batch06-20260908-J1847-0605-run01</x:v>
      </x:c>
      <x:c r="E553" s="26" t="str">
        <x:v>No qualifying signal in eligible 30–400-day cells</x:v>
      </x:c>
      <x:c r="F553" s="26" t="str">
        <x:v>Retain result; consider independent data or a separately defined new scope</x:v>
      </x:c>
      <x:c r="G553" s="26" t="str">
        <x:v>SEARCHED</x:v>
      </x:c>
      <x:c r="H553" s="27" t="n">
        <x:v>440</x:v>
      </x:c>
      <x:c r="I553" s="27" t="n">
        <x:v>55</x:v>
      </x:c>
      <x:c r="J553" s="28" t="n">
        <x:v>1280.21229691583</x:v>
      </x:c>
      <x:c r="K553" s="26" t="str">
        <x:v>tpa-batch06-20260908</x:v>
      </x:c>
      <x:c r="L553" s="26"/>
      <x:c r="M553" s="26" t="str">
        <x:v>Absent from named inventory</x:v>
      </x:c>
      <x:c r="N553" s="26" t="str">
        <x:v>Absent from named inventory</x:v>
      </x:c>
      <x:c r="O553" s="26" t="str">
        <x:v>Absent from named inventory</x:v>
      </x:c>
      <x:c r="P553" s="26"/>
      <x:c r="Q553" s="26" t="str">
        <x:v>../Project Recherche Data/tpa-batch06-20260908/selection.json</x:v>
      </x:c>
      <x:c r="R553" s="26" t="str">
        <x:v>aa7dc82ae2f0aa7f4ad390810d65a59ea2811f4802deb69c9130205b6466f356</x:v>
      </x:c>
      <x:c r="S553" s="26" t="str">
        <x:v>30de75fadb5c1ce6d81ef83ab0e78136c386829c4e080b5fc97573b965fb1faa</x:v>
      </x:c>
      <x:c r="T553" s="26" t="str">
        <x:v>9f61c1a2f38b4ca75b6cb6d5979a44944a4363ff34f52ca7dedd74cd1fe7f3fe</x:v>
      </x:c>
    </x:row>
    <x:row r="554" ht="60" customHeight="1">
      <x:c r="A554" s="26" t="str">
        <x:v>J1848+0604</x:v>
      </x:c>
      <x:c r="B554" s="26" t="str"/>
      <x:c r="C554" s="26" t="str">
        <x:v>NOT_SEARCHED</x:v>
      </x:c>
      <x:c r="D554" s="26"/>
      <x:c r="E554" s="26" t="str">
        <x:v>No observed search</x:v>
      </x:c>
      <x:c r="F554" s="26" t="str">
        <x:v>Retain exclusion for current scope</x:v>
      </x:c>
      <x:c r="G554" s="26" t="str">
        <x:v>TPA EXCLUDED</x:v>
      </x:c>
      <x:c r="H554" s="27" t="n">
        <x:v>209</x:v>
      </x:c>
      <x:c r="I554" s="27" t="n">
        <x:v>27</x:v>
      </x:c>
      <x:c r="J554" s="28" t="n">
        <x:v>1085.0473974977212</x:v>
      </x:c>
      <x:c r="K554" s="26"/>
      <x:c r="L554" s="26" t="str">
        <x:v>insufficient_span_or_epochs</x:v>
      </x:c>
      <x:c r="M554" s="26" t="str">
        <x:v>Present</x:v>
      </x:c>
      <x:c r="N554" s="26" t="str">
        <x:v>Absent from named inventory</x:v>
      </x:c>
      <x:c r="O554" s="26" t="str">
        <x:v>Absent from named inventory</x:v>
      </x:c>
      <x:c r="P554" s="26"/>
      <x:c r="Q554" s="26" t="str">
        <x:v>../Project Recherche Data/tpa-batch01-20260908/selection.json</x:v>
      </x:c>
      <x:c r="R554" s="26" t="str">
        <x:v>047722e4dca24e16c44c810f43990492b2f988012ca2b4bab47826ff4c95f1db</x:v>
      </x:c>
      <x:c r="S554" s="26" t="str">
        <x:v>c91431b9b5e44593bd26c31bef7387f44329525316b6557a4924ea6c75116645</x:v>
      </x:c>
      <x:c r="T554" s="26" t="str">
        <x:v>030fd5218ac6cebd5437af3d0ec595dc31879192ba97775f49d4b9549bbeaa38</x:v>
      </x:c>
    </x:row>
    <x:row r="555" ht="60" customHeight="1">
      <x:c r="A555" s="26" t="str">
        <x:v>J1848-0023</x:v>
      </x:c>
      <x:c r="B555" s="26" t="str"/>
      <x:c r="C555" s="26" t="str">
        <x:v>NO_TRIGGER</x:v>
      </x:c>
      <x:c r="D555" s="26" t="str">
        <x:v>tpa-batch05-20260908-J1848-0023-run01</x:v>
      </x:c>
      <x:c r="E555" s="26" t="str">
        <x:v>No qualifying signal in eligible 30–400-day cells</x:v>
      </x:c>
      <x:c r="F555" s="26" t="str">
        <x:v>Retain result; consider independent data or a separately defined new scope</x:v>
      </x:c>
      <x:c r="G555" s="26" t="str">
        <x:v>SEARCHED</x:v>
      </x:c>
      <x:c r="H555" s="27" t="n">
        <x:v>386</x:v>
      </x:c>
      <x:c r="I555" s="27" t="n">
        <x:v>53</x:v>
      </x:c>
      <x:c r="J555" s="28" t="n">
        <x:v>1367.2667298707383</x:v>
      </x:c>
      <x:c r="K555" s="26" t="str">
        <x:v>tpa-batch05-20260908</x:v>
      </x:c>
      <x:c r="L555" s="26"/>
      <x:c r="M555" s="26" t="str">
        <x:v>Absent from named inventory</x:v>
      </x:c>
      <x:c r="N555" s="26" t="str">
        <x:v>Absent from named inventory</x:v>
      </x:c>
      <x:c r="O555" s="26" t="str">
        <x:v>Absent from named inventory</x:v>
      </x:c>
      <x:c r="P555" s="26"/>
      <x:c r="Q555" s="26" t="str">
        <x:v>../Project Recherche Data/tpa-batch05-20260908/selection.json</x:v>
      </x:c>
      <x:c r="R555" s="26" t="str">
        <x:v>1212bfb743fa2d3f16f95056ab4d3c2b52ec5dd997358fe385b8fd00313b3907</x:v>
      </x:c>
      <x:c r="S555" s="26" t="str">
        <x:v>905dfd80be9ab3495fa477cb377fc9e3e4ec7c00bdbfabfc3f456e140d03851c</x:v>
      </x:c>
      <x:c r="T555" s="26" t="str">
        <x:v>9844699da628aea7ecd84fa5175882f60e7ca7212ad895ecc2e5f30ad6e76d10</x:v>
      </x:c>
    </x:row>
    <x:row r="556" ht="60" customHeight="1">
      <x:c r="A556" s="26" t="str">
        <x:v>J1848-0123</x:v>
      </x:c>
      <x:c r="B556" s="26" t="str">
        <x:v>B1845-01</x:v>
      </x:c>
      <x:c r="C556" s="26" t="str">
        <x:v>NO_TRIGGER</x:v>
      </x:c>
      <x:c r="D556" s="26" t="str">
        <x:v>utmost-batch03-20260909-J1848-0123-run01</x:v>
      </x:c>
      <x:c r="E556" s="26" t="str">
        <x:v>No qualifying signal in eligible 30–400-day cells</x:v>
      </x:c>
      <x:c r="F556" s="26" t="str">
        <x:v>Retain result; consider independent data or a separately defined new scope</x:v>
      </x:c>
      <x:c r="G556" s="26" t="str">
        <x:v>UTMOST SEARCHED</x:v>
      </x:c>
      <x:c r="H556" s="27" t="n">
        <x:v>96</x:v>
      </x:c>
      <x:c r="I556" s="27" t="n">
        <x:v>12</x:v>
      </x:c>
      <x:c r="J556" s="28" t="n">
        <x:v>482.46820313551143</x:v>
      </x:c>
      <x:c r="K556" s="26"/>
      <x:c r="L556" s="26" t="str">
        <x:v>insufficient_span_or_epochs</x:v>
      </x:c>
      <x:c r="M556" s="26" t="str">
        <x:v>Present</x:v>
      </x:c>
      <x:c r="N556" s="26" t="str">
        <x:v>Absent from named inventory</x:v>
      </x:c>
      <x:c r="O556" s="26" t="str">
        <x:v>Absent from named inventory</x:v>
      </x:c>
      <x:c r="P556" s="26"/>
      <x:c r="Q556" s="26" t="str">
        <x:v>../Project Recherche Data/tpa-batch01-20260908/selection.json</x:v>
      </x:c>
      <x:c r="R556" s="26" t="str">
        <x:v>047722e4dca24e16c44c810f43990492b2f988012ca2b4bab47826ff4c95f1db</x:v>
      </x:c>
      <x:c r="S556" s="26" t="str">
        <x:v>41dee409af26e79b1409bbbd35e3ef27abbe54ed6aa6cb8bf59a7c740eef9e12</x:v>
      </x:c>
      <x:c r="T556" s="26" t="str">
        <x:v>23b3d779b98981186228b5101db08857d8367f3e7f8d9c6f22fe7fd8d5c6cc7a</x:v>
      </x:c>
    </x:row>
    <x:row r="557" ht="60" customHeight="1">
      <x:c r="A557" s="26" t="str">
        <x:v>J1849-0317</x:v>
      </x:c>
      <x:c r="B557" s="26" t="str"/>
      <x:c r="C557" s="26" t="str">
        <x:v>NOT_SEARCHED</x:v>
      </x:c>
      <x:c r="D557" s="26"/>
      <x:c r="E557" s="26" t="str">
        <x:v>No observed search</x:v>
      </x:c>
      <x:c r="F557" s="26" t="str">
        <x:v>Retain exclusion for current scope</x:v>
      </x:c>
      <x:c r="G557" s="26" t="str">
        <x:v>TPA EXCLUDED</x:v>
      </x:c>
      <x:c r="H557" s="27" t="n">
        <x:v>248</x:v>
      </x:c>
      <x:c r="I557" s="27" t="n">
        <x:v>31</x:v>
      </x:c>
      <x:c r="J557" s="28" t="n">
        <x:v>1357.459062583046</x:v>
      </x:c>
      <x:c r="K557" s="26"/>
      <x:c r="L557" s="26" t="str">
        <x:v>insufficient_span_or_epochs</x:v>
      </x:c>
      <x:c r="M557" s="26" t="str">
        <x:v>Present</x:v>
      </x:c>
      <x:c r="N557" s="26" t="str">
        <x:v>Absent from named inventory</x:v>
      </x:c>
      <x:c r="O557" s="26" t="str">
        <x:v>Absent from named inventory</x:v>
      </x:c>
      <x:c r="P557" s="26"/>
      <x:c r="Q557" s="26" t="str">
        <x:v>../Project Recherche Data/tpa-batch01-20260908/selection.json</x:v>
      </x:c>
      <x:c r="R557" s="26" t="str">
        <x:v>047722e4dca24e16c44c810f43990492b2f988012ca2b4bab47826ff4c95f1db</x:v>
      </x:c>
      <x:c r="S557" s="26" t="str">
        <x:v>a97aedf8a51908e4ce2fe32b53a84c08a911ce6966233fb1cb2b892f32aee512</x:v>
      </x:c>
      <x:c r="T557" s="26" t="str">
        <x:v>8e1166522b3517471726cde20c58de5a500699926ca9915065cfec8df1fccb9d</x:v>
      </x:c>
    </x:row>
    <x:row r="558" ht="60" customHeight="1">
      <x:c r="A558" s="26" t="str">
        <x:v>J1849-0614</x:v>
      </x:c>
      <x:c r="B558" s="26" t="str"/>
      <x:c r="C558" s="26" t="str">
        <x:v>NOT_SEARCHED</x:v>
      </x:c>
      <x:c r="D558" s="26"/>
      <x:c r="E558" s="26" t="str">
        <x:v>No observed search</x:v>
      </x:c>
      <x:c r="F558" s="26" t="str">
        <x:v>Retain exclusion for current scope</x:v>
      </x:c>
      <x:c r="G558" s="26" t="str">
        <x:v>TPA EXCLUDED</x:v>
      </x:c>
      <x:c r="H558" s="27" t="n">
        <x:v>416</x:v>
      </x:c>
      <x:c r="I558" s="27" t="n">
        <x:v>52</x:v>
      </x:c>
      <x:c r="J558" s="28" t="n">
        <x:v>1094.9203365412322</x:v>
      </x:c>
      <x:c r="K558" s="26"/>
      <x:c r="L558" s="26" t="str">
        <x:v>insufficient_span_or_epochs</x:v>
      </x:c>
      <x:c r="M558" s="26" t="str">
        <x:v>Absent from named inventory</x:v>
      </x:c>
      <x:c r="N558" s="26" t="str">
        <x:v>Absent from named inventory</x:v>
      </x:c>
      <x:c r="O558" s="26" t="str">
        <x:v>Absent from named inventory</x:v>
      </x:c>
      <x:c r="P558" s="26"/>
      <x:c r="Q558" s="26" t="str">
        <x:v>../Project Recherche Data/tpa-batch01-20260908/selection.json</x:v>
      </x:c>
      <x:c r="R558" s="26" t="str">
        <x:v>047722e4dca24e16c44c810f43990492b2f988012ca2b4bab47826ff4c95f1db</x:v>
      </x:c>
      <x:c r="S558" s="26" t="str">
        <x:v>bc4669ef795e3b3fe99c3106a2f90deff62cd3523faf2d565a3cc7414748894f</x:v>
      </x:c>
      <x:c r="T558" s="26" t="str">
        <x:v>1f27e61c1cf1d15f1d2b585083de188400c2e77d92f45626b05522d3e9976d39</x:v>
      </x:c>
    </x:row>
    <x:row r="559" ht="60" customHeight="1">
      <x:c r="A559" s="26" t="str">
        <x:v>J1849-0636</x:v>
      </x:c>
      <x:c r="B559" s="26" t="str">
        <x:v>B1846-06</x:v>
      </x:c>
      <x:c r="C559" s="26" t="str">
        <x:v>NOT_SEARCHED</x:v>
      </x:c>
      <x:c r="D559" s="26"/>
      <x:c r="E559" s="26" t="str">
        <x:v>No observed search</x:v>
      </x:c>
      <x:c r="F559" s="26" t="str">
        <x:v>Retain exclusion for current scope</x:v>
      </x:c>
      <x:c r="G559" s="26" t="str">
        <x:v>TPA EXCLUDED</x:v>
      </x:c>
      <x:c r="H559" s="27" t="n">
        <x:v>240</x:v>
      </x:c>
      <x:c r="I559" s="27" t="n">
        <x:v>30</x:v>
      </x:c>
      <x:c r="J559" s="28" t="n">
        <x:v>1270.4232256503965</x:v>
      </x:c>
      <x:c r="K559" s="26"/>
      <x:c r="L559" s="26" t="str">
        <x:v>insufficient_span_or_epochs</x:v>
      </x:c>
      <x:c r="M559" s="26" t="str">
        <x:v>Present</x:v>
      </x:c>
      <x:c r="N559" s="26" t="str">
        <x:v>Absent from named inventory</x:v>
      </x:c>
      <x:c r="O559" s="26" t="str">
        <x:v>Absent from named inventory</x:v>
      </x:c>
      <x:c r="P559" s="26"/>
      <x:c r="Q559" s="26" t="str">
        <x:v>../Project Recherche Data/tpa-batch01-20260908/selection.json</x:v>
      </x:c>
      <x:c r="R559" s="26" t="str">
        <x:v>047722e4dca24e16c44c810f43990492b2f988012ca2b4bab47826ff4c95f1db</x:v>
      </x:c>
      <x:c r="S559" s="26" t="str">
        <x:v>f13708e4d193ba982c77fadb0b35d8e1f7dec29f90639afad5aa933bf895eed4</x:v>
      </x:c>
      <x:c r="T559" s="26" t="str">
        <x:v>3658f10d4709438f3bd6a8d8219b5cc9abab6d347dc408f1e4a25699e3e5e20f</x:v>
      </x:c>
    </x:row>
    <x:row r="560" ht="60" customHeight="1">
      <x:c r="A560" s="26" t="str">
        <x:v>J1850+0026</x:v>
      </x:c>
      <x:c r="B560" s="26" t="str"/>
      <x:c r="C560" s="26" t="str">
        <x:v>NOT_SEARCHED</x:v>
      </x:c>
      <x:c r="D560" s="26"/>
      <x:c r="E560" s="26" t="str">
        <x:v>No observed search</x:v>
      </x:c>
      <x:c r="F560" s="26" t="str">
        <x:v>Retain exclusion for current scope</x:v>
      </x:c>
      <x:c r="G560" s="26" t="str">
        <x:v>TPA EXCLUDED</x:v>
      </x:c>
      <x:c r="H560" s="27" t="n">
        <x:v>240</x:v>
      </x:c>
      <x:c r="I560" s="27" t="n">
        <x:v>30</x:v>
      </x:c>
      <x:c r="J560" s="28" t="n">
        <x:v>1270.432822984265</x:v>
      </x:c>
      <x:c r="K560" s="26"/>
      <x:c r="L560" s="26" t="str">
        <x:v>insufficient_span_or_epochs</x:v>
      </x:c>
      <x:c r="M560" s="26" t="str">
        <x:v>Absent from named inventory</x:v>
      </x:c>
      <x:c r="N560" s="26" t="str">
        <x:v>Absent from named inventory</x:v>
      </x:c>
      <x:c r="O560" s="26" t="str">
        <x:v>Absent from named inventory</x:v>
      </x:c>
      <x:c r="P560" s="26"/>
      <x:c r="Q560" s="26" t="str">
        <x:v>../Project Recherche Data/tpa-batch01-20260908/selection.json</x:v>
      </x:c>
      <x:c r="R560" s="26" t="str">
        <x:v>047722e4dca24e16c44c810f43990492b2f988012ca2b4bab47826ff4c95f1db</x:v>
      </x:c>
      <x:c r="S560" s="26" t="str">
        <x:v>3fcbc1e6cdc4b2b126c978558327407665e434bb48cad5e9c66bcbba3fb726dc</x:v>
      </x:c>
      <x:c r="T560" s="26" t="str">
        <x:v>2ced1eced804f0410b83e58b84ed2f9a3c9eb0d48589413ffc926f1146f8bb1c</x:v>
      </x:c>
    </x:row>
    <x:row r="561" ht="60" customHeight="1">
      <x:c r="A561" s="26" t="str">
        <x:v>J1850+1335</x:v>
      </x:c>
      <x:c r="B561" s="26" t="str">
        <x:v>B1848+13</x:v>
      </x:c>
      <x:c r="C561" s="26" t="str">
        <x:v>NO_TRIGGER</x:v>
      </x:c>
      <x:c r="D561" s="26" t="str">
        <x:v>tpa-batch07-20260908-J1850+1335-run01</x:v>
      </x:c>
      <x:c r="E561" s="26" t="str">
        <x:v>No qualifying signal in eligible 30–400-day cells</x:v>
      </x:c>
      <x:c r="F561" s="26" t="str">
        <x:v>Retain result; consider independent data or a separately defined new scope</x:v>
      </x:c>
      <x:c r="G561" s="26" t="str">
        <x:v>SEARCHED</x:v>
      </x:c>
      <x:c r="H561" s="27" t="n">
        <x:v>414</x:v>
      </x:c>
      <x:c r="I561" s="27" t="n">
        <x:v>52</x:v>
      </x:c>
      <x:c r="J561" s="28" t="n">
        <x:v>1271.453757819967</x:v>
      </x:c>
      <x:c r="K561" s="26" t="str">
        <x:v>tpa-batch07-20260908</x:v>
      </x:c>
      <x:c r="L561" s="26"/>
      <x:c r="M561" s="26" t="str">
        <x:v>Present</x:v>
      </x:c>
      <x:c r="N561" s="26" t="str">
        <x:v>Absent from named inventory</x:v>
      </x:c>
      <x:c r="O561" s="26" t="str">
        <x:v>Absent from named inventory</x:v>
      </x:c>
      <x:c r="P561" s="26"/>
      <x:c r="Q561" s="26" t="str">
        <x:v>../Project Recherche Data/tpa-batch07-20260908/selection.json</x:v>
      </x:c>
      <x:c r="R561" s="26" t="str">
        <x:v>a0944d5da0924367a8ed78a56de7826f64b6d517eb7c66fa044c452abc4894a7</x:v>
      </x:c>
      <x:c r="S561" s="26" t="str">
        <x:v>5b961d9b7390678411db157eaf01dbf70e641b3e5d0e412f0a83222d117c1c27</x:v>
      </x:c>
      <x:c r="T561" s="26" t="str">
        <x:v>30fd0ed39720802100e0fe6798266a1c4367d0a52a5f1cacc8bf3c50d081ff82</x:v>
      </x:c>
    </x:row>
    <x:row r="562" ht="60" customHeight="1">
      <x:c r="A562" s="26" t="str">
        <x:v>J1851+0418</x:v>
      </x:c>
      <x:c r="B562" s="26" t="str">
        <x:v>B1848+04</x:v>
      </x:c>
      <x:c r="C562" s="26" t="str">
        <x:v>NOT_SEARCHED</x:v>
      </x:c>
      <x:c r="D562" s="26"/>
      <x:c r="E562" s="26" t="str">
        <x:v>No observed search</x:v>
      </x:c>
      <x:c r="F562" s="26" t="str">
        <x:v>Retain exclusion for current scope</x:v>
      </x:c>
      <x:c r="G562" s="26" t="str">
        <x:v>TPA EXCLUDED</x:v>
      </x:c>
      <x:c r="H562" s="27" t="n">
        <x:v>216</x:v>
      </x:c>
      <x:c r="I562" s="27" t="n">
        <x:v>27</x:v>
      </x:c>
      <x:c r="J562" s="28" t="n">
        <x:v>1222.5637319197704</x:v>
      </x:c>
      <x:c r="K562" s="26"/>
      <x:c r="L562" s="26" t="str">
        <x:v>insufficient_span_or_epochs</x:v>
      </x:c>
      <x:c r="M562" s="26" t="str">
        <x:v>Present</x:v>
      </x:c>
      <x:c r="N562" s="26" t="str">
        <x:v>Absent from named inventory</x:v>
      </x:c>
      <x:c r="O562" s="26" t="str">
        <x:v>Absent from named inventory</x:v>
      </x:c>
      <x:c r="P562" s="26"/>
      <x:c r="Q562" s="26" t="str">
        <x:v>../Project Recherche Data/tpa-batch01-20260908/selection.json</x:v>
      </x:c>
      <x:c r="R562" s="26" t="str">
        <x:v>047722e4dca24e16c44c810f43990492b2f988012ca2b4bab47826ff4c95f1db</x:v>
      </x:c>
      <x:c r="S562" s="26" t="str">
        <x:v>931236be1def16ea4cfe54f8b4ecda9c3f1314658276e45620c451b57c5a6071</x:v>
      </x:c>
      <x:c r="T562" s="26" t="str">
        <x:v>772e267d61bf9458d887487ef24b51bdfe206143cb85f11afe0487275ede5820</x:v>
      </x:c>
    </x:row>
    <x:row r="563" ht="60" customHeight="1">
      <x:c r="A563" s="26" t="str">
        <x:v>J1851+1259</x:v>
      </x:c>
      <x:c r="B563" s="26" t="str">
        <x:v>B1848+12</x:v>
      </x:c>
      <x:c r="C563" s="26" t="str">
        <x:v>NO_TRIGGER</x:v>
      </x:c>
      <x:c r="D563" s="26" t="str">
        <x:v>tpa-batch09-20260908-J1851+1259-run01</x:v>
      </x:c>
      <x:c r="E563" s="26" t="str">
        <x:v>No qualifying signal in eligible 30–400-day cells</x:v>
      </x:c>
      <x:c r="F563" s="26" t="str">
        <x:v>Retain result; consider independent data or a separately defined new scope</x:v>
      </x:c>
      <x:c r="G563" s="26" t="str">
        <x:v>SEARCHED</x:v>
      </x:c>
      <x:c r="H563" s="27" t="n">
        <x:v>408</x:v>
      </x:c>
      <x:c r="I563" s="27" t="n">
        <x:v>51</x:v>
      </x:c>
      <x:c r="J563" s="28" t="n">
        <x:v>1271.437193997539</x:v>
      </x:c>
      <x:c r="K563" s="26" t="str">
        <x:v>tpa-batch09-20260908</x:v>
      </x:c>
      <x:c r="L563" s="26"/>
      <x:c r="M563" s="26" t="str">
        <x:v>Present</x:v>
      </x:c>
      <x:c r="N563" s="26" t="str">
        <x:v>Absent from named inventory</x:v>
      </x:c>
      <x:c r="O563" s="26" t="str">
        <x:v>Absent from named inventory</x:v>
      </x:c>
      <x:c r="P563" s="26"/>
      <x:c r="Q563" s="26" t="str">
        <x:v>../Project Recherche Data/tpa-batch09-20260908/selection.json</x:v>
      </x:c>
      <x:c r="R563" s="26" t="str">
        <x:v>395304d24c4ccc368723e19c91081b318fa94afe187f103f7b2ae19ebdbfa4d6</x:v>
      </x:c>
      <x:c r="S563" s="26" t="str">
        <x:v>b4dde7f66b9ed9510339d7fe3da60eaf5a441b162a0b9d64d0d24d9615dce696</x:v>
      </x:c>
      <x:c r="T563" s="26" t="str">
        <x:v>79dfa529d5605f40553243050d7838d3b154e150ba23ef1e387bce8b69e5330c</x:v>
      </x:c>
    </x:row>
    <x:row r="564" ht="60" customHeight="1">
      <x:c r="A564" s="26" t="str">
        <x:v>J1851-0029</x:v>
      </x:c>
      <x:c r="B564" s="26" t="str"/>
      <x:c r="C564" s="26" t="str">
        <x:v>NOT_SEARCHED</x:v>
      </x:c>
      <x:c r="D564" s="26"/>
      <x:c r="E564" s="26" t="str">
        <x:v>No observed search</x:v>
      </x:c>
      <x:c r="F564" s="26" t="str">
        <x:v>Retain exclusion for current scope</x:v>
      </x:c>
      <x:c r="G564" s="26" t="str">
        <x:v>TPA EXCLUDED</x:v>
      </x:c>
      <x:c r="H564" s="27" t="n">
        <x:v>216</x:v>
      </x:c>
      <x:c r="I564" s="27" t="n">
        <x:v>27</x:v>
      </x:c>
      <x:c r="J564" s="28" t="n">
        <x:v>1085.1104185568402</x:v>
      </x:c>
      <x:c r="K564" s="26"/>
      <x:c r="L564" s="26" t="str">
        <x:v>insufficient_span_or_epochs</x:v>
      </x:c>
      <x:c r="M564" s="26" t="str">
        <x:v>Present</x:v>
      </x:c>
      <x:c r="N564" s="26" t="str">
        <x:v>Absent from named inventory</x:v>
      </x:c>
      <x:c r="O564" s="26" t="str">
        <x:v>Absent from named inventory</x:v>
      </x:c>
      <x:c r="P564" s="26"/>
      <x:c r="Q564" s="26" t="str">
        <x:v>../Project Recherche Data/tpa-batch01-20260908/selection.json</x:v>
      </x:c>
      <x:c r="R564" s="26" t="str">
        <x:v>047722e4dca24e16c44c810f43990492b2f988012ca2b4bab47826ff4c95f1db</x:v>
      </x:c>
      <x:c r="S564" s="26" t="str">
        <x:v>c48df5f67464bd4a1f7d03c64c59bfc854bea1e26f4e3b306a2b79fe5419e0a2</x:v>
      </x:c>
      <x:c r="T564" s="26" t="str">
        <x:v>16d65e08c64ffa35b3f7904ab253e90c8e99fe457986af6530433fc2f0f54d40</x:v>
      </x:c>
    </x:row>
    <x:row r="565" ht="60" customHeight="1">
      <x:c r="A565" s="26" t="str">
        <x:v>J1851-0053</x:v>
      </x:c>
      <x:c r="B565" s="26" t="str"/>
      <x:c r="C565" s="26" t="str">
        <x:v>NOT_SEARCHED</x:v>
      </x:c>
      <x:c r="D565" s="26"/>
      <x:c r="E565" s="26" t="str">
        <x:v>No observed search</x:v>
      </x:c>
      <x:c r="F565" s="26" t="str">
        <x:v>Retain exclusion for current scope</x:v>
      </x:c>
      <x:c r="G565" s="26" t="str">
        <x:v>TPA EXCLUDED</x:v>
      </x:c>
      <x:c r="H565" s="27" t="n">
        <x:v>226</x:v>
      </x:c>
      <x:c r="I565" s="27" t="n">
        <x:v>29</x:v>
      </x:c>
      <x:c r="J565" s="28" t="n">
        <x:v>1270.4501898215967</x:v>
      </x:c>
      <x:c r="K565" s="26"/>
      <x:c r="L565" s="26" t="str">
        <x:v>insufficient_span_or_epochs</x:v>
      </x:c>
      <x:c r="M565" s="26" t="str">
        <x:v>Absent from named inventory</x:v>
      </x:c>
      <x:c r="N565" s="26" t="str">
        <x:v>Absent from named inventory</x:v>
      </x:c>
      <x:c r="O565" s="26" t="str">
        <x:v>Absent from named inventory</x:v>
      </x:c>
      <x:c r="P565" s="26"/>
      <x:c r="Q565" s="26" t="str">
        <x:v>../Project Recherche Data/tpa-batch01-20260908/selection.json</x:v>
      </x:c>
      <x:c r="R565" s="26" t="str">
        <x:v>047722e4dca24e16c44c810f43990492b2f988012ca2b4bab47826ff4c95f1db</x:v>
      </x:c>
      <x:c r="S565" s="26" t="str">
        <x:v>10ac3aaa7e7408aa23ed2f9746d0d66dfabbe8d0309a80117b274b4b87166aef</x:v>
      </x:c>
      <x:c r="T565" s="26" t="str">
        <x:v>cc52cbfac0be186f59baa33a6e09c88ac4a1aaa1dfc2b58ba0faa46b68893c27</x:v>
      </x:c>
    </x:row>
    <x:row r="566" ht="60" customHeight="1">
      <x:c r="A566" s="26" t="str">
        <x:v>J1852-0118</x:v>
      </x:c>
      <x:c r="B566" s="26" t="str"/>
      <x:c r="C566" s="26" t="str">
        <x:v>NOT_SEARCHED</x:v>
      </x:c>
      <x:c r="D566" s="26"/>
      <x:c r="E566" s="26" t="str">
        <x:v>No observed search</x:v>
      </x:c>
      <x:c r="F566" s="26" t="str">
        <x:v>Retain exclusion for current scope</x:v>
      </x:c>
      <x:c r="G566" s="26" t="str">
        <x:v>TPA EXCLUDED</x:v>
      </x:c>
      <x:c r="H566" s="27" t="n">
        <x:v>232</x:v>
      </x:c>
      <x:c r="I566" s="27" t="n">
        <x:v>29</x:v>
      </x:c>
      <x:c r="J566" s="28" t="n">
        <x:v>1412.238684765085</x:v>
      </x:c>
      <x:c r="K566" s="26"/>
      <x:c r="L566" s="26" t="str">
        <x:v>insufficient_span_or_epochs</x:v>
      </x:c>
      <x:c r="M566" s="26" t="str">
        <x:v>Absent from named inventory</x:v>
      </x:c>
      <x:c r="N566" s="26" t="str">
        <x:v>Absent from named inventory</x:v>
      </x:c>
      <x:c r="O566" s="26" t="str">
        <x:v>Absent from named inventory</x:v>
      </x:c>
      <x:c r="P566" s="26"/>
      <x:c r="Q566" s="26" t="str">
        <x:v>../Project Recherche Data/tpa-batch01-20260908/selection.json</x:v>
      </x:c>
      <x:c r="R566" s="26" t="str">
        <x:v>047722e4dca24e16c44c810f43990492b2f988012ca2b4bab47826ff4c95f1db</x:v>
      </x:c>
      <x:c r="S566" s="26" t="str">
        <x:v>bbc7751a266a8a9520d27af9d65fa97407601b8e88cb031be60a4d7afa30b5e2</x:v>
      </x:c>
      <x:c r="T566" s="26" t="str">
        <x:v>69e100889a302400b9a63d9c2b1864465a6c2793829d8fd1af2036c092f480fd</x:v>
      </x:c>
    </x:row>
    <x:row r="567" ht="60" customHeight="1">
      <x:c r="A567" s="26" t="str">
        <x:v>J1852-0127</x:v>
      </x:c>
      <x:c r="B567" s="26" t="str"/>
      <x:c r="C567" s="26" t="str">
        <x:v>NOT_SEARCHED</x:v>
      </x:c>
      <x:c r="D567" s="26"/>
      <x:c r="E567" s="26" t="str">
        <x:v>No observed search</x:v>
      </x:c>
      <x:c r="F567" s="26" t="str">
        <x:v>Retain exclusion for current scope</x:v>
      </x:c>
      <x:c r="G567" s="26" t="str">
        <x:v>TPA EXCLUDED</x:v>
      </x:c>
      <x:c r="H567" s="27" t="n">
        <x:v>206</x:v>
      </x:c>
      <x:c r="I567" s="27" t="n">
        <x:v>26</x:v>
      </x:c>
      <x:c r="J567" s="28" t="n">
        <x:v>1085.120919032146</x:v>
      </x:c>
      <x:c r="K567" s="26"/>
      <x:c r="L567" s="26" t="str">
        <x:v>insufficient_span_or_epochs</x:v>
      </x:c>
      <x:c r="M567" s="26" t="str">
        <x:v>Absent from named inventory</x:v>
      </x:c>
      <x:c r="N567" s="26" t="str">
        <x:v>Absent from named inventory</x:v>
      </x:c>
      <x:c r="O567" s="26" t="str">
        <x:v>Absent from named inventory</x:v>
      </x:c>
      <x:c r="P567" s="26"/>
      <x:c r="Q567" s="26" t="str">
        <x:v>../Project Recherche Data/tpa-batch01-20260908/selection.json</x:v>
      </x:c>
      <x:c r="R567" s="26" t="str">
        <x:v>047722e4dca24e16c44c810f43990492b2f988012ca2b4bab47826ff4c95f1db</x:v>
      </x:c>
      <x:c r="S567" s="26" t="str">
        <x:v>d7e46f4df8ce926636cde763d1cc3e9bdefd01e453c5cc46087897b7cb253cf1</x:v>
      </x:c>
      <x:c r="T567" s="26" t="str">
        <x:v>50e9eeaf8a3c2fd3c650f013f123cf42416683417c3f8bbd69b061db5e0b4ea1</x:v>
      </x:c>
    </x:row>
    <x:row r="568" ht="60" customHeight="1">
      <x:c r="A568" s="26" t="str">
        <x:v>J1852-0635</x:v>
      </x:c>
      <x:c r="B568" s="26" t="str"/>
      <x:c r="C568" s="26" t="str">
        <x:v>NO_TRIGGER</x:v>
      </x:c>
      <x:c r="D568" s="26" t="str">
        <x:v>tpa-batch06-20260908-J1852-0635-run01</x:v>
      </x:c>
      <x:c r="E568" s="26" t="str">
        <x:v>No qualifying signal in eligible 30–400-day cells</x:v>
      </x:c>
      <x:c r="F568" s="26" t="str">
        <x:v>Retain result; consider independent data or a separately defined new scope</x:v>
      </x:c>
      <x:c r="G568" s="26" t="str">
        <x:v>SEARCHED</x:v>
      </x:c>
      <x:c r="H568" s="27" t="n">
        <x:v>408</x:v>
      </x:c>
      <x:c r="I568" s="27" t="n">
        <x:v>51</x:v>
      </x:c>
      <x:c r="J568" s="28" t="n">
        <x:v>1253.2542509487685</x:v>
      </x:c>
      <x:c r="K568" s="26" t="str">
        <x:v>tpa-batch06-20260908</x:v>
      </x:c>
      <x:c r="L568" s="26"/>
      <x:c r="M568" s="26" t="str">
        <x:v>Absent from named inventory</x:v>
      </x:c>
      <x:c r="N568" s="26" t="str">
        <x:v>Absent from named inventory</x:v>
      </x:c>
      <x:c r="O568" s="26" t="str">
        <x:v>Absent from named inventory</x:v>
      </x:c>
      <x:c r="P568" s="26"/>
      <x:c r="Q568" s="26" t="str">
        <x:v>../Project Recherche Data/tpa-batch06-20260908/selection.json</x:v>
      </x:c>
      <x:c r="R568" s="26" t="str">
        <x:v>aa7dc82ae2f0aa7f4ad390810d65a59ea2811f4802deb69c9130205b6466f356</x:v>
      </x:c>
      <x:c r="S568" s="26" t="str">
        <x:v>6ef4849fb6915bfd50aca4cc3275b2ce22ff65a441df9cb790aed5dfe8e7bdcf</x:v>
      </x:c>
      <x:c r="T568" s="26" t="str">
        <x:v>ea6419ff52ad520c6267c069b75936698d8858d183f25db01ba06ef0823a83eb</x:v>
      </x:c>
    </x:row>
    <x:row r="569" ht="60" customHeight="1">
      <x:c r="A569" s="26" t="str">
        <x:v>J1852-2610</x:v>
      </x:c>
      <x:c r="B569" s="26" t="str"/>
      <x:c r="C569" s="26" t="str">
        <x:v>NOT_SEARCHED</x:v>
      </x:c>
      <x:c r="D569" s="26"/>
      <x:c r="E569" s="26" t="str">
        <x:v>No observed search</x:v>
      </x:c>
      <x:c r="F569" s="26" t="str">
        <x:v>Retain exclusion for current scope</x:v>
      </x:c>
      <x:c r="G569" s="26" t="str">
        <x:v>TPA EXCLUDED</x:v>
      </x:c>
      <x:c r="H569" s="27" t="n">
        <x:v>216</x:v>
      </x:c>
      <x:c r="I569" s="27" t="n">
        <x:v>27</x:v>
      </x:c>
      <x:c r="J569" s="28" t="n">
        <x:v>1217.547293630836</x:v>
      </x:c>
      <x:c r="K569" s="26"/>
      <x:c r="L569" s="26" t="str">
        <x:v>insufficient_span_or_epochs</x:v>
      </x:c>
      <x:c r="M569" s="26" t="str">
        <x:v>Present</x:v>
      </x:c>
      <x:c r="N569" s="26" t="str">
        <x:v>Absent from named inventory</x:v>
      </x:c>
      <x:c r="O569" s="26" t="str">
        <x:v>Absent from named inventory</x:v>
      </x:c>
      <x:c r="P569" s="26"/>
      <x:c r="Q569" s="26" t="str">
        <x:v>../Project Recherche Data/tpa-batch01-20260908/selection.json</x:v>
      </x:c>
      <x:c r="R569" s="26" t="str">
        <x:v>047722e4dca24e16c44c810f43990492b2f988012ca2b4bab47826ff4c95f1db</x:v>
      </x:c>
      <x:c r="S569" s="26" t="str">
        <x:v>622eeb8af22a05eaa78133a7ce1a3e0c160ed47b5cc7e5ba9fe50521831dabba</x:v>
      </x:c>
      <x:c r="T569" s="26" t="str">
        <x:v>918d6fbd4eb497da6902ad6597b098858ee5950b17f6c389bcf97c9b73a9b2d5</x:v>
      </x:c>
    </x:row>
    <x:row r="570" ht="60" customHeight="1">
      <x:c r="A570" s="26" t="str">
        <x:v>J1853-0004</x:v>
      </x:c>
      <x:c r="B570" s="26" t="str"/>
      <x:c r="C570" s="26" t="str">
        <x:v>NO_TRIGGER</x:v>
      </x:c>
      <x:c r="D570" s="26" t="str">
        <x:v>tpa-batch07-20260908-J1853-0004-run01</x:v>
      </x:c>
      <x:c r="E570" s="26" t="str">
        <x:v>No qualifying signal in eligible 30–400-day cells</x:v>
      </x:c>
      <x:c r="F570" s="26" t="str">
        <x:v>Retain result; consider independent data or a separately defined new scope</x:v>
      </x:c>
      <x:c r="G570" s="26" t="str">
        <x:v>SEARCHED</x:v>
      </x:c>
      <x:c r="H570" s="27" t="n">
        <x:v>430</x:v>
      </x:c>
      <x:c r="I570" s="27" t="n">
        <x:v>54</x:v>
      </x:c>
      <x:c r="J570" s="28" t="n">
        <x:v>1243.270099746056</x:v>
      </x:c>
      <x:c r="K570" s="26" t="str">
        <x:v>tpa-batch07-20260908</x:v>
      </x:c>
      <x:c r="L570" s="26"/>
      <x:c r="M570" s="26" t="str">
        <x:v>Present</x:v>
      </x:c>
      <x:c r="N570" s="26" t="str">
        <x:v>Absent from named inventory</x:v>
      </x:c>
      <x:c r="O570" s="26" t="str">
        <x:v>Absent from named inventory</x:v>
      </x:c>
      <x:c r="P570" s="26"/>
      <x:c r="Q570" s="26" t="str">
        <x:v>../Project Recherche Data/tpa-batch07-20260908/selection.json</x:v>
      </x:c>
      <x:c r="R570" s="26" t="str">
        <x:v>a0944d5da0924367a8ed78a56de7826f64b6d517eb7c66fa044c452abc4894a7</x:v>
      </x:c>
      <x:c r="S570" s="26" t="str">
        <x:v>356c87b45c5c9ee9e990483619f3c6056de70d3bee86079ade4e3722a3488e3e</x:v>
      </x:c>
      <x:c r="T570" s="26" t="str">
        <x:v>f21685a11d932056d002ca3e059e14c151129ac86816f549b167e58591c23623</x:v>
      </x:c>
    </x:row>
    <x:row r="571" ht="60" customHeight="1">
      <x:c r="A571" s="26" t="str">
        <x:v>J1855+0307</x:v>
      </x:c>
      <x:c r="B571" s="26" t="str"/>
      <x:c r="C571" s="26" t="str">
        <x:v>NOT_SEARCHED</x:v>
      </x:c>
      <x:c r="D571" s="26"/>
      <x:c r="E571" s="26" t="str">
        <x:v>No observed search</x:v>
      </x:c>
      <x:c r="F571" s="26" t="str">
        <x:v>Retain exclusion for current scope</x:v>
      </x:c>
      <x:c r="G571" s="26" t="str">
        <x:v>TPA EXCLUDED</x:v>
      </x:c>
      <x:c r="H571" s="27" t="n">
        <x:v>248</x:v>
      </x:c>
      <x:c r="I571" s="27" t="n">
        <x:v>31</x:v>
      </x:c>
      <x:c r="J571" s="28" t="n">
        <x:v>1261.6065050207035</x:v>
      </x:c>
      <x:c r="K571" s="26"/>
      <x:c r="L571" s="26" t="str">
        <x:v>insufficient_span_or_epochs</x:v>
      </x:c>
      <x:c r="M571" s="26" t="str">
        <x:v>Absent from named inventory</x:v>
      </x:c>
      <x:c r="N571" s="26" t="str">
        <x:v>Absent from named inventory</x:v>
      </x:c>
      <x:c r="O571" s="26" t="str">
        <x:v>Absent from named inventory</x:v>
      </x:c>
      <x:c r="P571" s="26"/>
      <x:c r="Q571" s="26" t="str">
        <x:v>../Project Recherche Data/tpa-batch01-20260908/selection.json</x:v>
      </x:c>
      <x:c r="R571" s="26" t="str">
        <x:v>047722e4dca24e16c44c810f43990492b2f988012ca2b4bab47826ff4c95f1db</x:v>
      </x:c>
      <x:c r="S571" s="26" t="str">
        <x:v>81581177cb7f9bc8ae088eae9bb63e0dcb86510cef8c179bb5b672e682e7c467</x:v>
      </x:c>
      <x:c r="T571" s="26" t="str">
        <x:v>15d5c9a61f1d0b9b426468545c605cd3e1a326433d443a0310ef2b958bc3a74a</x:v>
      </x:c>
    </x:row>
    <x:row r="572" ht="60" customHeight="1">
      <x:c r="A572" s="26" t="str">
        <x:v>J1855-0941</x:v>
      </x:c>
      <x:c r="B572" s="26" t="str"/>
      <x:c r="C572" s="26" t="str">
        <x:v>NOT_SEARCHED</x:v>
      </x:c>
      <x:c r="D572" s="26"/>
      <x:c r="E572" s="26" t="str">
        <x:v>No observed search</x:v>
      </x:c>
      <x:c r="F572" s="26" t="str">
        <x:v>Retain exclusion for current scope</x:v>
      </x:c>
      <x:c r="G572" s="26" t="str">
        <x:v>TPA EXCLUDED</x:v>
      </x:c>
      <x:c r="H572" s="27" t="n">
        <x:v>224</x:v>
      </x:c>
      <x:c r="I572" s="27" t="n">
        <x:v>28</x:v>
      </x:c>
      <x:c r="J572" s="28" t="n">
        <x:v>1154.7265919432102</x:v>
      </x:c>
      <x:c r="K572" s="26"/>
      <x:c r="L572" s="26" t="str">
        <x:v>insufficient_span_or_epochs</x:v>
      </x:c>
      <x:c r="M572" s="26" t="str">
        <x:v>Absent from named inventory</x:v>
      </x:c>
      <x:c r="N572" s="26" t="str">
        <x:v>Absent from named inventory</x:v>
      </x:c>
      <x:c r="O572" s="26" t="str">
        <x:v>Absent from named inventory</x:v>
      </x:c>
      <x:c r="P572" s="26"/>
      <x:c r="Q572" s="26" t="str">
        <x:v>../Project Recherche Data/tpa-batch01-20260908/selection.json</x:v>
      </x:c>
      <x:c r="R572" s="26" t="str">
        <x:v>047722e4dca24e16c44c810f43990492b2f988012ca2b4bab47826ff4c95f1db</x:v>
      </x:c>
      <x:c r="S572" s="26" t="str">
        <x:v>45a1b3a0c96422bf2fb250184393814d2f34201886ab1b9f5d3afa493b8128f1</x:v>
      </x:c>
      <x:c r="T572" s="26" t="str">
        <x:v>7f29633c058e88fbf860f34cc0a309f5d2b354310ecf2a2999da9200cce8848e</x:v>
      </x:c>
    </x:row>
    <x:row r="573" ht="60" customHeight="1">
      <x:c r="A573" s="26" t="str">
        <x:v>J1856-0526</x:v>
      </x:c>
      <x:c r="B573" s="26" t="str"/>
      <x:c r="C573" s="26" t="str">
        <x:v>NO_TRIGGER</x:v>
      </x:c>
      <x:c r="D573" s="26" t="str">
        <x:v>tpa-batch09-20260908-J1856-0526-run01</x:v>
      </x:c>
      <x:c r="E573" s="26" t="str">
        <x:v>No qualifying signal in eligible 30–400-day cells</x:v>
      </x:c>
      <x:c r="F573" s="26" t="str">
        <x:v>Retain result; consider independent data or a separately defined new scope</x:v>
      </x:c>
      <x:c r="G573" s="26" t="str">
        <x:v>SEARCHED</x:v>
      </x:c>
      <x:c r="H573" s="27" t="n">
        <x:v>415</x:v>
      </x:c>
      <x:c r="I573" s="27" t="n">
        <x:v>56</x:v>
      </x:c>
      <x:c r="J573" s="28" t="n">
        <x:v>1421.9978834675203</x:v>
      </x:c>
      <x:c r="K573" s="26" t="str">
        <x:v>tpa-batch09-20260908</x:v>
      </x:c>
      <x:c r="L573" s="26"/>
      <x:c r="M573" s="26" t="str">
        <x:v>Present</x:v>
      </x:c>
      <x:c r="N573" s="26" t="str">
        <x:v>Absent from named inventory</x:v>
      </x:c>
      <x:c r="O573" s="26" t="str">
        <x:v>Absent from named inventory</x:v>
      </x:c>
      <x:c r="P573" s="26"/>
      <x:c r="Q573" s="26" t="str">
        <x:v>../Project Recherche Data/tpa-batch09-20260908/selection.json</x:v>
      </x:c>
      <x:c r="R573" s="26" t="str">
        <x:v>395304d24c4ccc368723e19c91081b318fa94afe187f103f7b2ae19ebdbfa4d6</x:v>
      </x:c>
      <x:c r="S573" s="26" t="str">
        <x:v>805138161276ff18ee3e907170120c7406b0615b8f416ffdc381484e28ef3e73</x:v>
      </x:c>
      <x:c r="T573" s="26" t="str">
        <x:v>b4faa6c2af70ec27386ecfcd13b26f4eb25c6b3a435be1ab269d1d2d72af197c</x:v>
      </x:c>
    </x:row>
    <x:row r="574" ht="60" customHeight="1">
      <x:c r="A574" s="26" t="str">
        <x:v>J1857+0057</x:v>
      </x:c>
      <x:c r="B574" s="26" t="str">
        <x:v>B1854+00</x:v>
      </x:c>
      <x:c r="C574" s="26" t="str">
        <x:v>NOT_SEARCHED</x:v>
      </x:c>
      <x:c r="D574" s="26"/>
      <x:c r="E574" s="26" t="str">
        <x:v>No observed search</x:v>
      </x:c>
      <x:c r="F574" s="26" t="str">
        <x:v>Retain exclusion for current scope</x:v>
      </x:c>
      <x:c r="G574" s="26" t="str">
        <x:v>TPA EXCLUDED</x:v>
      </x:c>
      <x:c r="H574" s="27" t="n">
        <x:v>240</x:v>
      </x:c>
      <x:c r="I574" s="27" t="n">
        <x:v>30</x:v>
      </x:c>
      <x:c r="J574" s="28" t="n">
        <x:v>1261.6034663684186</x:v>
      </x:c>
      <x:c r="K574" s="26"/>
      <x:c r="L574" s="26" t="str">
        <x:v>insufficient_span_or_epochs</x:v>
      </x:c>
      <x:c r="M574" s="26" t="str">
        <x:v>Present</x:v>
      </x:c>
      <x:c r="N574" s="26" t="str">
        <x:v>Absent from named inventory</x:v>
      </x:c>
      <x:c r="O574" s="26" t="str">
        <x:v>Absent from named inventory</x:v>
      </x:c>
      <x:c r="P574" s="26"/>
      <x:c r="Q574" s="26" t="str">
        <x:v>../Project Recherche Data/tpa-batch01-20260908/selection.json</x:v>
      </x:c>
      <x:c r="R574" s="26" t="str">
        <x:v>047722e4dca24e16c44c810f43990492b2f988012ca2b4bab47826ff4c95f1db</x:v>
      </x:c>
      <x:c r="S574" s="26" t="str">
        <x:v>9a21591b1b83ee8ac533bd2858de767a9b5547033d4ad7288ccd0d398d8838db</x:v>
      </x:c>
      <x:c r="T574" s="26" t="str">
        <x:v>f0010d7dcc896ed0f9309eb6d1120748047713e861d97a3ca224ef0fa30ab21a</x:v>
      </x:c>
    </x:row>
    <x:row r="575" ht="60" customHeight="1">
      <x:c r="A575" s="26" t="str">
        <x:v>J1857+0212</x:v>
      </x:c>
      <x:c r="B575" s="26" t="str">
        <x:v>B1855+02</x:v>
      </x:c>
      <x:c r="C575" s="26" t="str">
        <x:v>NOT_SEARCHED</x:v>
      </x:c>
      <x:c r="D575" s="26"/>
      <x:c r="E575" s="26" t="str">
        <x:v>No observed search</x:v>
      </x:c>
      <x:c r="F575" s="26" t="str">
        <x:v>Retain exclusion for current scope</x:v>
      </x:c>
      <x:c r="G575" s="26" t="str">
        <x:v>TPA EXCLUDED</x:v>
      </x:c>
      <x:c r="H575" s="27" t="n">
        <x:v>248</x:v>
      </x:c>
      <x:c r="I575" s="27" t="n">
        <x:v>31</x:v>
      </x:c>
      <x:c r="J575" s="28" t="n">
        <x:v>1261.6101395307924</x:v>
      </x:c>
      <x:c r="K575" s="26"/>
      <x:c r="L575" s="26" t="str">
        <x:v>insufficient_span_or_epochs</x:v>
      </x:c>
      <x:c r="M575" s="26" t="str">
        <x:v>Present</x:v>
      </x:c>
      <x:c r="N575" s="26" t="str">
        <x:v>Absent from named inventory</x:v>
      </x:c>
      <x:c r="O575" s="26" t="str">
        <x:v>Absent from named inventory</x:v>
      </x:c>
      <x:c r="P575" s="26"/>
      <x:c r="Q575" s="26" t="str">
        <x:v>../Project Recherche Data/tpa-batch01-20260908/selection.json</x:v>
      </x:c>
      <x:c r="R575" s="26" t="str">
        <x:v>047722e4dca24e16c44c810f43990492b2f988012ca2b4bab47826ff4c95f1db</x:v>
      </x:c>
      <x:c r="S575" s="26" t="str">
        <x:v>7e1cf4cc3d2e2967cdcfda036b75f107f5c6063c5e38a78d68101cb7af8bc124</x:v>
      </x:c>
      <x:c r="T575" s="26" t="str">
        <x:v>9e629482d5a584c3aa809fb014ccace48c7ae1dd1f056c1d587aec8159b6b3a8</x:v>
      </x:c>
    </x:row>
    <x:row r="576" ht="60" customHeight="1">
      <x:c r="A576" s="26" t="str">
        <x:v>J1900+0634</x:v>
      </x:c>
      <x:c r="B576" s="26" t="str"/>
      <x:c r="C576" s="26" t="str">
        <x:v>NOT_SEARCHED</x:v>
      </x:c>
      <x:c r="D576" s="26"/>
      <x:c r="E576" s="26" t="str">
        <x:v>No observed search</x:v>
      </x:c>
      <x:c r="F576" s="26" t="str">
        <x:v>Retain exclusion for current scope</x:v>
      </x:c>
      <x:c r="G576" s="26" t="str">
        <x:v>TPA EXCLUDED</x:v>
      </x:c>
      <x:c r="H576" s="27" t="n">
        <x:v>196</x:v>
      </x:c>
      <x:c r="I576" s="27" t="n">
        <x:v>25</x:v>
      </x:c>
      <x:c r="J576" s="28" t="n">
        <x:v>1083.09985197457</x:v>
      </x:c>
      <x:c r="K576" s="26"/>
      <x:c r="L576" s="26" t="str">
        <x:v>insufficient_span_or_epochs</x:v>
      </x:c>
      <x:c r="M576" s="26" t="str">
        <x:v>Absent from named inventory</x:v>
      </x:c>
      <x:c r="N576" s="26" t="str">
        <x:v>Absent from named inventory</x:v>
      </x:c>
      <x:c r="O576" s="26" t="str">
        <x:v>Absent from named inventory</x:v>
      </x:c>
      <x:c r="P576" s="26"/>
      <x:c r="Q576" s="26" t="str">
        <x:v>../Project Recherche Data/tpa-batch01-20260908/selection.json</x:v>
      </x:c>
      <x:c r="R576" s="26" t="str">
        <x:v>047722e4dca24e16c44c810f43990492b2f988012ca2b4bab47826ff4c95f1db</x:v>
      </x:c>
      <x:c r="S576" s="26" t="str">
        <x:v>d663c4295b1f2442be0c1d9e66c7caa11b78d1e2f754822584fd72e599146391</x:v>
      </x:c>
      <x:c r="T576" s="26" t="str">
        <x:v>e00b83d8e5f98322ce42be0a5db1326a19d70b20c088bb30001017896ece8800</x:v>
      </x:c>
    </x:row>
    <x:row r="577" ht="60" customHeight="1">
      <x:c r="A577" s="26" t="str">
        <x:v>J1900-0051</x:v>
      </x:c>
      <x:c r="B577" s="26" t="str"/>
      <x:c r="C577" s="26" t="str">
        <x:v>NOT_SEARCHED</x:v>
      </x:c>
      <x:c r="D577" s="26"/>
      <x:c r="E577" s="26" t="str">
        <x:v>No observed search</x:v>
      </x:c>
      <x:c r="F577" s="26" t="str">
        <x:v>Retain exclusion for current scope</x:v>
      </x:c>
      <x:c r="G577" s="26" t="str">
        <x:v>TPA EXCLUDED</x:v>
      </x:c>
      <x:c r="H577" s="27" t="n">
        <x:v>216</x:v>
      </x:c>
      <x:c r="I577" s="27" t="n">
        <x:v>27</x:v>
      </x:c>
      <x:c r="J577" s="28" t="n">
        <x:v>1083.0964620271989</x:v>
      </x:c>
      <x:c r="K577" s="26"/>
      <x:c r="L577" s="26" t="str">
        <x:v>insufficient_span_or_epochs</x:v>
      </x:c>
      <x:c r="M577" s="26" t="str">
        <x:v>Present</x:v>
      </x:c>
      <x:c r="N577" s="26" t="str">
        <x:v>Absent from named inventory</x:v>
      </x:c>
      <x:c r="O577" s="26" t="str">
        <x:v>Absent from named inventory</x:v>
      </x:c>
      <x:c r="P577" s="26"/>
      <x:c r="Q577" s="26" t="str">
        <x:v>../Project Recherche Data/tpa-batch01-20260908/selection.json</x:v>
      </x:c>
      <x:c r="R577" s="26" t="str">
        <x:v>047722e4dca24e16c44c810f43990492b2f988012ca2b4bab47826ff4c95f1db</x:v>
      </x:c>
      <x:c r="S577" s="26" t="str">
        <x:v>66575ad02255b15614c2c0aa353d3feb1145d0f98a61491ba11a52a05ef5adb2</x:v>
      </x:c>
      <x:c r="T577" s="26" t="str">
        <x:v>5bf3700441e264a85ce3f744288ec480f378e59f96e2edd31e0e93b6b41fc208</x:v>
      </x:c>
    </x:row>
    <x:row r="578" ht="60" customHeight="1">
      <x:c r="A578" s="26" t="str">
        <x:v>J1900-0933</x:v>
      </x:c>
      <x:c r="B578" s="26" t="str"/>
      <x:c r="C578" s="26" t="str">
        <x:v>NOT_SEARCHED</x:v>
      </x:c>
      <x:c r="D578" s="26"/>
      <x:c r="E578" s="26" t="str">
        <x:v>No observed search</x:v>
      </x:c>
      <x:c r="F578" s="26" t="str">
        <x:v>Retain exclusion for current scope</x:v>
      </x:c>
      <x:c r="G578" s="26" t="str">
        <x:v>TPA EXCLUDED</x:v>
      </x:c>
      <x:c r="H578" s="27" t="n">
        <x:v>284</x:v>
      </x:c>
      <x:c r="I578" s="27" t="n">
        <x:v>37</x:v>
      </x:c>
      <x:c r="J578" s="28" t="n">
        <x:v>1051.0587359001438</x:v>
      </x:c>
      <x:c r="K578" s="26"/>
      <x:c r="L578" s="26" t="str">
        <x:v>insufficient_span_or_epochs</x:v>
      </x:c>
      <x:c r="M578" s="26" t="str">
        <x:v>Absent from named inventory</x:v>
      </x:c>
      <x:c r="N578" s="26" t="str">
        <x:v>Absent from named inventory</x:v>
      </x:c>
      <x:c r="O578" s="26" t="str">
        <x:v>Absent from named inventory</x:v>
      </x:c>
      <x:c r="P578" s="26"/>
      <x:c r="Q578" s="26" t="str">
        <x:v>../Project Recherche Data/tpa-batch01-20260908/selection.json</x:v>
      </x:c>
      <x:c r="R578" s="26" t="str">
        <x:v>047722e4dca24e16c44c810f43990492b2f988012ca2b4bab47826ff4c95f1db</x:v>
      </x:c>
      <x:c r="S578" s="26" t="str">
        <x:v>1eedf76aef780489dbc39af7cb3793d4b8e8e6f0aba19e87b8b356bedef3c10c</x:v>
      </x:c>
      <x:c r="T578" s="26" t="str">
        <x:v>4889d48ccf139c3820736b7ea6cbb96dd0d799005ab1b733b6b7b89a0b1b562a</x:v>
      </x:c>
    </x:row>
    <x:row r="579" ht="60" customHeight="1">
      <x:c r="A579" s="26" t="str">
        <x:v>J1900-2600</x:v>
      </x:c>
      <x:c r="B579" s="26" t="str">
        <x:v>B1857-26</x:v>
      </x:c>
      <x:c r="C579" s="26" t="str">
        <x:v>NOT_SEARCHED</x:v>
      </x:c>
      <x:c r="D579" s="26"/>
      <x:c r="E579" s="26" t="str">
        <x:v>No observed search</x:v>
      </x:c>
      <x:c r="F579" s="26" t="str">
        <x:v>Retain exclusion for current scope</x:v>
      </x:c>
      <x:c r="G579" s="26" t="str">
        <x:v>TPA EXCLUDED</x:v>
      </x:c>
      <x:c r="H579" s="27" t="n">
        <x:v>96</x:v>
      </x:c>
      <x:c r="I579" s="27" t="n">
        <x:v>12</x:v>
      </x:c>
      <x:c r="J579" s="28" t="n">
        <x:v>491.3977929943285</x:v>
      </x:c>
      <x:c r="K579" s="26"/>
      <x:c r="L579" s="26" t="str">
        <x:v>insufficient_span_or_epochs</x:v>
      </x:c>
      <x:c r="M579" s="26" t="str">
        <x:v>Present</x:v>
      </x:c>
      <x:c r="N579" s="26" t="str">
        <x:v>Absent from named inventory</x:v>
      </x:c>
      <x:c r="O579" s="26" t="str">
        <x:v>Absent from named inventory</x:v>
      </x:c>
      <x:c r="P579" s="26"/>
      <x:c r="Q579" s="26" t="str">
        <x:v>../Project Recherche Data/tpa-batch01-20260908/selection.json</x:v>
      </x:c>
      <x:c r="R579" s="26" t="str">
        <x:v>047722e4dca24e16c44c810f43990492b2f988012ca2b4bab47826ff4c95f1db</x:v>
      </x:c>
      <x:c r="S579" s="26" t="str">
        <x:v>73a786105b8fb17d90b30044d2780446ab0b72e4f71548c239581dbd3c167e82</x:v>
      </x:c>
      <x:c r="T579" s="26" t="str">
        <x:v>52fe1dc2aaecd1040bd515ca9775ba9bad9af351420289977adfa76d61409c23</x:v>
      </x:c>
    </x:row>
    <x:row r="580" ht="60" customHeight="1">
      <x:c r="A580" s="26" t="str">
        <x:v>J1901+0124</x:v>
      </x:c>
      <x:c r="B580" s="26" t="str"/>
      <x:c r="C580" s="26" t="str">
        <x:v>NOT_SEARCHED</x:v>
      </x:c>
      <x:c r="D580" s="26"/>
      <x:c r="E580" s="26" t="str">
        <x:v>No observed search</x:v>
      </x:c>
      <x:c r="F580" s="26" t="str">
        <x:v>Retain exclusion for current scope</x:v>
      </x:c>
      <x:c r="G580" s="26" t="str">
        <x:v>TPA EXCLUDED</x:v>
      </x:c>
      <x:c r="H580" s="27" t="n">
        <x:v>215</x:v>
      </x:c>
      <x:c r="I580" s="27" t="n">
        <x:v>27</x:v>
      </x:c>
      <x:c r="J580" s="28" t="n">
        <x:v>1083.0971180381166</x:v>
      </x:c>
      <x:c r="K580" s="26"/>
      <x:c r="L580" s="26" t="str">
        <x:v>insufficient_span_or_epochs</x:v>
      </x:c>
      <x:c r="M580" s="26" t="str">
        <x:v>Absent from named inventory</x:v>
      </x:c>
      <x:c r="N580" s="26" t="str">
        <x:v>Absent from named inventory</x:v>
      </x:c>
      <x:c r="O580" s="26" t="str">
        <x:v>Absent from named inventory</x:v>
      </x:c>
      <x:c r="P580" s="26"/>
      <x:c r="Q580" s="26" t="str">
        <x:v>../Project Recherche Data/tpa-batch01-20260908/selection.json</x:v>
      </x:c>
      <x:c r="R580" s="26" t="str">
        <x:v>047722e4dca24e16c44c810f43990492b2f988012ca2b4bab47826ff4c95f1db</x:v>
      </x:c>
      <x:c r="S580" s="26" t="str">
        <x:v>3e6c3956fe3fe985c6ddba9bfa5263f1171ec48529bdb5101b6de197d23d51c8</x:v>
      </x:c>
      <x:c r="T580" s="26" t="str">
        <x:v>eecf23c6d0b9c70b30cafab06339f01abebb484b15c538f8027e92f34ecb83c8</x:v>
      </x:c>
    </x:row>
    <x:row r="581" ht="60" customHeight="1">
      <x:c r="A581" s="26" t="str">
        <x:v>J1901+0156</x:v>
      </x:c>
      <x:c r="B581" s="26" t="str">
        <x:v>B1859+01</x:v>
      </x:c>
      <x:c r="C581" s="26" t="str">
        <x:v>NOT_SEARCHED</x:v>
      </x:c>
      <x:c r="D581" s="26"/>
      <x:c r="E581" s="26" t="str">
        <x:v>No observed search</x:v>
      </x:c>
      <x:c r="F581" s="26" t="str">
        <x:v>Retain exclusion for current scope</x:v>
      </x:c>
      <x:c r="G581" s="26" t="str">
        <x:v>TPA EXCLUDED</x:v>
      </x:c>
      <x:c r="H581" s="27" t="n">
        <x:v>214</x:v>
      </x:c>
      <x:c r="I581" s="27" t="n">
        <x:v>27</x:v>
      </x:c>
      <x:c r="J581" s="28" t="n">
        <x:v>1083.0946074081803</x:v>
      </x:c>
      <x:c r="K581" s="26"/>
      <x:c r="L581" s="26" t="str">
        <x:v>insufficient_span_or_epochs</x:v>
      </x:c>
      <x:c r="M581" s="26" t="str">
        <x:v>Present</x:v>
      </x:c>
      <x:c r="N581" s="26" t="str">
        <x:v>Absent from named inventory</x:v>
      </x:c>
      <x:c r="O581" s="26" t="str">
        <x:v>Absent from named inventory</x:v>
      </x:c>
      <x:c r="P581" s="26"/>
      <x:c r="Q581" s="26" t="str">
        <x:v>../Project Recherche Data/tpa-batch01-20260908/selection.json</x:v>
      </x:c>
      <x:c r="R581" s="26" t="str">
        <x:v>047722e4dca24e16c44c810f43990492b2f988012ca2b4bab47826ff4c95f1db</x:v>
      </x:c>
      <x:c r="S581" s="26" t="str">
        <x:v>5ebd6e7af69fbbd4be6cf6b0c34b21148b7c8cc05ff047a09ce8401facf21b07</x:v>
      </x:c>
      <x:c r="T581" s="26" t="str">
        <x:v>9d5a8f8dad5f3dfe8fcf9477d15c1ff0cbf19aee8c672c5dc142623b0bbaeb9c</x:v>
      </x:c>
    </x:row>
    <x:row r="582" ht="60" customHeight="1">
      <x:c r="A582" s="26" t="str">
        <x:v>J1901+0331</x:v>
      </x:c>
      <x:c r="B582" s="26" t="str">
        <x:v>B1859+03</x:v>
      </x:c>
      <x:c r="C582" s="26" t="str">
        <x:v>NOT_SEARCHED</x:v>
      </x:c>
      <x:c r="D582" s="26"/>
      <x:c r="E582" s="26" t="str">
        <x:v>No observed search</x:v>
      </x:c>
      <x:c r="F582" s="26" t="str">
        <x:v>Retain exclusion for current scope</x:v>
      </x:c>
      <x:c r="G582" s="26" t="str">
        <x:v>TPA EXCLUDED</x:v>
      </x:c>
      <x:c r="H582" s="27" t="n">
        <x:v>256</x:v>
      </x:c>
      <x:c r="I582" s="27" t="n">
        <x:v>32</x:v>
      </x:c>
      <x:c r="J582" s="28" t="n">
        <x:v>1261.6267814298262</x:v>
      </x:c>
      <x:c r="K582" s="26"/>
      <x:c r="L582" s="26" t="str">
        <x:v>insufficient_span_or_epochs</x:v>
      </x:c>
      <x:c r="M582" s="26" t="str">
        <x:v>Present</x:v>
      </x:c>
      <x:c r="N582" s="26" t="str">
        <x:v>Absent from named inventory</x:v>
      </x:c>
      <x:c r="O582" s="26" t="str">
        <x:v>Absent from named inventory</x:v>
      </x:c>
      <x:c r="P582" s="26"/>
      <x:c r="Q582" s="26" t="str">
        <x:v>../Project Recherche Data/tpa-batch01-20260908/selection.json</x:v>
      </x:c>
      <x:c r="R582" s="26" t="str">
        <x:v>047722e4dca24e16c44c810f43990492b2f988012ca2b4bab47826ff4c95f1db</x:v>
      </x:c>
      <x:c r="S582" s="26" t="str">
        <x:v>287c754376690db81e1f714206083c3b348cbb45dc5e27e1a309d68212730630</x:v>
      </x:c>
      <x:c r="T582" s="26" t="str">
        <x:v>5187fdcaa10cb1188134b401447f23b6efd5ac0087abc5ad18f1beb31e783dc3</x:v>
      </x:c>
    </x:row>
    <x:row r="583" ht="60" customHeight="1">
      <x:c r="A583" s="26" t="str">
        <x:v>J1901+0716</x:v>
      </x:c>
      <x:c r="B583" s="26" t="str">
        <x:v>B1859+07</x:v>
      </x:c>
      <x:c r="C583" s="26" t="str">
        <x:v>NO_TRIGGER</x:v>
      </x:c>
      <x:c r="D583" s="26" t="str">
        <x:v>tpa-batch09-20260908-J1901+0716-run01</x:v>
      </x:c>
      <x:c r="E583" s="26" t="str">
        <x:v>No qualifying signal in eligible 30–400-day cells</x:v>
      </x:c>
      <x:c r="F583" s="26" t="str">
        <x:v>Retain result; consider independent data or a separately defined new scope</x:v>
      </x:c>
      <x:c r="G583" s="26" t="str">
        <x:v>SEARCHED</x:v>
      </x:c>
      <x:c r="H583" s="27" t="n">
        <x:v>424</x:v>
      </x:c>
      <x:c r="I583" s="27" t="n">
        <x:v>53</x:v>
      </x:c>
      <x:c r="J583" s="28" t="n">
        <x:v>1422.0146677452576</x:v>
      </x:c>
      <x:c r="K583" s="26" t="str">
        <x:v>tpa-batch09-20260908</x:v>
      </x:c>
      <x:c r="L583" s="26"/>
      <x:c r="M583" s="26" t="str">
        <x:v>Present</x:v>
      </x:c>
      <x:c r="N583" s="26" t="str">
        <x:v>Absent from named inventory</x:v>
      </x:c>
      <x:c r="O583" s="26" t="str">
        <x:v>Absent from named inventory</x:v>
      </x:c>
      <x:c r="P583" s="26"/>
      <x:c r="Q583" s="26" t="str">
        <x:v>../Project Recherche Data/tpa-batch09-20260908/selection.json</x:v>
      </x:c>
      <x:c r="R583" s="26" t="str">
        <x:v>395304d24c4ccc368723e19c91081b318fa94afe187f103f7b2ae19ebdbfa4d6</x:v>
      </x:c>
      <x:c r="S583" s="26" t="str">
        <x:v>48fa2336ca3655ab5a55e6032c12efca254bb2ccddad2fb1c3e214f0f979dd3a</x:v>
      </x:c>
      <x:c r="T583" s="26" t="str">
        <x:v>9f5ee4af8d5ba9ea8bb98b48b1bfa806b65e16b3836e09534024d6e9f7e64367</x:v>
      </x:c>
    </x:row>
    <x:row r="584" ht="60" customHeight="1">
      <x:c r="A584" s="26" t="str">
        <x:v>J1901-0312</x:v>
      </x:c>
      <x:c r="B584" s="26" t="str"/>
      <x:c r="C584" s="26" t="str">
        <x:v>NOT_SEARCHED</x:v>
      </x:c>
      <x:c r="D584" s="26"/>
      <x:c r="E584" s="26" t="str">
        <x:v>No observed search</x:v>
      </x:c>
      <x:c r="F584" s="26" t="str">
        <x:v>Retain exclusion for current scope</x:v>
      </x:c>
      <x:c r="G584" s="26" t="str">
        <x:v>TPA EXCLUDED</x:v>
      </x:c>
      <x:c r="H584" s="27" t="n">
        <x:v>189</x:v>
      </x:c>
      <x:c r="I584" s="27" t="n">
        <x:v>26</x:v>
      </x:c>
      <x:c r="J584" s="28" t="n">
        <x:v>1412.2530170362952</x:v>
      </x:c>
      <x:c r="K584" s="26"/>
      <x:c r="L584" s="26" t="str">
        <x:v>insufficient_span_or_epochs</x:v>
      </x:c>
      <x:c r="M584" s="26" t="str">
        <x:v>Absent from named inventory</x:v>
      </x:c>
      <x:c r="N584" s="26" t="str">
        <x:v>Absent from named inventory</x:v>
      </x:c>
      <x:c r="O584" s="26" t="str">
        <x:v>Absent from named inventory</x:v>
      </x:c>
      <x:c r="P584" s="26"/>
      <x:c r="Q584" s="26" t="str">
        <x:v>../Project Recherche Data/tpa-batch01-20260908/selection.json</x:v>
      </x:c>
      <x:c r="R584" s="26" t="str">
        <x:v>047722e4dca24e16c44c810f43990492b2f988012ca2b4bab47826ff4c95f1db</x:v>
      </x:c>
      <x:c r="S584" s="26" t="str">
        <x:v>5233f28deaa2e662d0eeb29845f1ccfc459d3cac80d223881dc60cf25b0d8e3a</x:v>
      </x:c>
      <x:c r="T584" s="26" t="str">
        <x:v>a037590cca4386e4a9a7fbc15d37e2563d6247d28bc92b4dfe3230847ea397d7</x:v>
      </x:c>
    </x:row>
    <x:row r="585" ht="60" customHeight="1">
      <x:c r="A585" s="26" t="str">
        <x:v>J1901-0906</x:v>
      </x:c>
      <x:c r="B585" s="26" t="str"/>
      <x:c r="C585" s="26" t="str">
        <x:v>NOT_SEARCHED</x:v>
      </x:c>
      <x:c r="D585" s="26"/>
      <x:c r="E585" s="26" t="str">
        <x:v>No observed search</x:v>
      </x:c>
      <x:c r="F585" s="26" t="str">
        <x:v>Retain exclusion for current scope</x:v>
      </x:c>
      <x:c r="G585" s="26" t="str">
        <x:v>TPA EXCLUDED</x:v>
      </x:c>
      <x:c r="H585" s="27" t="n">
        <x:v>248</x:v>
      </x:c>
      <x:c r="I585" s="27" t="n">
        <x:v>31</x:v>
      </x:c>
      <x:c r="J585" s="28" t="n">
        <x:v>1281.2527897187174</x:v>
      </x:c>
      <x:c r="K585" s="26"/>
      <x:c r="L585" s="26" t="str">
        <x:v>insufficient_span_or_epochs</x:v>
      </x:c>
      <x:c r="M585" s="26" t="str">
        <x:v>Present</x:v>
      </x:c>
      <x:c r="N585" s="26" t="str">
        <x:v>Absent from named inventory</x:v>
      </x:c>
      <x:c r="O585" s="26" t="str">
        <x:v>Absent from named inventory</x:v>
      </x:c>
      <x:c r="P585" s="26"/>
      <x:c r="Q585" s="26" t="str">
        <x:v>../Project Recherche Data/tpa-batch01-20260908/selection.json</x:v>
      </x:c>
      <x:c r="R585" s="26" t="str">
        <x:v>047722e4dca24e16c44c810f43990492b2f988012ca2b4bab47826ff4c95f1db</x:v>
      </x:c>
      <x:c r="S585" s="26" t="str">
        <x:v>5079fe35f9c20198066337c6da365387cbffb1e1ad054344c2f64619e0c979ad</x:v>
      </x:c>
      <x:c r="T585" s="26" t="str">
        <x:v>a5ad5e3de62c568291f25eecef0b5ca76b50e2cce013b54514cba8ae6c4beff6</x:v>
      </x:c>
    </x:row>
    <x:row r="586" ht="60" customHeight="1">
      <x:c r="A586" s="26" t="str">
        <x:v>J1902+0615</x:v>
      </x:c>
      <x:c r="B586" s="26" t="str">
        <x:v>B1900+06</x:v>
      </x:c>
      <x:c r="C586" s="26" t="str">
        <x:v>NO_TRIGGER</x:v>
      </x:c>
      <x:c r="D586" s="26" t="str">
        <x:v>tpa-batch08-20260908-J1902+0615-run01</x:v>
      </x:c>
      <x:c r="E586" s="26" t="str">
        <x:v>No qualifying signal in eligible 30–400-day cells</x:v>
      </x:c>
      <x:c r="F586" s="26" t="str">
        <x:v>Retain result; consider independent data or a separately defined new scope</x:v>
      </x:c>
      <x:c r="G586" s="26" t="str">
        <x:v>SEARCHED</x:v>
      </x:c>
      <x:c r="H586" s="27" t="n">
        <x:v>440</x:v>
      </x:c>
      <x:c r="I586" s="27" t="n">
        <x:v>55</x:v>
      </x:c>
      <x:c r="J586" s="28" t="n">
        <x:v>1272.437653312394</x:v>
      </x:c>
      <x:c r="K586" s="26" t="str">
        <x:v>tpa-batch08-20260908</x:v>
      </x:c>
      <x:c r="L586" s="26"/>
      <x:c r="M586" s="26" t="str">
        <x:v>Present</x:v>
      </x:c>
      <x:c r="N586" s="26" t="str">
        <x:v>Absent from named inventory</x:v>
      </x:c>
      <x:c r="O586" s="26" t="str">
        <x:v>Absent from named inventory</x:v>
      </x:c>
      <x:c r="P586" s="26"/>
      <x:c r="Q586" s="26" t="str">
        <x:v>../Project Recherche Data/tpa-batch08-20260908/selection.json</x:v>
      </x:c>
      <x:c r="R586" s="26" t="str">
        <x:v>6fe595c0d188861ebc661368dcb361d40c70c01fd3243f0147e51a513ec4e764</x:v>
      </x:c>
      <x:c r="S586" s="26" t="str">
        <x:v>80ce023f9b7e77fc6223cd8673baffcbf03d97cc304ecacf06f2fd7971431909</x:v>
      </x:c>
      <x:c r="T586" s="26" t="str">
        <x:v>eefad138ad13aae76c34f69138712df8db64155d79058ba9d5273c60f58a9a60</x:v>
      </x:c>
    </x:row>
    <x:row r="587" ht="60" customHeight="1">
      <x:c r="A587" s="26" t="str">
        <x:v>J1903+0135</x:v>
      </x:c>
      <x:c r="B587" s="26" t="str">
        <x:v>B1900+01</x:v>
      </x:c>
      <x:c r="C587" s="26" t="str">
        <x:v>NO_TRIGGER</x:v>
      </x:c>
      <x:c r="D587" s="26" t="str">
        <x:v>tpa-batch08-20260908-J1903+0135-run01</x:v>
      </x:c>
      <x:c r="E587" s="26" t="str">
        <x:v>No qualifying signal in eligible 30–400-day cells</x:v>
      </x:c>
      <x:c r="F587" s="26" t="str">
        <x:v>Retain result; consider independent data or a separately defined new scope</x:v>
      </x:c>
      <x:c r="G587" s="26" t="str">
        <x:v>SEARCHED</x:v>
      </x:c>
      <x:c r="H587" s="27" t="n">
        <x:v>432</x:v>
      </x:c>
      <x:c r="I587" s="27" t="n">
        <x:v>54</x:v>
      </x:c>
      <x:c r="J587" s="28" t="n">
        <x:v>1272.397479630461</x:v>
      </x:c>
      <x:c r="K587" s="26" t="str">
        <x:v>tpa-batch08-20260908</x:v>
      </x:c>
      <x:c r="L587" s="26"/>
      <x:c r="M587" s="26" t="str">
        <x:v>Present</x:v>
      </x:c>
      <x:c r="N587" s="26" t="str">
        <x:v>Absent from named inventory</x:v>
      </x:c>
      <x:c r="O587" s="26" t="str">
        <x:v>Absent from named inventory</x:v>
      </x:c>
      <x:c r="P587" s="26"/>
      <x:c r="Q587" s="26" t="str">
        <x:v>../Project Recherche Data/tpa-batch08-20260908/selection.json</x:v>
      </x:c>
      <x:c r="R587" s="26" t="str">
        <x:v>6fe595c0d188861ebc661368dcb361d40c70c01fd3243f0147e51a513ec4e764</x:v>
      </x:c>
      <x:c r="S587" s="26" t="str">
        <x:v>145ad47d83ce2f2564d73a0b0717167948501432539a7e9fd712a40647150417</x:v>
      </x:c>
      <x:c r="T587" s="26" t="str">
        <x:v>5d26597fbeba43f3f2c421dc63bf48c025b3faef7b43cffaaf9cf989aaa09114</x:v>
      </x:c>
    </x:row>
    <x:row r="588" ht="60" customHeight="1">
      <x:c r="A588" s="26" t="str">
        <x:v>J1903+0601</x:v>
      </x:c>
      <x:c r="B588" s="26" t="str"/>
      <x:c r="C588" s="26" t="str">
        <x:v>NOT_SEARCHED</x:v>
      </x:c>
      <x:c r="D588" s="26"/>
      <x:c r="E588" s="26" t="str">
        <x:v>No observed search</x:v>
      </x:c>
      <x:c r="F588" s="26" t="str">
        <x:v>Retain exclusion for current scope</x:v>
      </x:c>
      <x:c r="G588" s="26" t="str">
        <x:v>TPA EXCLUDED</x:v>
      </x:c>
      <x:c r="H588" s="27" t="n">
        <x:v>208</x:v>
      </x:c>
      <x:c r="I588" s="27" t="n">
        <x:v>26</x:v>
      </x:c>
      <x:c r="J588" s="28" t="n">
        <x:v>1093.8594028453444</x:v>
      </x:c>
      <x:c r="K588" s="26"/>
      <x:c r="L588" s="26" t="str">
        <x:v>insufficient_span_or_epochs</x:v>
      </x:c>
      <x:c r="M588" s="26" t="str">
        <x:v>Present</x:v>
      </x:c>
      <x:c r="N588" s="26" t="str">
        <x:v>Absent from named inventory</x:v>
      </x:c>
      <x:c r="O588" s="26" t="str">
        <x:v>Absent from named inventory</x:v>
      </x:c>
      <x:c r="P588" s="26"/>
      <x:c r="Q588" s="26" t="str">
        <x:v>../Project Recherche Data/tpa-batch01-20260908/selection.json</x:v>
      </x:c>
      <x:c r="R588" s="26" t="str">
        <x:v>047722e4dca24e16c44c810f43990492b2f988012ca2b4bab47826ff4c95f1db</x:v>
      </x:c>
      <x:c r="S588" s="26" t="str">
        <x:v>4717dec8c7a6afabf24a8ef0416a98f7346592f11702931472a2e90881013d3c</x:v>
      </x:c>
      <x:c r="T588" s="26" t="str">
        <x:v>5e737b19c57f1e3041a7194ba385ff8aa39539f061a5d8cd520dfa6f38a15125</x:v>
      </x:c>
    </x:row>
    <x:row r="589" ht="60" customHeight="1">
      <x:c r="A589" s="26" t="str">
        <x:v>J1904+0004</x:v>
      </x:c>
      <x:c r="B589" s="26" t="str"/>
      <x:c r="C589" s="26" t="str">
        <x:v>NOT_SEARCHED</x:v>
      </x:c>
      <x:c r="D589" s="26"/>
      <x:c r="E589" s="26" t="str">
        <x:v>No observed search</x:v>
      </x:c>
      <x:c r="F589" s="26" t="str">
        <x:v>Retain exclusion for current scope</x:v>
      </x:c>
      <x:c r="G589" s="26" t="str">
        <x:v>TPA EXCLUDED</x:v>
      </x:c>
      <x:c r="H589" s="27" t="n">
        <x:v>248</x:v>
      </x:c>
      <x:c r="I589" s="27" t="n">
        <x:v>31</x:v>
      </x:c>
      <x:c r="J589" s="28" t="n">
        <x:v>1272.403424834367</x:v>
      </x:c>
      <x:c r="K589" s="26"/>
      <x:c r="L589" s="26" t="str">
        <x:v>insufficient_span_or_epochs</x:v>
      </x:c>
      <x:c r="M589" s="26" t="str">
        <x:v>Present</x:v>
      </x:c>
      <x:c r="N589" s="26" t="str">
        <x:v>Absent from named inventory</x:v>
      </x:c>
      <x:c r="O589" s="26" t="str">
        <x:v>Absent from named inventory</x:v>
      </x:c>
      <x:c r="P589" s="26"/>
      <x:c r="Q589" s="26" t="str">
        <x:v>../Project Recherche Data/tpa-batch01-20260908/selection.json</x:v>
      </x:c>
      <x:c r="R589" s="26" t="str">
        <x:v>047722e4dca24e16c44c810f43990492b2f988012ca2b4bab47826ff4c95f1db</x:v>
      </x:c>
      <x:c r="S589" s="26" t="str">
        <x:v>a21754ec1521488fc6b5a5c013056fc8d990b564be7b20b3f79c2786d38c4ce7</x:v>
      </x:c>
      <x:c r="T589" s="26" t="str">
        <x:v>4460caefb93e775c12fc691b54fc53ca2109591bfe761774bf14aca201230460</x:v>
      </x:c>
    </x:row>
    <x:row r="590" ht="60" customHeight="1">
      <x:c r="A590" s="26" t="str">
        <x:v>J1904+0738</x:v>
      </x:c>
      <x:c r="B590" s="26" t="str"/>
      <x:c r="C590" s="26" t="str">
        <x:v>NOT_SEARCHED</x:v>
      </x:c>
      <x:c r="D590" s="26"/>
      <x:c r="E590" s="26" t="str">
        <x:v>No observed search</x:v>
      </x:c>
      <x:c r="F590" s="26" t="str">
        <x:v>Retain exclusion for current scope</x:v>
      </x:c>
      <x:c r="G590" s="26" t="str">
        <x:v>TPA EXCLUDED</x:v>
      </x:c>
      <x:c r="H590" s="27" t="n">
        <x:v>199</x:v>
      </x:c>
      <x:c r="I590" s="27" t="n">
        <x:v>26</x:v>
      </x:c>
      <x:c r="J590" s="28" t="n">
        <x:v>1093.8547882586645</x:v>
      </x:c>
      <x:c r="K590" s="26"/>
      <x:c r="L590" s="26" t="str">
        <x:v>insufficient_span_or_epochs</x:v>
      </x:c>
      <x:c r="M590" s="26" t="str">
        <x:v>Present</x:v>
      </x:c>
      <x:c r="N590" s="26" t="str">
        <x:v>Absent from named inventory</x:v>
      </x:c>
      <x:c r="O590" s="26" t="str">
        <x:v>Absent from named inventory</x:v>
      </x:c>
      <x:c r="P590" s="26"/>
      <x:c r="Q590" s="26" t="str">
        <x:v>../Project Recherche Data/tpa-batch01-20260908/selection.json</x:v>
      </x:c>
      <x:c r="R590" s="26" t="str">
        <x:v>047722e4dca24e16c44c810f43990492b2f988012ca2b4bab47826ff4c95f1db</x:v>
      </x:c>
      <x:c r="S590" s="26" t="str">
        <x:v>950e1e69d0c2881b732f12d3d6b38d90d2cac6f075778044ffc86f6fa9c28f7a</x:v>
      </x:c>
      <x:c r="T590" s="26" t="str">
        <x:v>07284d50f7c5b97c97fbfbb0f6e68fdf1cfad384585422d33fcf5ad1e629de04</x:v>
      </x:c>
    </x:row>
    <x:row r="591" ht="60" customHeight="1">
      <x:c r="A591" s="26" t="str">
        <x:v>J1904+0800</x:v>
      </x:c>
      <x:c r="B591" s="26" t="str"/>
      <x:c r="C591" s="26" t="str">
        <x:v>NOT_SEARCHED</x:v>
      </x:c>
      <x:c r="D591" s="26"/>
      <x:c r="E591" s="26" t="str">
        <x:v>No observed search</x:v>
      </x:c>
      <x:c r="F591" s="26" t="str">
        <x:v>Retain exclusion for current scope</x:v>
      </x:c>
      <x:c r="G591" s="26" t="str">
        <x:v>TPA EXCLUDED</x:v>
      </x:c>
      <x:c r="H591" s="27" t="n">
        <x:v>224</x:v>
      </x:c>
      <x:c r="I591" s="27" t="n">
        <x:v>28</x:v>
      </x:c>
      <x:c r="J591" s="28" t="n">
        <x:v>1093.8531978907122</x:v>
      </x:c>
      <x:c r="K591" s="26"/>
      <x:c r="L591" s="26" t="str">
        <x:v>insufficient_span_or_epochs</x:v>
      </x:c>
      <x:c r="M591" s="26" t="str">
        <x:v>Present</x:v>
      </x:c>
      <x:c r="N591" s="26" t="str">
        <x:v>Absent from named inventory</x:v>
      </x:c>
      <x:c r="O591" s="26" t="str">
        <x:v>Absent from named inventory</x:v>
      </x:c>
      <x:c r="P591" s="26"/>
      <x:c r="Q591" s="26" t="str">
        <x:v>../Project Recherche Data/tpa-batch01-20260908/selection.json</x:v>
      </x:c>
      <x:c r="R591" s="26" t="str">
        <x:v>047722e4dca24e16c44c810f43990492b2f988012ca2b4bab47826ff4c95f1db</x:v>
      </x:c>
      <x:c r="S591" s="26" t="str">
        <x:v>fc76d38c78b9f0f29702868be13b0cc5a1206a7da830f3c014f00f1b0a5bd261</x:v>
      </x:c>
      <x:c r="T591" s="26" t="str">
        <x:v>2d859f6aca267e92d98569da2f09f02b2f180bc70b51a1b9b36722292a33c9a2</x:v>
      </x:c>
    </x:row>
    <x:row r="592" ht="60" customHeight="1">
      <x:c r="A592" s="26" t="str">
        <x:v>J1904+1011</x:v>
      </x:c>
      <x:c r="B592" s="26" t="str">
        <x:v>B1901+10</x:v>
      </x:c>
      <x:c r="C592" s="26" t="str">
        <x:v>NOT_SEARCHED</x:v>
      </x:c>
      <x:c r="D592" s="26"/>
      <x:c r="E592" s="26" t="str">
        <x:v>No observed search</x:v>
      </x:c>
      <x:c r="F592" s="26" t="str">
        <x:v>Retain exclusion for current scope</x:v>
      </x:c>
      <x:c r="G592" s="26" t="str">
        <x:v>TPA EXCLUDED</x:v>
      </x:c>
      <x:c r="H592" s="27" t="n">
        <x:v>217</x:v>
      </x:c>
      <x:c r="I592" s="27" t="n">
        <x:v>28</x:v>
      </x:c>
      <x:c r="J592" s="28" t="n">
        <x:v>1115.9405322723906</x:v>
      </x:c>
      <x:c r="K592" s="26"/>
      <x:c r="L592" s="26" t="str">
        <x:v>insufficient_span_or_epochs</x:v>
      </x:c>
      <x:c r="M592" s="26" t="str">
        <x:v>Absent from named inventory</x:v>
      </x:c>
      <x:c r="N592" s="26" t="str">
        <x:v>Absent from named inventory</x:v>
      </x:c>
      <x:c r="O592" s="26" t="str">
        <x:v>Absent from named inventory</x:v>
      </x:c>
      <x:c r="P592" s="26"/>
      <x:c r="Q592" s="26" t="str">
        <x:v>../Project Recherche Data/tpa-batch01-20260908/selection.json</x:v>
      </x:c>
      <x:c r="R592" s="26" t="str">
        <x:v>047722e4dca24e16c44c810f43990492b2f988012ca2b4bab47826ff4c95f1db</x:v>
      </x:c>
      <x:c r="S592" s="26" t="str">
        <x:v>3b9cc6b67d087b123bc5112cf85fa75510af9bc5723d7733e9cf39953bc34ff5</x:v>
      </x:c>
      <x:c r="T592" s="26" t="str">
        <x:v>70851e62b508e3dc9bb3a6f01ea3b2c7323c40722cf3ace642dbc0040f8d653f</x:v>
      </x:c>
    </x:row>
    <x:row r="593" ht="60" customHeight="1">
      <x:c r="A593" s="26" t="str">
        <x:v>J1904-1224</x:v>
      </x:c>
      <x:c r="B593" s="26" t="str"/>
      <x:c r="C593" s="26" t="str">
        <x:v>NOT_SEARCHED</x:v>
      </x:c>
      <x:c r="D593" s="26"/>
      <x:c r="E593" s="26" t="str">
        <x:v>No observed search</x:v>
      </x:c>
      <x:c r="F593" s="26" t="str">
        <x:v>Retain exclusion for current scope</x:v>
      </x:c>
      <x:c r="G593" s="26" t="str">
        <x:v>TPA EXCLUDED</x:v>
      </x:c>
      <x:c r="H593" s="27" t="n">
        <x:v>223</x:v>
      </x:c>
      <x:c r="I593" s="27" t="n">
        <x:v>28</x:v>
      </x:c>
      <x:c r="J593" s="28" t="n">
        <x:v>1093.8263441872405</x:v>
      </x:c>
      <x:c r="K593" s="26"/>
      <x:c r="L593" s="26" t="str">
        <x:v>insufficient_span_or_epochs</x:v>
      </x:c>
      <x:c r="M593" s="26" t="str">
        <x:v>Present</x:v>
      </x:c>
      <x:c r="N593" s="26" t="str">
        <x:v>Absent from named inventory</x:v>
      </x:c>
      <x:c r="O593" s="26" t="str">
        <x:v>Absent from named inventory</x:v>
      </x:c>
      <x:c r="P593" s="26"/>
      <x:c r="Q593" s="26" t="str">
        <x:v>../Project Recherche Data/tpa-batch01-20260908/selection.json</x:v>
      </x:c>
      <x:c r="R593" s="26" t="str">
        <x:v>047722e4dca24e16c44c810f43990492b2f988012ca2b4bab47826ff4c95f1db</x:v>
      </x:c>
      <x:c r="S593" s="26" t="str">
        <x:v>f7d5936712ad422579b73441535bd7991127285bc42cf7b518116a09cc2fcd2d</x:v>
      </x:c>
      <x:c r="T593" s="26" t="str">
        <x:v>c9cf734b030c1e42b8f1abb61723b47cf981632ad60d7cc542d081c9b350cff0</x:v>
      </x:c>
    </x:row>
    <x:row r="594" ht="60" customHeight="1">
      <x:c r="A594" s="26" t="str">
        <x:v>J1905+0600</x:v>
      </x:c>
      <x:c r="B594" s="26" t="str"/>
      <x:c r="C594" s="26" t="str">
        <x:v>NOT_SEARCHED</x:v>
      </x:c>
      <x:c r="D594" s="26"/>
      <x:c r="E594" s="26" t="str">
        <x:v>No observed search</x:v>
      </x:c>
      <x:c r="F594" s="26" t="str">
        <x:v>Retain exclusion for current scope</x:v>
      </x:c>
      <x:c r="G594" s="26" t="str">
        <x:v>TPA EXCLUDED</x:v>
      </x:c>
      <x:c r="H594" s="27" t="n">
        <x:v>224</x:v>
      </x:c>
      <x:c r="I594" s="27" t="n">
        <x:v>28</x:v>
      </x:c>
      <x:c r="J594" s="28" t="n">
        <x:v>1090.9598616616204</x:v>
      </x:c>
      <x:c r="K594" s="26"/>
      <x:c r="L594" s="26" t="str">
        <x:v>insufficient_span_or_epochs</x:v>
      </x:c>
      <x:c r="M594" s="26" t="str">
        <x:v>Absent from named inventory</x:v>
      </x:c>
      <x:c r="N594" s="26" t="str">
        <x:v>Absent from named inventory</x:v>
      </x:c>
      <x:c r="O594" s="26" t="str">
        <x:v>Absent from named inventory</x:v>
      </x:c>
      <x:c r="P594" s="26"/>
      <x:c r="Q594" s="26" t="str">
        <x:v>../Project Recherche Data/tpa-batch01-20260908/selection.json</x:v>
      </x:c>
      <x:c r="R594" s="26" t="str">
        <x:v>047722e4dca24e16c44c810f43990492b2f988012ca2b4bab47826ff4c95f1db</x:v>
      </x:c>
      <x:c r="S594" s="26" t="str">
        <x:v>ed779a076eecc47a4a8f1029566fc007dd6957c673e68d263429452218dd3c6b</x:v>
      </x:c>
      <x:c r="T594" s="26" t="str">
        <x:v>490df84fe092af518972d350d7b1aef188bf3b17a922db9063e56bb513f0c12c</x:v>
      </x:c>
    </x:row>
    <x:row r="595" ht="60" customHeight="1">
      <x:c r="A595" s="26" t="str">
        <x:v>J1905+0616</x:v>
      </x:c>
      <x:c r="B595" s="26" t="str"/>
      <x:c r="C595" s="26" t="str">
        <x:v>NOT_SEARCHED</x:v>
      </x:c>
      <x:c r="D595" s="26"/>
      <x:c r="E595" s="26" t="str">
        <x:v>No observed search</x:v>
      </x:c>
      <x:c r="F595" s="26" t="str">
        <x:v>Retain exclusion for current scope</x:v>
      </x:c>
      <x:c r="G595" s="26" t="str">
        <x:v>TPA EXCLUDED</x:v>
      </x:c>
      <x:c r="H595" s="27" t="n">
        <x:v>224</x:v>
      </x:c>
      <x:c r="I595" s="27" t="n">
        <x:v>28</x:v>
      </x:c>
      <x:c r="J595" s="28" t="n">
        <x:v>1090.9527043443377</x:v>
      </x:c>
      <x:c r="K595" s="26"/>
      <x:c r="L595" s="26" t="str">
        <x:v>insufficient_span_or_epochs</x:v>
      </x:c>
      <x:c r="M595" s="26" t="str">
        <x:v>Present</x:v>
      </x:c>
      <x:c r="N595" s="26" t="str">
        <x:v>Absent from named inventory</x:v>
      </x:c>
      <x:c r="O595" s="26" t="str">
        <x:v>Absent from named inventory</x:v>
      </x:c>
      <x:c r="P595" s="26"/>
      <x:c r="Q595" s="26" t="str">
        <x:v>../Project Recherche Data/tpa-batch01-20260908/selection.json</x:v>
      </x:c>
      <x:c r="R595" s="26" t="str">
        <x:v>047722e4dca24e16c44c810f43990492b2f988012ca2b4bab47826ff4c95f1db</x:v>
      </x:c>
      <x:c r="S595" s="26" t="str">
        <x:v>3826e2151adb12f668efc886000fc4888484aff5391d86831a2d0e37c243fbac</x:v>
      </x:c>
      <x:c r="T595" s="26" t="str">
        <x:v>90c056affe2feb85dd9b13657baf4b2bb217a2f7ebb1c6b5eb0d052cba210b35</x:v>
      </x:c>
    </x:row>
    <x:row r="596" ht="60" customHeight="1">
      <x:c r="A596" s="26" t="str">
        <x:v>J1905+0709</x:v>
      </x:c>
      <x:c r="B596" s="26" t="str">
        <x:v>B1903+07</x:v>
      </x:c>
      <x:c r="C596" s="26" t="str">
        <x:v>NO_TRIGGER</x:v>
      </x:c>
      <x:c r="D596" s="26" t="str">
        <x:v>tpa-batch09-20260908-J1905+0709-run01</x:v>
      </x:c>
      <x:c r="E596" s="26" t="str">
        <x:v>No qualifying signal in eligible 30–400-day cells</x:v>
      </x:c>
      <x:c r="F596" s="26" t="str">
        <x:v>Retain result; consider independent data or a separately defined new scope</x:v>
      </x:c>
      <x:c r="G596" s="26" t="str">
        <x:v>SEARCHED</x:v>
      </x:c>
      <x:c r="H596" s="27" t="n">
        <x:v>440</x:v>
      </x:c>
      <x:c r="I596" s="27" t="n">
        <x:v>55</x:v>
      </x:c>
      <x:c r="J596" s="28" t="n">
        <x:v>1272.4575608715095</x:v>
      </x:c>
      <x:c r="K596" s="26" t="str">
        <x:v>tpa-batch09-20260908</x:v>
      </x:c>
      <x:c r="L596" s="26"/>
      <x:c r="M596" s="26" t="str">
        <x:v>Present</x:v>
      </x:c>
      <x:c r="N596" s="26" t="str">
        <x:v>Absent from named inventory</x:v>
      </x:c>
      <x:c r="O596" s="26" t="str">
        <x:v>Absent from named inventory</x:v>
      </x:c>
      <x:c r="P596" s="26"/>
      <x:c r="Q596" s="26" t="str">
        <x:v>../Project Recherche Data/tpa-batch09-20260908/selection.json</x:v>
      </x:c>
      <x:c r="R596" s="26" t="str">
        <x:v>395304d24c4ccc368723e19c91081b318fa94afe187f103f7b2ae19ebdbfa4d6</x:v>
      </x:c>
      <x:c r="S596" s="26" t="str">
        <x:v>4bc95facb3369aec80a98dae1ccb7c584a1ed3b34a355bb949e5cca05562ad15</x:v>
      </x:c>
      <x:c r="T596" s="26" t="str">
        <x:v>b0206ae618506a5621a55aaeb2a743e2d9373ecd8823077a84dc4aae8fb7d02c</x:v>
      </x:c>
    </x:row>
    <x:row r="597" ht="60" customHeight="1">
      <x:c r="A597" s="26" t="str">
        <x:v>J1905-0056</x:v>
      </x:c>
      <x:c r="B597" s="26" t="str">
        <x:v>B1902-01</x:v>
      </x:c>
      <x:c r="C597" s="26" t="str">
        <x:v>NO_TRIGGER</x:v>
      </x:c>
      <x:c r="D597" s="26" t="str">
        <x:v>tpa-batch07-20260908-J1905-0056-run01</x:v>
      </x:c>
      <x:c r="E597" s="26" t="str">
        <x:v>No qualifying signal in eligible 30–400-day cells</x:v>
      </x:c>
      <x:c r="F597" s="26" t="str">
        <x:v>Retain result; consider independent data or a separately defined new scope</x:v>
      </x:c>
      <x:c r="G597" s="26" t="str">
        <x:v>SEARCHED</x:v>
      </x:c>
      <x:c r="H597" s="27" t="n">
        <x:v>456</x:v>
      </x:c>
      <x:c r="I597" s="27" t="n">
        <x:v>57</x:v>
      </x:c>
      <x:c r="J597" s="28" t="n">
        <x:v>1272.4172872988493</x:v>
      </x:c>
      <x:c r="K597" s="26" t="str">
        <x:v>tpa-batch07-20260908</x:v>
      </x:c>
      <x:c r="L597" s="26"/>
      <x:c r="M597" s="26" t="str">
        <x:v>Present</x:v>
      </x:c>
      <x:c r="N597" s="26" t="str">
        <x:v>Absent from named inventory</x:v>
      </x:c>
      <x:c r="O597" s="26" t="str">
        <x:v>Absent from named inventory</x:v>
      </x:c>
      <x:c r="P597" s="26"/>
      <x:c r="Q597" s="26" t="str">
        <x:v>../Project Recherche Data/tpa-batch07-20260908/selection.json</x:v>
      </x:c>
      <x:c r="R597" s="26" t="str">
        <x:v>a0944d5da0924367a8ed78a56de7826f64b6d517eb7c66fa044c452abc4894a7</x:v>
      </x:c>
      <x:c r="S597" s="26" t="str">
        <x:v>26c1f9a66bd16034576493339ed793e8fc7cfe5c21a49252ebc596bf93e92bc5</x:v>
      </x:c>
      <x:c r="T597" s="26" t="str">
        <x:v>3aa22d55834eb13f5b4b5ab893b30817df18b05863a0d892831199c8f02592fc</x:v>
      </x:c>
    </x:row>
    <x:row r="598" ht="60" customHeight="1">
      <x:c r="A598" s="26" t="str">
        <x:v>J1906+0641</x:v>
      </x:c>
      <x:c r="B598" s="26" t="str">
        <x:v>B1904+06</x:v>
      </x:c>
      <x:c r="C598" s="26" t="str">
        <x:v>NOT_SEARCHED</x:v>
      </x:c>
      <x:c r="D598" s="26"/>
      <x:c r="E598" s="26" t="str">
        <x:v>No observed search</x:v>
      </x:c>
      <x:c r="F598" s="26" t="str">
        <x:v>Retain exclusion for current scope</x:v>
      </x:c>
      <x:c r="G598" s="26" t="str">
        <x:v>TPA EXCLUDED</x:v>
      </x:c>
      <x:c r="H598" s="27" t="n">
        <x:v>240</x:v>
      </x:c>
      <x:c r="I598" s="27" t="n">
        <x:v>30</x:v>
      </x:c>
      <x:c r="J598" s="28" t="n">
        <x:v>1272.458436119734</x:v>
      </x:c>
      <x:c r="K598" s="26"/>
      <x:c r="L598" s="26" t="str">
        <x:v>insufficient_span_or_epochs</x:v>
      </x:c>
      <x:c r="M598" s="26" t="str">
        <x:v>Present</x:v>
      </x:c>
      <x:c r="N598" s="26" t="str">
        <x:v>Absent from named inventory</x:v>
      </x:c>
      <x:c r="O598" s="26" t="str">
        <x:v>Absent from named inventory</x:v>
      </x:c>
      <x:c r="P598" s="26"/>
      <x:c r="Q598" s="26" t="str">
        <x:v>../Project Recherche Data/tpa-batch01-20260908/selection.json</x:v>
      </x:c>
      <x:c r="R598" s="26" t="str">
        <x:v>047722e4dca24e16c44c810f43990492b2f988012ca2b4bab47826ff4c95f1db</x:v>
      </x:c>
      <x:c r="S598" s="26" t="str">
        <x:v>d945b54d2ffd64780ca85154a163ce3dc80e443c973850c140fc1311ce83110e</x:v>
      </x:c>
      <x:c r="T598" s="26" t="str">
        <x:v>ac26d9d4e4d3a49369ecf1e35fb1c2696aa2047670518e11a91059c8a89f4507</x:v>
      </x:c>
    </x:row>
    <x:row r="599" ht="60" customHeight="1">
      <x:c r="A599" s="26" t="str">
        <x:v>J1906+0912</x:v>
      </x:c>
      <x:c r="B599" s="26" t="str"/>
      <x:c r="C599" s="26" t="str">
        <x:v>NOT_SEARCHED</x:v>
      </x:c>
      <x:c r="D599" s="26"/>
      <x:c r="E599" s="26" t="str">
        <x:v>No observed search</x:v>
      </x:c>
      <x:c r="F599" s="26" t="str">
        <x:v>Retain exclusion for current scope</x:v>
      </x:c>
      <x:c r="G599" s="26" t="str">
        <x:v>TPA EXCLUDED</x:v>
      </x:c>
      <x:c r="H599" s="27" t="n">
        <x:v>199</x:v>
      </x:c>
      <x:c r="I599" s="27" t="n">
        <x:v>28</x:v>
      </x:c>
      <x:c r="J599" s="28" t="n">
        <x:v>1079.0412394545128</x:v>
      </x:c>
      <x:c r="K599" s="26"/>
      <x:c r="L599" s="26" t="str">
        <x:v>insufficient_span_or_epochs</x:v>
      </x:c>
      <x:c r="M599" s="26" t="str">
        <x:v>Absent from named inventory</x:v>
      </x:c>
      <x:c r="N599" s="26" t="str">
        <x:v>Absent from named inventory</x:v>
      </x:c>
      <x:c r="O599" s="26" t="str">
        <x:v>Absent from named inventory</x:v>
      </x:c>
      <x:c r="P599" s="26"/>
      <x:c r="Q599" s="26" t="str">
        <x:v>../Project Recherche Data/tpa-batch01-20260908/selection.json</x:v>
      </x:c>
      <x:c r="R599" s="26" t="str">
        <x:v>047722e4dca24e16c44c810f43990492b2f988012ca2b4bab47826ff4c95f1db</x:v>
      </x:c>
      <x:c r="S599" s="26" t="str">
        <x:v>30d20535edd2450d5df6e5289329ac4bcc376fff5ede900e550a2142c0806328</x:v>
      </x:c>
      <x:c r="T599" s="26" t="str">
        <x:v>26415cd66909df20fc0d92f8c7ba55596eb8944259f268c69e698bc795090c70</x:v>
      </x:c>
    </x:row>
    <x:row r="600" ht="60" customHeight="1">
      <x:c r="A600" s="26" t="str">
        <x:v>J1907+0731</x:v>
      </x:c>
      <x:c r="B600" s="26" t="str"/>
      <x:c r="C600" s="26" t="str">
        <x:v>NOT_SEARCHED</x:v>
      </x:c>
      <x:c r="D600" s="26"/>
      <x:c r="E600" s="26" t="str">
        <x:v>No observed search</x:v>
      </x:c>
      <x:c r="F600" s="26" t="str">
        <x:v>Retain exclusion for current scope</x:v>
      </x:c>
      <x:c r="G600" s="26" t="str">
        <x:v>TPA EXCLUDED</x:v>
      </x:c>
      <x:c r="H600" s="27" t="n">
        <x:v>216</x:v>
      </x:c>
      <x:c r="I600" s="27" t="n">
        <x:v>27</x:v>
      </x:c>
      <x:c r="J600" s="28" t="n">
        <x:v>1052.1144663762461</x:v>
      </x:c>
      <x:c r="K600" s="26"/>
      <x:c r="L600" s="26" t="str">
        <x:v>insufficient_span_or_epochs</x:v>
      </x:c>
      <x:c r="M600" s="26" t="str">
        <x:v>Absent from named inventory</x:v>
      </x:c>
      <x:c r="N600" s="26" t="str">
        <x:v>Absent from named inventory</x:v>
      </x:c>
      <x:c r="O600" s="26" t="str">
        <x:v>Absent from named inventory</x:v>
      </x:c>
      <x:c r="P600" s="26"/>
      <x:c r="Q600" s="26" t="str">
        <x:v>../Project Recherche Data/tpa-batch01-20260908/selection.json</x:v>
      </x:c>
      <x:c r="R600" s="26" t="str">
        <x:v>047722e4dca24e16c44c810f43990492b2f988012ca2b4bab47826ff4c95f1db</x:v>
      </x:c>
      <x:c r="S600" s="26" t="str">
        <x:v>afe0c10f20db6160dcf83329f2a9ed5e7309f3a954c692c0ea4d1474c58f7d90</x:v>
      </x:c>
      <x:c r="T600" s="26" t="str">
        <x:v>8b3e27a7769be8adcdf30619798bf3252bcf260d3db9aebfd05b3e3aa0e0582a</x:v>
      </x:c>
    </x:row>
    <x:row r="601" ht="60" customHeight="1">
      <x:c r="A601" s="26" t="str">
        <x:v>J1907+0740</x:v>
      </x:c>
      <x:c r="B601" s="26" t="str"/>
      <x:c r="C601" s="26" t="str">
        <x:v>NOT_SEARCHED</x:v>
      </x:c>
      <x:c r="D601" s="26"/>
      <x:c r="E601" s="26" t="str">
        <x:v>No observed search</x:v>
      </x:c>
      <x:c r="F601" s="26" t="str">
        <x:v>Retain exclusion for current scope</x:v>
      </x:c>
      <x:c r="G601" s="26" t="str">
        <x:v>TPA EXCLUDED</x:v>
      </x:c>
      <x:c r="H601" s="27" t="n">
        <x:v>224</x:v>
      </x:c>
      <x:c r="I601" s="27" t="n">
        <x:v>28</x:v>
      </x:c>
      <x:c r="J601" s="28" t="n">
        <x:v>1079.0181135276362</x:v>
      </x:c>
      <x:c r="K601" s="26"/>
      <x:c r="L601" s="26" t="str">
        <x:v>insufficient_span_or_epochs</x:v>
      </x:c>
      <x:c r="M601" s="26" t="str">
        <x:v>Absent from named inventory</x:v>
      </x:c>
      <x:c r="N601" s="26" t="str">
        <x:v>Absent from named inventory</x:v>
      </x:c>
      <x:c r="O601" s="26" t="str">
        <x:v>Absent from named inventory</x:v>
      </x:c>
      <x:c r="P601" s="26"/>
      <x:c r="Q601" s="26" t="str">
        <x:v>../Project Recherche Data/tpa-batch01-20260908/selection.json</x:v>
      </x:c>
      <x:c r="R601" s="26" t="str">
        <x:v>047722e4dca24e16c44c810f43990492b2f988012ca2b4bab47826ff4c95f1db</x:v>
      </x:c>
      <x:c r="S601" s="26" t="str">
        <x:v>37f9eaf3c5cf59ab246df2cdade9715fcdc79e4decd106f2d0137876752592f8</x:v>
      </x:c>
      <x:c r="T601" s="26" t="str">
        <x:v>5226e1eafd3abf171299c4ef30f4dbc06bd62b9d1a5dcab3e3725124b174ddcf</x:v>
      </x:c>
    </x:row>
    <x:row r="602" ht="60" customHeight="1">
      <x:c r="A602" s="26" t="str">
        <x:v>J1908+0500</x:v>
      </x:c>
      <x:c r="B602" s="26" t="str"/>
      <x:c r="C602" s="26" t="str">
        <x:v>NO_TRIGGER</x:v>
      </x:c>
      <x:c r="D602" s="26" t="str">
        <x:v>tpa-batch03-20260908-J1908+0500-run01</x:v>
      </x:c>
      <x:c r="E602" s="26" t="str">
        <x:v>No qualifying signal in eligible 30–400-day cells</x:v>
      </x:c>
      <x:c r="F602" s="26" t="str">
        <x:v>Retain result; consider independent data or a separately defined new scope</x:v>
      </x:c>
      <x:c r="G602" s="26" t="str">
        <x:v>SEARCHED</x:v>
      </x:c>
      <x:c r="H602" s="27" t="n">
        <x:v>440</x:v>
      </x:c>
      <x:c r="I602" s="27" t="n">
        <x:v>55</x:v>
      </x:c>
      <x:c r="J602" s="28" t="n">
        <x:v>1272.4582896930442</x:v>
      </x:c>
      <x:c r="K602" s="26" t="str">
        <x:v>tpa-batch03-20260908</x:v>
      </x:c>
      <x:c r="L602" s="26"/>
      <x:c r="M602" s="26" t="str">
        <x:v>Absent from named inventory</x:v>
      </x:c>
      <x:c r="N602" s="26" t="str">
        <x:v>Absent from named inventory</x:v>
      </x:c>
      <x:c r="O602" s="26" t="str">
        <x:v>Absent from named inventory</x:v>
      </x:c>
      <x:c r="P602" s="26"/>
      <x:c r="Q602" s="26" t="str">
        <x:v>../Project Recherche Data/tpa-batch03-20260908/selection.json</x:v>
      </x:c>
      <x:c r="R602" s="26" t="str">
        <x:v>1cf7dc46e02f8f80971416baec3f4bb7357340d0174269b7b50fc11887c0df28</x:v>
      </x:c>
      <x:c r="S602" s="26" t="str">
        <x:v>3f06d48185335c4cfccf919006f4fa2c13446ff8718368cd624cb7a3f9beb468</x:v>
      </x:c>
      <x:c r="T602" s="26" t="str">
        <x:v>fe25f6e4cc2010984d66612b8c349302a8092ba8a0272ee4bd7d7fb38ec92cb1</x:v>
      </x:c>
    </x:row>
    <x:row r="603" ht="60" customHeight="1">
      <x:c r="A603" s="26" t="str">
        <x:v>J1908+0734</x:v>
      </x:c>
      <x:c r="B603" s="26" t="str"/>
      <x:c r="C603" s="26" t="str">
        <x:v>NOT_SEARCHED</x:v>
      </x:c>
      <x:c r="D603" s="26"/>
      <x:c r="E603" s="26" t="str">
        <x:v>No observed search</x:v>
      </x:c>
      <x:c r="F603" s="26" t="str">
        <x:v>Retain exclusion for current scope</x:v>
      </x:c>
      <x:c r="G603" s="26" t="str">
        <x:v>TPA EXCLUDED</x:v>
      </x:c>
      <x:c r="H603" s="27" t="n">
        <x:v>203</x:v>
      </x:c>
      <x:c r="I603" s="27" t="n">
        <x:v>28</x:v>
      </x:c>
      <x:c r="J603" s="28" t="n">
        <x:v>1064.9982934212894</x:v>
      </x:c>
      <x:c r="K603" s="26"/>
      <x:c r="L603" s="26" t="str">
        <x:v>insufficient_span_or_epochs</x:v>
      </x:c>
      <x:c r="M603" s="26" t="str">
        <x:v>Absent from named inventory</x:v>
      </x:c>
      <x:c r="N603" s="26" t="str">
        <x:v>Absent from named inventory</x:v>
      </x:c>
      <x:c r="O603" s="26" t="str">
        <x:v>Absent from named inventory</x:v>
      </x:c>
      <x:c r="P603" s="26"/>
      <x:c r="Q603" s="26" t="str">
        <x:v>../Project Recherche Data/tpa-batch01-20260908/selection.json</x:v>
      </x:c>
      <x:c r="R603" s="26" t="str">
        <x:v>047722e4dca24e16c44c810f43990492b2f988012ca2b4bab47826ff4c95f1db</x:v>
      </x:c>
      <x:c r="S603" s="26" t="str">
        <x:v>7dde63c0d24ee5e2f08f916f2ead182404241465a4e78bb772a0d68810452e90</x:v>
      </x:c>
      <x:c r="T603" s="26" t="str">
        <x:v>ae1b1e79f8fa4aa021a9b9788c90c9b6b228dd440f8181681df22621acba71cf</x:v>
      </x:c>
    </x:row>
    <x:row r="604" ht="60" customHeight="1">
      <x:c r="A604" s="26" t="str">
        <x:v>J1908+0909</x:v>
      </x:c>
      <x:c r="B604" s="26" t="str"/>
      <x:c r="C604" s="26" t="str">
        <x:v>NOT_SEARCHED</x:v>
      </x:c>
      <x:c r="D604" s="26"/>
      <x:c r="E604" s="26" t="str">
        <x:v>No observed search</x:v>
      </x:c>
      <x:c r="F604" s="26" t="str">
        <x:v>Retain exclusion for current scope</x:v>
      </x:c>
      <x:c r="G604" s="26" t="str">
        <x:v>TPA EXCLUDED</x:v>
      </x:c>
      <x:c r="H604" s="27" t="n">
        <x:v>208</x:v>
      </x:c>
      <x:c r="I604" s="27" t="n">
        <x:v>26</x:v>
      </x:c>
      <x:c r="J604" s="28" t="n">
        <x:v>1091.0648741316327</x:v>
      </x:c>
      <x:c r="K604" s="26"/>
      <x:c r="L604" s="26" t="str">
        <x:v>insufficient_span_or_epochs</x:v>
      </x:c>
      <x:c r="M604" s="26" t="str">
        <x:v>Present</x:v>
      </x:c>
      <x:c r="N604" s="26" t="str">
        <x:v>Absent from named inventory</x:v>
      </x:c>
      <x:c r="O604" s="26" t="str">
        <x:v>Absent from named inventory</x:v>
      </x:c>
      <x:c r="P604" s="26"/>
      <x:c r="Q604" s="26" t="str">
        <x:v>../Project Recherche Data/tpa-batch01-20260908/selection.json</x:v>
      </x:c>
      <x:c r="R604" s="26" t="str">
        <x:v>047722e4dca24e16c44c810f43990492b2f988012ca2b4bab47826ff4c95f1db</x:v>
      </x:c>
      <x:c r="S604" s="26" t="str">
        <x:v>0bccf59508561b59cfde546ed35efee2123c87a75c95bf87569e9c7d1cd34033</x:v>
      </x:c>
      <x:c r="T604" s="26" t="str">
        <x:v>ccc01262c787d9d041349d856e95c45dbeb1951cd8a96927cd6c89400c2ce092</x:v>
      </x:c>
    </x:row>
    <x:row r="605" ht="60" customHeight="1">
      <x:c r="A605" s="26" t="str">
        <x:v>J1908+0916</x:v>
      </x:c>
      <x:c r="B605" s="26" t="str">
        <x:v>B1906+09</x:v>
      </x:c>
      <x:c r="C605" s="26" t="str">
        <x:v>NOT_SEARCHED</x:v>
      </x:c>
      <x:c r="D605" s="26"/>
      <x:c r="E605" s="26" t="str">
        <x:v>No observed search</x:v>
      </x:c>
      <x:c r="F605" s="26" t="str">
        <x:v>Retain exclusion for current scope</x:v>
      </x:c>
      <x:c r="G605" s="26" t="str">
        <x:v>TPA EXCLUDED</x:v>
      </x:c>
      <x:c r="H605" s="27" t="n">
        <x:v>198</x:v>
      </x:c>
      <x:c r="I605" s="27" t="n">
        <x:v>26</x:v>
      </x:c>
      <x:c r="J605" s="28" t="n">
        <x:v>1091.0592545330073</x:v>
      </x:c>
      <x:c r="K605" s="26"/>
      <x:c r="L605" s="26" t="str">
        <x:v>insufficient_span_or_epochs</x:v>
      </x:c>
      <x:c r="M605" s="26" t="str">
        <x:v>Absent from named inventory</x:v>
      </x:c>
      <x:c r="N605" s="26" t="str">
        <x:v>Absent from named inventory</x:v>
      </x:c>
      <x:c r="O605" s="26" t="str">
        <x:v>Absent from named inventory</x:v>
      </x:c>
      <x:c r="P605" s="26"/>
      <x:c r="Q605" s="26" t="str">
        <x:v>../Project Recherche Data/tpa-batch01-20260908/selection.json</x:v>
      </x:c>
      <x:c r="R605" s="26" t="str">
        <x:v>047722e4dca24e16c44c810f43990492b2f988012ca2b4bab47826ff4c95f1db</x:v>
      </x:c>
      <x:c r="S605" s="26" t="str">
        <x:v>e44285fb47775908a106375b9e21e74fa76457e25e0a35ec4ddbb12690f1c4d9</x:v>
      </x:c>
      <x:c r="T605" s="26" t="str">
        <x:v>77873970ea71e25a3c9b45a6f7428509ea5e61b65bfa3531111eac5a2f5db088</x:v>
      </x:c>
    </x:row>
    <x:row r="606" ht="60" customHeight="1">
      <x:c r="A606" s="26" t="str">
        <x:v>J1909+0007</x:v>
      </x:c>
      <x:c r="B606" s="26" t="str">
        <x:v>B1907+00</x:v>
      </x:c>
      <x:c r="C606" s="26" t="str">
        <x:v>NO_TRIGGER</x:v>
      </x:c>
      <x:c r="D606" s="26" t="str">
        <x:v>tpa-batch07-20260908-J1909+0007-run01</x:v>
      </x:c>
      <x:c r="E606" s="26" t="str">
        <x:v>No qualifying signal in eligible 30–400-day cells</x:v>
      </x:c>
      <x:c r="F606" s="26" t="str">
        <x:v>Retain result; consider independent data or a separately defined new scope</x:v>
      </x:c>
      <x:c r="G606" s="26" t="str">
        <x:v>SEARCHED</x:v>
      </x:c>
      <x:c r="H606" s="27" t="n">
        <x:v>432</x:v>
      </x:c>
      <x:c r="I606" s="27" t="n">
        <x:v>54</x:v>
      </x:c>
      <x:c r="J606" s="28" t="n">
        <x:v>1272.4352962592602</x:v>
      </x:c>
      <x:c r="K606" s="26" t="str">
        <x:v>tpa-batch07-20260908</x:v>
      </x:c>
      <x:c r="L606" s="26"/>
      <x:c r="M606" s="26" t="str">
        <x:v>Present</x:v>
      </x:c>
      <x:c r="N606" s="26" t="str">
        <x:v>Absent from named inventory</x:v>
      </x:c>
      <x:c r="O606" s="26" t="str">
        <x:v>Absent from named inventory</x:v>
      </x:c>
      <x:c r="P606" s="26"/>
      <x:c r="Q606" s="26" t="str">
        <x:v>../Project Recherche Data/tpa-batch07-20260908/selection.json</x:v>
      </x:c>
      <x:c r="R606" s="26" t="str">
        <x:v>a0944d5da0924367a8ed78a56de7826f64b6d517eb7c66fa044c452abc4894a7</x:v>
      </x:c>
      <x:c r="S606" s="26" t="str">
        <x:v>38ae3fda9d67eeaffa54ea8235ff770aed15b352abf243f0f1496a4cda5f95a8</x:v>
      </x:c>
      <x:c r="T606" s="26" t="str">
        <x:v>d1a4b5b6877029d59f8447106691d01543e4854992e6eb6679613da4300e798d</x:v>
      </x:c>
    </x:row>
    <x:row r="607" ht="60" customHeight="1">
      <x:c r="A607" s="26" t="str">
        <x:v>J1909+0254</x:v>
      </x:c>
      <x:c r="B607" s="26" t="str">
        <x:v>B1907+02</x:v>
      </x:c>
      <x:c r="C607" s="26" t="str">
        <x:v>NO_TRIGGER</x:v>
      </x:c>
      <x:c r="D607" s="26" t="str">
        <x:v>tpa-batch07-20260908-J1909+0254-run01</x:v>
      </x:c>
      <x:c r="E607" s="26" t="str">
        <x:v>No qualifying signal in eligible 30–400-day cells</x:v>
      </x:c>
      <x:c r="F607" s="26" t="str">
        <x:v>Retain result; consider independent data or a separately defined new scope</x:v>
      </x:c>
      <x:c r="G607" s="26" t="str">
        <x:v>SEARCHED</x:v>
      </x:c>
      <x:c r="H607" s="27" t="n">
        <x:v>424</x:v>
      </x:c>
      <x:c r="I607" s="27" t="n">
        <x:v>53</x:v>
      </x:c>
      <x:c r="J607" s="28" t="n">
        <x:v>1244.3467086577948</x:v>
      </x:c>
      <x:c r="K607" s="26" t="str">
        <x:v>tpa-batch07-20260908</x:v>
      </x:c>
      <x:c r="L607" s="26"/>
      <x:c r="M607" s="26" t="str">
        <x:v>Present</x:v>
      </x:c>
      <x:c r="N607" s="26" t="str">
        <x:v>Absent from named inventory</x:v>
      </x:c>
      <x:c r="O607" s="26" t="str">
        <x:v>Absent from named inventory</x:v>
      </x:c>
      <x:c r="P607" s="26"/>
      <x:c r="Q607" s="26" t="str">
        <x:v>../Project Recherche Data/tpa-batch07-20260908/selection.json</x:v>
      </x:c>
      <x:c r="R607" s="26" t="str">
        <x:v>a0944d5da0924367a8ed78a56de7826f64b6d517eb7c66fa044c452abc4894a7</x:v>
      </x:c>
      <x:c r="S607" s="26" t="str">
        <x:v>2418f80bb1367fde0c11304af552a90f1bc424e418dff3d4310787ebba2c68ad</x:v>
      </x:c>
      <x:c r="T607" s="26" t="str">
        <x:v>63919e60be6afc3fabd562ea5c46774f67149d69567a113166728393e44baee9</x:v>
      </x:c>
    </x:row>
    <x:row r="608" ht="60" customHeight="1">
      <x:c r="A608" s="26" t="str">
        <x:v>J1909+0912</x:v>
      </x:c>
      <x:c r="B608" s="26" t="str"/>
      <x:c r="C608" s="26" t="str">
        <x:v>NOT_SEARCHED</x:v>
      </x:c>
      <x:c r="D608" s="26"/>
      <x:c r="E608" s="26" t="str">
        <x:v>No observed search</x:v>
      </x:c>
      <x:c r="F608" s="26" t="str">
        <x:v>Retain exclusion for current scope</x:v>
      </x:c>
      <x:c r="G608" s="26" t="str">
        <x:v>TPA EXCLUDED</x:v>
      </x:c>
      <x:c r="H608" s="27" t="n">
        <x:v>219</x:v>
      </x:c>
      <x:c r="I608" s="27" t="n">
        <x:v>28</x:v>
      </x:c>
      <x:c r="J608" s="28" t="n">
        <x:v>1074.0187885856722</x:v>
      </x:c>
      <x:c r="K608" s="26"/>
      <x:c r="L608" s="26" t="str">
        <x:v>insufficient_span_or_epochs</x:v>
      </x:c>
      <x:c r="M608" s="26" t="str">
        <x:v>Present</x:v>
      </x:c>
      <x:c r="N608" s="26" t="str">
        <x:v>Absent from named inventory</x:v>
      </x:c>
      <x:c r="O608" s="26" t="str">
        <x:v>Absent from named inventory</x:v>
      </x:c>
      <x:c r="P608" s="26"/>
      <x:c r="Q608" s="26" t="str">
        <x:v>../Project Recherche Data/tpa-batch01-20260908/selection.json</x:v>
      </x:c>
      <x:c r="R608" s="26" t="str">
        <x:v>047722e4dca24e16c44c810f43990492b2f988012ca2b4bab47826ff4c95f1db</x:v>
      </x:c>
      <x:c r="S608" s="26" t="str">
        <x:v>cf6bf06e0671af4efeabcb6aa306a0d722652c72679c4835d73e5d5defdbc3b0</x:v>
      </x:c>
      <x:c r="T608" s="26" t="str">
        <x:v>95f080ac72dde278fb93638941a16b554ba18dd318582d910cf377a42e7d32de</x:v>
      </x:c>
    </x:row>
    <x:row r="609" ht="60" customHeight="1">
      <x:c r="A609" s="26" t="str">
        <x:v>J1909+1102</x:v>
      </x:c>
      <x:c r="B609" s="26" t="str">
        <x:v>B1907+10</x:v>
      </x:c>
      <x:c r="C609" s="26" t="str">
        <x:v>NO_TRIGGER</x:v>
      </x:c>
      <x:c r="D609" s="26" t="str">
        <x:v>tpa-batch07-20260908-J1909+1102-run01</x:v>
      </x:c>
      <x:c r="E609" s="26" t="str">
        <x:v>No qualifying signal in eligible 30–400-day cells</x:v>
      </x:c>
      <x:c r="F609" s="26" t="str">
        <x:v>Retain result; consider independent data or a separately defined new scope</x:v>
      </x:c>
      <x:c r="G609" s="26" t="str">
        <x:v>SEARCHED</x:v>
      </x:c>
      <x:c r="H609" s="27" t="n">
        <x:v>424</x:v>
      </x:c>
      <x:c r="I609" s="27" t="n">
        <x:v>53</x:v>
      </x:c>
      <x:c r="J609" s="28" t="n">
        <x:v>1272.4887710327675</x:v>
      </x:c>
      <x:c r="K609" s="26" t="str">
        <x:v>tpa-batch07-20260908</x:v>
      </x:c>
      <x:c r="L609" s="26"/>
      <x:c r="M609" s="26" t="str">
        <x:v>Present</x:v>
      </x:c>
      <x:c r="N609" s="26" t="str">
        <x:v>Absent from named inventory</x:v>
      </x:c>
      <x:c r="O609" s="26" t="str">
        <x:v>Absent from named inventory</x:v>
      </x:c>
      <x:c r="P609" s="26"/>
      <x:c r="Q609" s="26" t="str">
        <x:v>../Project Recherche Data/tpa-batch07-20260908/selection.json</x:v>
      </x:c>
      <x:c r="R609" s="26" t="str">
        <x:v>a0944d5da0924367a8ed78a56de7826f64b6d517eb7c66fa044c452abc4894a7</x:v>
      </x:c>
      <x:c r="S609" s="26" t="str">
        <x:v>6235fb73b6ac6304fad7308f151050a08fdf8176992b718b2f0e9c3bffde9017</x:v>
      </x:c>
      <x:c r="T609" s="26" t="str">
        <x:v>de26d5654f63ba4e9457dce66d4ca2f107722d2dfe379127f9c4ee6d8d8428ee</x:v>
      </x:c>
    </x:row>
    <x:row r="610" ht="60" customHeight="1">
      <x:c r="A610" s="26" t="str">
        <x:v>J1910+0225</x:v>
      </x:c>
      <x:c r="B610" s="26" t="str"/>
      <x:c r="C610" s="26" t="str">
        <x:v>NOT_SEARCHED</x:v>
      </x:c>
      <x:c r="D610" s="26"/>
      <x:c r="E610" s="26" t="str">
        <x:v>No observed search</x:v>
      </x:c>
      <x:c r="F610" s="26" t="str">
        <x:v>Retain exclusion for current scope</x:v>
      </x:c>
      <x:c r="G610" s="26" t="str">
        <x:v>TPA EXCLUDED</x:v>
      </x:c>
      <x:c r="H610" s="27" t="n">
        <x:v>221</x:v>
      </x:c>
      <x:c r="I610" s="27" t="n">
        <x:v>28</x:v>
      </x:c>
      <x:c r="J610" s="28" t="n">
        <x:v>1213.4492414337874</x:v>
      </x:c>
      <x:c r="K610" s="26"/>
      <x:c r="L610" s="26" t="str">
        <x:v>insufficient_span_or_epochs</x:v>
      </x:c>
      <x:c r="M610" s="26" t="str">
        <x:v>Absent from named inventory</x:v>
      </x:c>
      <x:c r="N610" s="26" t="str">
        <x:v>Absent from named inventory</x:v>
      </x:c>
      <x:c r="O610" s="26" t="str">
        <x:v>Absent from named inventory</x:v>
      </x:c>
      <x:c r="P610" s="26"/>
      <x:c r="Q610" s="26" t="str">
        <x:v>../Project Recherche Data/tpa-batch01-20260908/selection.json</x:v>
      </x:c>
      <x:c r="R610" s="26" t="str">
        <x:v>047722e4dca24e16c44c810f43990492b2f988012ca2b4bab47826ff4c95f1db</x:v>
      </x:c>
      <x:c r="S610" s="26" t="str">
        <x:v>344c23dbcb2b17902b96873c9d08da476c641e1516da9543822da9c64688f57f</x:v>
      </x:c>
      <x:c r="T610" s="26" t="str">
        <x:v>f73a25cd0c638b2e815e2d28999845d78f67d92673dd0c8c1a345b89c8570c30</x:v>
      </x:c>
    </x:row>
    <x:row r="611" ht="60" customHeight="1">
      <x:c r="A611" s="26" t="str">
        <x:v>J1910+0358</x:v>
      </x:c>
      <x:c r="B611" s="26" t="str">
        <x:v>B1907+03</x:v>
      </x:c>
      <x:c r="C611" s="26" t="str">
        <x:v>NOT_SEARCHED</x:v>
      </x:c>
      <x:c r="D611" s="26"/>
      <x:c r="E611" s="26" t="str">
        <x:v>No observed search</x:v>
      </x:c>
      <x:c r="F611" s="26" t="str">
        <x:v>Retain exclusion for current scope</x:v>
      </x:c>
      <x:c r="G611" s="26" t="str">
        <x:v>TPA EXCLUDED</x:v>
      </x:c>
      <x:c r="H611" s="27" t="n">
        <x:v>224</x:v>
      </x:c>
      <x:c r="I611" s="27" t="n">
        <x:v>28</x:v>
      </x:c>
      <x:c r="J611" s="28" t="n">
        <x:v>1233.4190897530134</x:v>
      </x:c>
      <x:c r="K611" s="26"/>
      <x:c r="L611" s="26" t="str">
        <x:v>insufficient_span_or_epochs</x:v>
      </x:c>
      <x:c r="M611" s="26" t="str">
        <x:v>Present</x:v>
      </x:c>
      <x:c r="N611" s="26" t="str">
        <x:v>Absent from named inventory</x:v>
      </x:c>
      <x:c r="O611" s="26" t="str">
        <x:v>Absent from named inventory</x:v>
      </x:c>
      <x:c r="P611" s="26"/>
      <x:c r="Q611" s="26" t="str">
        <x:v>../Project Recherche Data/tpa-batch01-20260908/selection.json</x:v>
      </x:c>
      <x:c r="R611" s="26" t="str">
        <x:v>047722e4dca24e16c44c810f43990492b2f988012ca2b4bab47826ff4c95f1db</x:v>
      </x:c>
      <x:c r="S611" s="26" t="str">
        <x:v>001d724af5fe18ad9aa7db458e6c3ea113a14c6e7cecee116035cc435b696c34</x:v>
      </x:c>
      <x:c r="T611" s="26" t="str">
        <x:v>b37c6017cd6f328390e4739fb3fd7188cb7e68b775933a433f6fc3daf6d78f3b</x:v>
      </x:c>
    </x:row>
    <x:row r="612" ht="60" customHeight="1">
      <x:c r="A612" s="26" t="str">
        <x:v>J1910+0517</x:v>
      </x:c>
      <x:c r="B612" s="26" t="str"/>
      <x:c r="C612" s="26" t="str">
        <x:v>NOT_SEARCHED</x:v>
      </x:c>
      <x:c r="D612" s="26"/>
      <x:c r="E612" s="26" t="str">
        <x:v>No observed search</x:v>
      </x:c>
      <x:c r="F612" s="26" t="str">
        <x:v>Retain exclusion for current scope</x:v>
      </x:c>
      <x:c r="G612" s="26" t="str">
        <x:v>TPA EXCLUDED</x:v>
      </x:c>
      <x:c r="H612" s="27" t="n">
        <x:v>106</x:v>
      </x:c>
      <x:c r="I612" s="27" t="n">
        <x:v>14</x:v>
      </x:c>
      <x:c r="J612" s="28" t="n">
        <x:v>1065.0007672010906</x:v>
      </x:c>
      <x:c r="K612" s="26"/>
      <x:c r="L612" s="26" t="str">
        <x:v>insufficient_span_or_epochs</x:v>
      </x:c>
      <x:c r="M612" s="26" t="str">
        <x:v>Present</x:v>
      </x:c>
      <x:c r="N612" s="26" t="str">
        <x:v>Absent from named inventory</x:v>
      </x:c>
      <x:c r="O612" s="26" t="str">
        <x:v>Absent from named inventory</x:v>
      </x:c>
      <x:c r="P612" s="26"/>
      <x:c r="Q612" s="26" t="str">
        <x:v>../Project Recherche Data/tpa-batch01-20260908/selection.json</x:v>
      </x:c>
      <x:c r="R612" s="26" t="str">
        <x:v>047722e4dca24e16c44c810f43990492b2f988012ca2b4bab47826ff4c95f1db</x:v>
      </x:c>
      <x:c r="S612" s="26" t="str">
        <x:v>f3a52a4f7156929983ca8545a2cf0d2c7543d33f9d9827cb098e6ecaffb8657d</x:v>
      </x:c>
      <x:c r="T612" s="26" t="str">
        <x:v>30696b697c6f06c5f2c42b547a838955f4a0e76f255318fb9065c9760ecf0df9</x:v>
      </x:c>
    </x:row>
    <x:row r="613" ht="60" customHeight="1">
      <x:c r="A613" s="26" t="str">
        <x:v>J1910+0714</x:v>
      </x:c>
      <x:c r="B613" s="26" t="str"/>
      <x:c r="C613" s="26" t="str">
        <x:v>NOT_SEARCHED</x:v>
      </x:c>
      <x:c r="D613" s="26"/>
      <x:c r="E613" s="26" t="str">
        <x:v>No observed search</x:v>
      </x:c>
      <x:c r="F613" s="26" t="str">
        <x:v>Retain exclusion for current scope</x:v>
      </x:c>
      <x:c r="G613" s="26" t="str">
        <x:v>TPA EXCLUDED</x:v>
      </x:c>
      <x:c r="H613" s="27" t="n">
        <x:v>208</x:v>
      </x:c>
      <x:c r="I613" s="27" t="n">
        <x:v>26</x:v>
      </x:c>
      <x:c r="J613" s="28" t="n">
        <x:v>1064.989475002374</x:v>
      </x:c>
      <x:c r="K613" s="26"/>
      <x:c r="L613" s="26" t="str">
        <x:v>insufficient_span_or_epochs</x:v>
      </x:c>
      <x:c r="M613" s="26" t="str">
        <x:v>Absent from named inventory</x:v>
      </x:c>
      <x:c r="N613" s="26" t="str">
        <x:v>Absent from named inventory</x:v>
      </x:c>
      <x:c r="O613" s="26" t="str">
        <x:v>Absent from named inventory</x:v>
      </x:c>
      <x:c r="P613" s="26"/>
      <x:c r="Q613" s="26" t="str">
        <x:v>../Project Recherche Data/tpa-batch01-20260908/selection.json</x:v>
      </x:c>
      <x:c r="R613" s="26" t="str">
        <x:v>047722e4dca24e16c44c810f43990492b2f988012ca2b4bab47826ff4c95f1db</x:v>
      </x:c>
      <x:c r="S613" s="26" t="str">
        <x:v>92b8626383c280c9de432a0a5a74375e12474785d4ed0acc29cce5be3ce88fbb</x:v>
      </x:c>
      <x:c r="T613" s="26" t="str">
        <x:v>ca5cab60e3184aa1473d1d5ed612ce696fc96f6bce05894e1c16ee026f1cbeff</x:v>
      </x:c>
    </x:row>
    <x:row r="614" ht="60" customHeight="1">
      <x:c r="A614" s="26" t="str">
        <x:v>J1910+0728</x:v>
      </x:c>
      <x:c r="B614" s="26" t="str"/>
      <x:c r="C614" s="26" t="str">
        <x:v>NO_TRIGGER</x:v>
      </x:c>
      <x:c r="D614" s="26" t="str">
        <x:v>tpa-batch03-20260908-J1910+0728-run01</x:v>
      </x:c>
      <x:c r="E614" s="26" t="str">
        <x:v>No qualifying signal in eligible 30–400-day cells</x:v>
      </x:c>
      <x:c r="F614" s="26" t="str">
        <x:v>Retain result; consider independent data or a separately defined new scope</x:v>
      </x:c>
      <x:c r="G614" s="26" t="str">
        <x:v>SEARCHED</x:v>
      </x:c>
      <x:c r="H614" s="27" t="n">
        <x:v>432</x:v>
      </x:c>
      <x:c r="I614" s="27" t="n">
        <x:v>54</x:v>
      </x:c>
      <x:c r="J614" s="28" t="n">
        <x:v>1272.4912326108533</x:v>
      </x:c>
      <x:c r="K614" s="26" t="str">
        <x:v>tpa-batch03-20260908</x:v>
      </x:c>
      <x:c r="L614" s="26"/>
      <x:c r="M614" s="26" t="str">
        <x:v>Absent from named inventory</x:v>
      </x:c>
      <x:c r="N614" s="26" t="str">
        <x:v>Absent from named inventory</x:v>
      </x:c>
      <x:c r="O614" s="26" t="str">
        <x:v>Absent from named inventory</x:v>
      </x:c>
      <x:c r="P614" s="26"/>
      <x:c r="Q614" s="26" t="str">
        <x:v>../Project Recherche Data/tpa-batch03-20260908/selection.json</x:v>
      </x:c>
      <x:c r="R614" s="26" t="str">
        <x:v>1cf7dc46e02f8f80971416baec3f4bb7357340d0174269b7b50fc11887c0df28</x:v>
      </x:c>
      <x:c r="S614" s="26" t="str">
        <x:v>eb2011211f36864aa9e6b4ed43cd21f6a1a3d80a30413e57ce0e4be5916d5200</x:v>
      </x:c>
      <x:c r="T614" s="26" t="str">
        <x:v>9f99025e787d8f27448851740d2574722060cb30fce5597f2c97ba260de5098b</x:v>
      </x:c>
    </x:row>
    <x:row r="615" ht="60" customHeight="1">
      <x:c r="A615" s="26" t="str">
        <x:v>J1910+1231</x:v>
      </x:c>
      <x:c r="B615" s="26" t="str">
        <x:v>B1907+12</x:v>
      </x:c>
      <x:c r="C615" s="26" t="str">
        <x:v>NOT_SEARCHED</x:v>
      </x:c>
      <x:c r="D615" s="26"/>
      <x:c r="E615" s="26" t="str">
        <x:v>No observed search</x:v>
      </x:c>
      <x:c r="F615" s="26" t="str">
        <x:v>Retain exclusion for current scope</x:v>
      </x:c>
      <x:c r="G615" s="26" t="str">
        <x:v>TPA EXCLUDED</x:v>
      </x:c>
      <x:c r="H615" s="27" t="n">
        <x:v>207</x:v>
      </x:c>
      <x:c r="I615" s="27" t="n">
        <x:v>26</x:v>
      </x:c>
      <x:c r="J615" s="28" t="n">
        <x:v>1074.0097484446815</x:v>
      </x:c>
      <x:c r="K615" s="26"/>
      <x:c r="L615" s="26" t="str">
        <x:v>insufficient_span_or_epochs</x:v>
      </x:c>
      <x:c r="M615" s="26" t="str">
        <x:v>Present</x:v>
      </x:c>
      <x:c r="N615" s="26" t="str">
        <x:v>Absent from named inventory</x:v>
      </x:c>
      <x:c r="O615" s="26" t="str">
        <x:v>Absent from named inventory</x:v>
      </x:c>
      <x:c r="P615" s="26"/>
      <x:c r="Q615" s="26" t="str">
        <x:v>../Project Recherche Data/tpa-batch01-20260908/selection.json</x:v>
      </x:c>
      <x:c r="R615" s="26" t="str">
        <x:v>047722e4dca24e16c44c810f43990492b2f988012ca2b4bab47826ff4c95f1db</x:v>
      </x:c>
      <x:c r="S615" s="26" t="str">
        <x:v>5a3ce143be2a07546dd272337819da530ada6d13c8a0fc4b401994f9fad39c0f</x:v>
      </x:c>
      <x:c r="T615" s="26" t="str">
        <x:v>b2bfe11ec9d0dd321049f2e4f424d896a476b1a844d1bc35638e0b8d05b6f10f</x:v>
      </x:c>
    </x:row>
    <x:row r="616" ht="60" customHeight="1">
      <x:c r="A616" s="26" t="str">
        <x:v>J1910-0309</x:v>
      </x:c>
      <x:c r="B616" s="26" t="str">
        <x:v>B1907-03</x:v>
      </x:c>
      <x:c r="C616" s="26" t="str">
        <x:v>NOT_SEARCHED</x:v>
      </x:c>
      <x:c r="D616" s="26"/>
      <x:c r="E616" s="26" t="str">
        <x:v>No observed search</x:v>
      </x:c>
      <x:c r="F616" s="26" t="str">
        <x:v>Retain exclusion for current scope</x:v>
      </x:c>
      <x:c r="G616" s="26" t="str">
        <x:v>TPA EXCLUDED</x:v>
      </x:c>
      <x:c r="H616" s="27" t="n">
        <x:v>224</x:v>
      </x:c>
      <x:c r="I616" s="27" t="n">
        <x:v>28</x:v>
      </x:c>
      <x:c r="J616" s="28" t="n">
        <x:v>1073.946368285906</x:v>
      </x:c>
      <x:c r="K616" s="26"/>
      <x:c r="L616" s="26" t="str">
        <x:v>insufficient_span_or_epochs</x:v>
      </x:c>
      <x:c r="M616" s="26" t="str">
        <x:v>Present</x:v>
      </x:c>
      <x:c r="N616" s="26" t="str">
        <x:v>Absent from named inventory</x:v>
      </x:c>
      <x:c r="O616" s="26" t="str">
        <x:v>Absent from named inventory</x:v>
      </x:c>
      <x:c r="P616" s="26"/>
      <x:c r="Q616" s="26" t="str">
        <x:v>../Project Recherche Data/tpa-batch01-20260908/selection.json</x:v>
      </x:c>
      <x:c r="R616" s="26" t="str">
        <x:v>047722e4dca24e16c44c810f43990492b2f988012ca2b4bab47826ff4c95f1db</x:v>
      </x:c>
      <x:c r="S616" s="26" t="str">
        <x:v>1ee52476c656cb6425f5581a7383359e39d924605720c87c155d5812f9c86f3a</x:v>
      </x:c>
      <x:c r="T616" s="26" t="str">
        <x:v>32e808e51396e5251dcadc33fd9ba26a9100746a4994bf8d8f0246f3aa0d7414</x:v>
      </x:c>
    </x:row>
    <x:row r="617" ht="60" customHeight="1">
      <x:c r="A617" s="26" t="str">
        <x:v>J1913+0832</x:v>
      </x:c>
      <x:c r="B617" s="26" t="str"/>
      <x:c r="C617" s="26" t="str">
        <x:v>NOT_SEARCHED</x:v>
      </x:c>
      <x:c r="D617" s="26"/>
      <x:c r="E617" s="26" t="str">
        <x:v>No observed search</x:v>
      </x:c>
      <x:c r="F617" s="26" t="str">
        <x:v>Retain exclusion for current scope</x:v>
      </x:c>
      <x:c r="G617" s="26" t="str">
        <x:v>TPA EXCLUDED</x:v>
      </x:c>
      <x:c r="H617" s="27" t="n">
        <x:v>232</x:v>
      </x:c>
      <x:c r="I617" s="27" t="n">
        <x:v>29</x:v>
      </x:c>
      <x:c r="J617" s="28" t="n">
        <x:v>1272.496967409963</x:v>
      </x:c>
      <x:c r="K617" s="26"/>
      <x:c r="L617" s="26" t="str">
        <x:v>insufficient_span_or_epochs</x:v>
      </x:c>
      <x:c r="M617" s="26" t="str">
        <x:v>Present</x:v>
      </x:c>
      <x:c r="N617" s="26" t="str">
        <x:v>Absent from named inventory</x:v>
      </x:c>
      <x:c r="O617" s="26" t="str">
        <x:v>Absent from named inventory</x:v>
      </x:c>
      <x:c r="P617" s="26"/>
      <x:c r="Q617" s="26" t="str">
        <x:v>../Project Recherche Data/tpa-batch01-20260908/selection.json</x:v>
      </x:c>
      <x:c r="R617" s="26" t="str">
        <x:v>047722e4dca24e16c44c810f43990492b2f988012ca2b4bab47826ff4c95f1db</x:v>
      </x:c>
      <x:c r="S617" s="26" t="str">
        <x:v>d238895dfd845fb29e9b3d9b4d5dc6bba44cf93239a47a27ad45b261ffb668ab</x:v>
      </x:c>
      <x:c r="T617" s="26" t="str">
        <x:v>e878734f7f8801c228f89d00a39ffa9bdf44d118ae31cb3099dbde9eeba61da7</x:v>
      </x:c>
    </x:row>
    <x:row r="618" ht="60" customHeight="1">
      <x:c r="A618" s="26" t="str">
        <x:v>J1913+0904</x:v>
      </x:c>
      <x:c r="B618" s="26" t="str"/>
      <x:c r="C618" s="26" t="str">
        <x:v>NOT_SEARCHED</x:v>
      </x:c>
      <x:c r="D618" s="26"/>
      <x:c r="E618" s="26" t="str">
        <x:v>No observed search</x:v>
      </x:c>
      <x:c r="F618" s="26" t="str">
        <x:v>Retain exclusion for current scope</x:v>
      </x:c>
      <x:c r="G618" s="26" t="str">
        <x:v>TPA EXCLUDED</x:v>
      </x:c>
      <x:c r="H618" s="27" t="n">
        <x:v>402</x:v>
      </x:c>
      <x:c r="I618" s="27" t="n">
        <x:v>52</x:v>
      </x:c>
      <x:c r="J618" s="28" t="n">
        <x:v>1073.969241407387</x:v>
      </x:c>
      <x:c r="K618" s="26"/>
      <x:c r="L618" s="26" t="str">
        <x:v>insufficient_span_or_epochs</x:v>
      </x:c>
      <x:c r="M618" s="26" t="str">
        <x:v>Present</x:v>
      </x:c>
      <x:c r="N618" s="26" t="str">
        <x:v>Absent from named inventory</x:v>
      </x:c>
      <x:c r="O618" s="26" t="str">
        <x:v>Absent from named inventory</x:v>
      </x:c>
      <x:c r="P618" s="26"/>
      <x:c r="Q618" s="26" t="str">
        <x:v>../Project Recherche Data/tpa-batch01-20260908/selection.json</x:v>
      </x:c>
      <x:c r="R618" s="26" t="str">
        <x:v>047722e4dca24e16c44c810f43990492b2f988012ca2b4bab47826ff4c95f1db</x:v>
      </x:c>
      <x:c r="S618" s="26" t="str">
        <x:v>77f0b69e7319f6ef957b9f9adceed8dfa62dad86bd163cfbf9ac8e10e6f6fb3e</x:v>
      </x:c>
      <x:c r="T618" s="26" t="str">
        <x:v>d96917abf3bff37e42951fa110bd4b05d37a0456b2106aa8815e37eb7098859c</x:v>
      </x:c>
    </x:row>
    <x:row r="619" ht="60" customHeight="1">
      <x:c r="A619" s="26" t="str">
        <x:v>J1913+1000</x:v>
      </x:c>
      <x:c r="B619" s="26" t="str"/>
      <x:c r="C619" s="26" t="str">
        <x:v>NOT_SEARCHED</x:v>
      </x:c>
      <x:c r="D619" s="26"/>
      <x:c r="E619" s="26" t="str">
        <x:v>No observed search</x:v>
      </x:c>
      <x:c r="F619" s="26" t="str">
        <x:v>Retain exclusion for current scope</x:v>
      </x:c>
      <x:c r="G619" s="26" t="str">
        <x:v>TPA EXCLUDED</x:v>
      </x:c>
      <x:c r="H619" s="27" t="n">
        <x:v>223</x:v>
      </x:c>
      <x:c r="I619" s="27" t="n">
        <x:v>28</x:v>
      </x:c>
      <x:c r="J619" s="28" t="n">
        <x:v>1073.9494880543207</x:v>
      </x:c>
      <x:c r="K619" s="26"/>
      <x:c r="L619" s="26" t="str">
        <x:v>insufficient_span_or_epochs</x:v>
      </x:c>
      <x:c r="M619" s="26" t="str">
        <x:v>Present</x:v>
      </x:c>
      <x:c r="N619" s="26" t="str">
        <x:v>Absent from named inventory</x:v>
      </x:c>
      <x:c r="O619" s="26" t="str">
        <x:v>Absent from named inventory</x:v>
      </x:c>
      <x:c r="P619" s="26"/>
      <x:c r="Q619" s="26" t="str">
        <x:v>../Project Recherche Data/tpa-batch01-20260908/selection.json</x:v>
      </x:c>
      <x:c r="R619" s="26" t="str">
        <x:v>047722e4dca24e16c44c810f43990492b2f988012ca2b4bab47826ff4c95f1db</x:v>
      </x:c>
      <x:c r="S619" s="26" t="str">
        <x:v>5ebae853fb254294a2aa97cecd8f210f0fe11b2832bdf35cfa47715c2155e703</x:v>
      </x:c>
      <x:c r="T619" s="26" t="str">
        <x:v>d79f71ea6a96d05898cd33760975c28050ce0dd46c873d2ef24602aa3417bfb6</x:v>
      </x:c>
    </x:row>
    <x:row r="620" ht="60" customHeight="1">
      <x:c r="A620" s="26" t="str">
        <x:v>J1913+1011</x:v>
      </x:c>
      <x:c r="B620" s="26" t="str"/>
      <x:c r="C620" s="26" t="str">
        <x:v>NOT_SEARCHED</x:v>
      </x:c>
      <x:c r="D620" s="26"/>
      <x:c r="E620" s="26" t="str">
        <x:v>No observed search</x:v>
      </x:c>
      <x:c r="F620" s="26" t="str">
        <x:v>Retain exclusion for current scope</x:v>
      </x:c>
      <x:c r="G620" s="26" t="str">
        <x:v>TPA EXCLUDED</x:v>
      </x:c>
      <x:c r="H620" s="27" t="n">
        <x:v>224</x:v>
      </x:c>
      <x:c r="I620" s="27" t="n">
        <x:v>28</x:v>
      </x:c>
      <x:c r="J620" s="28" t="n">
        <x:v>1272.5066856040721</x:v>
      </x:c>
      <x:c r="K620" s="26"/>
      <x:c r="L620" s="26" t="str">
        <x:v>insufficient_span_or_epochs</x:v>
      </x:c>
      <x:c r="M620" s="26" t="str">
        <x:v>Present</x:v>
      </x:c>
      <x:c r="N620" s="26" t="str">
        <x:v>Absent from named inventory</x:v>
      </x:c>
      <x:c r="O620" s="26" t="str">
        <x:v>Absent from named inventory</x:v>
      </x:c>
      <x:c r="P620" s="26"/>
      <x:c r="Q620" s="26" t="str">
        <x:v>../Project Recherche Data/tpa-batch01-20260908/selection.json</x:v>
      </x:c>
      <x:c r="R620" s="26" t="str">
        <x:v>047722e4dca24e16c44c810f43990492b2f988012ca2b4bab47826ff4c95f1db</x:v>
      </x:c>
      <x:c r="S620" s="26" t="str">
        <x:v>2e824ebe16a7e66e3ac02d648ef75125e54d8405203246d0e3111da4ed313b39</x:v>
      </x:c>
      <x:c r="T620" s="26" t="str">
        <x:v>19b5131e2ae0c8cfa6dfb39a06d28a568ea6a2ba65c344526c94eb4c20b811ce</x:v>
      </x:c>
    </x:row>
    <x:row r="621" ht="60" customHeight="1">
      <x:c r="A621" s="26" t="str">
        <x:v>J1913+1145</x:v>
      </x:c>
      <x:c r="B621" s="26" t="str"/>
      <x:c r="C621" s="26" t="str">
        <x:v>NOT_SEARCHED</x:v>
      </x:c>
      <x:c r="D621" s="26"/>
      <x:c r="E621" s="26" t="str">
        <x:v>No observed search</x:v>
      </x:c>
      <x:c r="F621" s="26" t="str">
        <x:v>Retain exclusion for current scope</x:v>
      </x:c>
      <x:c r="G621" s="26" t="str">
        <x:v>TPA EXCLUDED</x:v>
      </x:c>
      <x:c r="H621" s="27" t="n">
        <x:v>222</x:v>
      </x:c>
      <x:c r="I621" s="27" t="n">
        <x:v>28</x:v>
      </x:c>
      <x:c r="J621" s="28" t="n">
        <x:v>1073.9454781011154</x:v>
      </x:c>
      <x:c r="K621" s="26"/>
      <x:c r="L621" s="26" t="str">
        <x:v>insufficient_span_or_epochs</x:v>
      </x:c>
      <x:c r="M621" s="26" t="str">
        <x:v>Present</x:v>
      </x:c>
      <x:c r="N621" s="26" t="str">
        <x:v>Absent from named inventory</x:v>
      </x:c>
      <x:c r="O621" s="26" t="str">
        <x:v>Absent from named inventory</x:v>
      </x:c>
      <x:c r="P621" s="26"/>
      <x:c r="Q621" s="26" t="str">
        <x:v>../Project Recherche Data/tpa-batch01-20260908/selection.json</x:v>
      </x:c>
      <x:c r="R621" s="26" t="str">
        <x:v>047722e4dca24e16c44c810f43990492b2f988012ca2b4bab47826ff4c95f1db</x:v>
      </x:c>
      <x:c r="S621" s="26" t="str">
        <x:v>2c5ee789a6c0a04ce573fbc9cc4c0a672dd7112e7c25adfc3f057a749dfec94c</x:v>
      </x:c>
      <x:c r="T621" s="26" t="str">
        <x:v>a4bf80f592335163e92c67444957908ba5393f4c18c2574819dfef391f4f8fb6</x:v>
      </x:c>
    </x:row>
    <x:row r="622" ht="60" customHeight="1">
      <x:c r="A622" s="26" t="str">
        <x:v>J1913+1400</x:v>
      </x:c>
      <x:c r="B622" s="26" t="str">
        <x:v>B1911+13</x:v>
      </x:c>
      <x:c r="C622" s="26" t="str">
        <x:v>NOT_SEARCHED</x:v>
      </x:c>
      <x:c r="D622" s="26"/>
      <x:c r="E622" s="26" t="str">
        <x:v>No observed search</x:v>
      </x:c>
      <x:c r="F622" s="26" t="str">
        <x:v>Retain exclusion for current scope</x:v>
      </x:c>
      <x:c r="G622" s="26" t="str">
        <x:v>TPA EXCLUDED</x:v>
      </x:c>
      <x:c r="H622" s="27" t="n">
        <x:v>232</x:v>
      </x:c>
      <x:c r="I622" s="27" t="n">
        <x:v>29</x:v>
      </x:c>
      <x:c r="J622" s="28" t="n">
        <x:v>1272.5436149099914</x:v>
      </x:c>
      <x:c r="K622" s="26"/>
      <x:c r="L622" s="26" t="str">
        <x:v>insufficient_span_or_epochs</x:v>
      </x:c>
      <x:c r="M622" s="26" t="str">
        <x:v>Present</x:v>
      </x:c>
      <x:c r="N622" s="26" t="str">
        <x:v>Absent from named inventory</x:v>
      </x:c>
      <x:c r="O622" s="26" t="str">
        <x:v>Absent from named inventory</x:v>
      </x:c>
      <x:c r="P622" s="26"/>
      <x:c r="Q622" s="26" t="str">
        <x:v>../Project Recherche Data/tpa-batch01-20260908/selection.json</x:v>
      </x:c>
      <x:c r="R622" s="26" t="str">
        <x:v>047722e4dca24e16c44c810f43990492b2f988012ca2b4bab47826ff4c95f1db</x:v>
      </x:c>
      <x:c r="S622" s="26" t="str">
        <x:v>00ade45d7e5866082e93bccfdb1c6944beec8cef9078da067713db6b50213283</x:v>
      </x:c>
      <x:c r="T622" s="26" t="str">
        <x:v>88930cdbaee1784286bbc303f56fe0bcd888fdb8da795ec64e80186bca531c15</x:v>
      </x:c>
    </x:row>
    <x:row r="623" ht="60" customHeight="1">
      <x:c r="A623" s="26" t="str">
        <x:v>J1913-0440</x:v>
      </x:c>
      <x:c r="B623" s="26" t="str">
        <x:v>B1911-04</x:v>
      </x:c>
      <x:c r="C623" s="26" t="str">
        <x:v>NO_TRIGGER</x:v>
      </x:c>
      <x:c r="D623" s="26" t="str">
        <x:v>utmost-batch04-20260909-J1913-0440-run01</x:v>
      </x:c>
      <x:c r="E623" s="26" t="str">
        <x:v>No qualifying signal in eligible 30–400-day cells</x:v>
      </x:c>
      <x:c r="F623" s="26" t="str">
        <x:v>Retain result; consider independent data or a separately defined new scope</x:v>
      </x:c>
      <x:c r="G623" s="26" t="str">
        <x:v>UTMOST SEARCHED</x:v>
      </x:c>
      <x:c r="H623" s="27" t="n">
        <x:v>424</x:v>
      </x:c>
      <x:c r="I623" s="27" t="n">
        <x:v>53</x:v>
      </x:c>
      <x:c r="J623" s="28" t="n">
        <x:v>1254.2796330632918</x:v>
      </x:c>
      <x:c r="K623" s="26" t="str">
        <x:v>tpa-batch07-20260908</x:v>
      </x:c>
      <x:c r="L623" s="26"/>
      <x:c r="M623" s="26" t="str">
        <x:v>Present</x:v>
      </x:c>
      <x:c r="N623" s="26" t="str">
        <x:v>Absent from named inventory</x:v>
      </x:c>
      <x:c r="O623" s="26" t="str">
        <x:v>Absent from named inventory</x:v>
      </x:c>
      <x:c r="P623" s="26"/>
      <x:c r="Q623" s="26" t="str">
        <x:v>../Project Recherche Data/tpa-batch07-20260908/selection.json</x:v>
      </x:c>
      <x:c r="R623" s="26" t="str">
        <x:v>a0944d5da0924367a8ed78a56de7826f64b6d517eb7c66fa044c452abc4894a7</x:v>
      </x:c>
      <x:c r="S623" s="26" t="str">
        <x:v>d13e88c0209cc7368c39eb8bc0ca4926ed866875d2195096f3611e78c2ece35b</x:v>
      </x:c>
      <x:c r="T623" s="26" t="str">
        <x:v>ac836bfdc5f74141fae4b2805b9bac17cf6eb0930603490f93ce1cb00ef707c2</x:v>
      </x:c>
    </x:row>
    <x:row r="624" ht="60" customHeight="1">
      <x:c r="A624" s="26" t="str">
        <x:v>J1914+0219</x:v>
      </x:c>
      <x:c r="B624" s="26" t="str"/>
      <x:c r="C624" s="26" t="str">
        <x:v>NOT_SEARCHED</x:v>
      </x:c>
      <x:c r="D624" s="26"/>
      <x:c r="E624" s="26" t="str">
        <x:v>No observed search</x:v>
      </x:c>
      <x:c r="F624" s="26" t="str">
        <x:v>Retain exclusion for current scope</x:v>
      </x:c>
      <x:c r="G624" s="26" t="str">
        <x:v>TPA EXCLUDED</x:v>
      </x:c>
      <x:c r="H624" s="27" t="n">
        <x:v>248</x:v>
      </x:c>
      <x:c r="I624" s="27" t="n">
        <x:v>31</x:v>
      </x:c>
      <x:c r="J624" s="28" t="n">
        <x:v>1272.4640706750943</x:v>
      </x:c>
      <x:c r="K624" s="26"/>
      <x:c r="L624" s="26" t="str">
        <x:v>insufficient_span_or_epochs</x:v>
      </x:c>
      <x:c r="M624" s="26" t="str">
        <x:v>Present</x:v>
      </x:c>
      <x:c r="N624" s="26" t="str">
        <x:v>Absent from named inventory</x:v>
      </x:c>
      <x:c r="O624" s="26" t="str">
        <x:v>Absent from named inventory</x:v>
      </x:c>
      <x:c r="P624" s="26"/>
      <x:c r="Q624" s="26" t="str">
        <x:v>../Project Recherche Data/tpa-batch01-20260908/selection.json</x:v>
      </x:c>
      <x:c r="R624" s="26" t="str">
        <x:v>047722e4dca24e16c44c810f43990492b2f988012ca2b4bab47826ff4c95f1db</x:v>
      </x:c>
      <x:c r="S624" s="26" t="str">
        <x:v>93b88f6947ea163f673b3312a59cebbe7863dc27d6dcfdb94936162b39f73be4</x:v>
      </x:c>
      <x:c r="T624" s="26" t="str">
        <x:v>3cbed82fbdc044f801a8ebd9051e9ee0177771f7e850bfff1b7c27c5a4770e15</x:v>
      </x:c>
    </x:row>
    <x:row r="625" ht="60" customHeight="1">
      <x:c r="A625" s="26" t="str">
        <x:v>J1914+0631</x:v>
      </x:c>
      <x:c r="B625" s="26" t="str"/>
      <x:c r="C625" s="26" t="str">
        <x:v>NOT_SEARCHED</x:v>
      </x:c>
      <x:c r="D625" s="26"/>
      <x:c r="E625" s="26" t="str">
        <x:v>No observed search</x:v>
      </x:c>
      <x:c r="F625" s="26" t="str">
        <x:v>Retain exclusion for current scope</x:v>
      </x:c>
      <x:c r="G625" s="26" t="str">
        <x:v>TPA EXCLUDED</x:v>
      </x:c>
      <x:c r="H625" s="27" t="n">
        <x:v>160</x:v>
      </x:c>
      <x:c r="I625" s="27" t="n">
        <x:v>23</x:v>
      </x:c>
      <x:c r="J625" s="28" t="n">
        <x:v>1115.9588974707367</x:v>
      </x:c>
      <x:c r="K625" s="26"/>
      <x:c r="L625" s="26" t="str">
        <x:v>insufficient_span_or_epochs</x:v>
      </x:c>
      <x:c r="M625" s="26" t="str">
        <x:v>Absent from named inventory</x:v>
      </x:c>
      <x:c r="N625" s="26" t="str">
        <x:v>Absent from named inventory</x:v>
      </x:c>
      <x:c r="O625" s="26" t="str">
        <x:v>Absent from named inventory</x:v>
      </x:c>
      <x:c r="P625" s="26"/>
      <x:c r="Q625" s="26" t="str">
        <x:v>../Project Recherche Data/tpa-batch01-20260908/selection.json</x:v>
      </x:c>
      <x:c r="R625" s="26" t="str">
        <x:v>047722e4dca24e16c44c810f43990492b2f988012ca2b4bab47826ff4c95f1db</x:v>
      </x:c>
      <x:c r="S625" s="26" t="str">
        <x:v>cd379365dd04f6deb3efce5905ada2ab7310a09f67bb809a80b5761899b8edc6</x:v>
      </x:c>
      <x:c r="T625" s="26" t="str">
        <x:v>6cc9c95fd1209cf72c0b3068f042dda3120f66de3002b1451d13042f09e976b8</x:v>
      </x:c>
    </x:row>
    <x:row r="626" ht="60" customHeight="1">
      <x:c r="A626" s="26" t="str">
        <x:v>J1914+1122</x:v>
      </x:c>
      <x:c r="B626" s="26" t="str">
        <x:v>B1911+11</x:v>
      </x:c>
      <x:c r="C626" s="26" t="str">
        <x:v>NOT_SEARCHED</x:v>
      </x:c>
      <x:c r="D626" s="26"/>
      <x:c r="E626" s="26" t="str">
        <x:v>No observed search</x:v>
      </x:c>
      <x:c r="F626" s="26" t="str">
        <x:v>Retain exclusion for current scope</x:v>
      </x:c>
      <x:c r="G626" s="26" t="str">
        <x:v>TPA EXCLUDED</x:v>
      </x:c>
      <x:c r="H626" s="27" t="n">
        <x:v>223</x:v>
      </x:c>
      <x:c r="I626" s="27" t="n">
        <x:v>28</x:v>
      </x:c>
      <x:c r="J626" s="28" t="n">
        <x:v>1073.9461227124411</x:v>
      </x:c>
      <x:c r="K626" s="26"/>
      <x:c r="L626" s="26" t="str">
        <x:v>insufficient_span_or_epochs</x:v>
      </x:c>
      <x:c r="M626" s="26" t="str">
        <x:v>Present</x:v>
      </x:c>
      <x:c r="N626" s="26" t="str">
        <x:v>Absent from named inventory</x:v>
      </x:c>
      <x:c r="O626" s="26" t="str">
        <x:v>Absent from named inventory</x:v>
      </x:c>
      <x:c r="P626" s="26"/>
      <x:c r="Q626" s="26" t="str">
        <x:v>../Project Recherche Data/tpa-batch01-20260908/selection.json</x:v>
      </x:c>
      <x:c r="R626" s="26" t="str">
        <x:v>047722e4dca24e16c44c810f43990492b2f988012ca2b4bab47826ff4c95f1db</x:v>
      </x:c>
      <x:c r="S626" s="26" t="str">
        <x:v>c8d77dcbe3b1a1500c1188af71f039ca5d2f2b4ff5dc9e46e80f441e14c368de</x:v>
      </x:c>
      <x:c r="T626" s="26" t="str">
        <x:v>ea86e156b194d41f63c97e6bd3b8290975bacf30ec87733f110e254db887390e</x:v>
      </x:c>
    </x:row>
    <x:row r="627" ht="60" customHeight="1">
      <x:c r="A627" s="26" t="str">
        <x:v>J1915+0227</x:v>
      </x:c>
      <x:c r="B627" s="26" t="str"/>
      <x:c r="C627" s="26" t="str">
        <x:v>NOT_SEARCHED</x:v>
      </x:c>
      <x:c r="D627" s="26"/>
      <x:c r="E627" s="26" t="str">
        <x:v>No observed search</x:v>
      </x:c>
      <x:c r="F627" s="26" t="str">
        <x:v>Retain exclusion for current scope</x:v>
      </x:c>
      <x:c r="G627" s="26" t="str">
        <x:v>TPA EXCLUDED</x:v>
      </x:c>
      <x:c r="H627" s="27" t="n">
        <x:v>224</x:v>
      </x:c>
      <x:c r="I627" s="27" t="n">
        <x:v>28</x:v>
      </x:c>
      <x:c r="J627" s="28" t="n">
        <x:v>1073.9419201810306</x:v>
      </x:c>
      <x:c r="K627" s="26"/>
      <x:c r="L627" s="26" t="str">
        <x:v>insufficient_span_or_epochs</x:v>
      </x:c>
      <x:c r="M627" s="26" t="str">
        <x:v>Present</x:v>
      </x:c>
      <x:c r="N627" s="26" t="str">
        <x:v>Absent from named inventory</x:v>
      </x:c>
      <x:c r="O627" s="26" t="str">
        <x:v>Absent from named inventory</x:v>
      </x:c>
      <x:c r="P627" s="26"/>
      <x:c r="Q627" s="26" t="str">
        <x:v>../Project Recherche Data/tpa-batch01-20260908/selection.json</x:v>
      </x:c>
      <x:c r="R627" s="26" t="str">
        <x:v>047722e4dca24e16c44c810f43990492b2f988012ca2b4bab47826ff4c95f1db</x:v>
      </x:c>
      <x:c r="S627" s="26" t="str">
        <x:v>eec7dc5c00229c1b510b577e53c57af9db79666b80a64356630186adedfb963e</x:v>
      </x:c>
      <x:c r="T627" s="26" t="str">
        <x:v>b871d86b147de114a8433f3d060b1eb151c059ff9166f6565c202e91986c5f74</x:v>
      </x:c>
    </x:row>
    <x:row r="628" ht="60" customHeight="1">
      <x:c r="A628" s="26" t="str">
        <x:v>J1915+0738</x:v>
      </x:c>
      <x:c r="B628" s="26" t="str"/>
      <x:c r="C628" s="26" t="str">
        <x:v>NOT_SEARCHED</x:v>
      </x:c>
      <x:c r="D628" s="26"/>
      <x:c r="E628" s="26" t="str">
        <x:v>No observed search</x:v>
      </x:c>
      <x:c r="F628" s="26" t="str">
        <x:v>Retain exclusion for current scope</x:v>
      </x:c>
      <x:c r="G628" s="26" t="str">
        <x:v>TPA EXCLUDED</x:v>
      </x:c>
      <x:c r="H628" s="27" t="n">
        <x:v>224</x:v>
      </x:c>
      <x:c r="I628" s="27" t="n">
        <x:v>28</x:v>
      </x:c>
      <x:c r="J628" s="28" t="n">
        <x:v>1073.9320771694402</x:v>
      </x:c>
      <x:c r="K628" s="26"/>
      <x:c r="L628" s="26" t="str">
        <x:v>insufficient_span_or_epochs</x:v>
      </x:c>
      <x:c r="M628" s="26" t="str">
        <x:v>Absent from named inventory</x:v>
      </x:c>
      <x:c r="N628" s="26" t="str">
        <x:v>Absent from named inventory</x:v>
      </x:c>
      <x:c r="O628" s="26" t="str">
        <x:v>Absent from named inventory</x:v>
      </x:c>
      <x:c r="P628" s="26"/>
      <x:c r="Q628" s="26" t="str">
        <x:v>../Project Recherche Data/tpa-batch01-20260908/selection.json</x:v>
      </x:c>
      <x:c r="R628" s="26" t="str">
        <x:v>047722e4dca24e16c44c810f43990492b2f988012ca2b4bab47826ff4c95f1db</x:v>
      </x:c>
      <x:c r="S628" s="26" t="str">
        <x:v>36b366fd1a3d27dc618a723cbb0752eb61b7a02e000bb84feae8ce524d473ce1</x:v>
      </x:c>
      <x:c r="T628" s="26" t="str">
        <x:v>195d9586a6e7781d010150310baad2753c7d27a2298fd3b51fb670a556045d04</x:v>
      </x:c>
    </x:row>
    <x:row r="629" ht="60" customHeight="1">
      <x:c r="A629" s="26" t="str">
        <x:v>J1915+0838</x:v>
      </x:c>
      <x:c r="B629" s="26" t="str"/>
      <x:c r="C629" s="26" t="str">
        <x:v>NOT_SEARCHED</x:v>
      </x:c>
      <x:c r="D629" s="26"/>
      <x:c r="E629" s="26" t="str">
        <x:v>No observed search</x:v>
      </x:c>
      <x:c r="F629" s="26" t="str">
        <x:v>Retain exclusion for current scope</x:v>
      </x:c>
      <x:c r="G629" s="26" t="str">
        <x:v>TPA EXCLUDED</x:v>
      </x:c>
      <x:c r="H629" s="27" t="n">
        <x:v>208</x:v>
      </x:c>
      <x:c r="I629" s="27" t="n">
        <x:v>26</x:v>
      </x:c>
      <x:c r="J629" s="28" t="n">
        <x:v>1073.9221400976166</x:v>
      </x:c>
      <x:c r="K629" s="26"/>
      <x:c r="L629" s="26" t="str">
        <x:v>insufficient_span_or_epochs</x:v>
      </x:c>
      <x:c r="M629" s="26" t="str">
        <x:v>Absent from named inventory</x:v>
      </x:c>
      <x:c r="N629" s="26" t="str">
        <x:v>Absent from named inventory</x:v>
      </x:c>
      <x:c r="O629" s="26" t="str">
        <x:v>Absent from named inventory</x:v>
      </x:c>
      <x:c r="P629" s="26"/>
      <x:c r="Q629" s="26" t="str">
        <x:v>../Project Recherche Data/tpa-batch01-20260908/selection.json</x:v>
      </x:c>
      <x:c r="R629" s="26" t="str">
        <x:v>047722e4dca24e16c44c810f43990492b2f988012ca2b4bab47826ff4c95f1db</x:v>
      </x:c>
      <x:c r="S629" s="26" t="str">
        <x:v>44c99ac5128bc212a1f7ce8157840980a42a6b7a5b7fae8a73f03e73510779e8</x:v>
      </x:c>
      <x:c r="T629" s="26" t="str">
        <x:v>84795c3ab79c0f025efaa0911cced2b0b3085b62313f03f3739fcca0874ee87d</x:v>
      </x:c>
    </x:row>
    <x:row r="630" ht="60" customHeight="1">
      <x:c r="A630" s="26" t="str">
        <x:v>J1915+1009</x:v>
      </x:c>
      <x:c r="B630" s="26" t="str">
        <x:v>B1913+10</x:v>
      </x:c>
      <x:c r="C630" s="26" t="str">
        <x:v>NO_TRIGGER</x:v>
      </x:c>
      <x:c r="D630" s="26" t="str">
        <x:v>tpa-batch07-20260908-J1915+1009-run01</x:v>
      </x:c>
      <x:c r="E630" s="26" t="str">
        <x:v>No qualifying signal in eligible 30–400-day cells</x:v>
      </x:c>
      <x:c r="F630" s="26" t="str">
        <x:v>Retain result; consider independent data or a separately defined new scope</x:v>
      </x:c>
      <x:c r="G630" s="26" t="str">
        <x:v>SEARCHED</x:v>
      </x:c>
      <x:c r="H630" s="27" t="n">
        <x:v>431</x:v>
      </x:c>
      <x:c r="I630" s="27" t="n">
        <x:v>54</x:v>
      </x:c>
      <x:c r="J630" s="28" t="n">
        <x:v>1272.5259481949688</x:v>
      </x:c>
      <x:c r="K630" s="26" t="str">
        <x:v>tpa-batch07-20260908</x:v>
      </x:c>
      <x:c r="L630" s="26"/>
      <x:c r="M630" s="26" t="str">
        <x:v>Present</x:v>
      </x:c>
      <x:c r="N630" s="26" t="str">
        <x:v>Absent from named inventory</x:v>
      </x:c>
      <x:c r="O630" s="26" t="str">
        <x:v>Absent from named inventory</x:v>
      </x:c>
      <x:c r="P630" s="26"/>
      <x:c r="Q630" s="26" t="str">
        <x:v>../Project Recherche Data/tpa-batch07-20260908/selection.json</x:v>
      </x:c>
      <x:c r="R630" s="26" t="str">
        <x:v>a0944d5da0924367a8ed78a56de7826f64b6d517eb7c66fa044c452abc4894a7</x:v>
      </x:c>
      <x:c r="S630" s="26" t="str">
        <x:v>6e48a72ab8545c23d77c4ef0d2730a6fe0eb9e244d8f770b69df214be3db41d8</x:v>
      </x:c>
      <x:c r="T630" s="26" t="str">
        <x:v>b03969bc4db4e307790be1e6fb4be7ab4cd920d738a41112f4b02e33248f81b1</x:v>
      </x:c>
    </x:row>
    <x:row r="631" ht="60" customHeight="1">
      <x:c r="A631" s="26" t="str">
        <x:v>J1916+0844</x:v>
      </x:c>
      <x:c r="B631" s="26" t="str"/>
      <x:c r="C631" s="26" t="str">
        <x:v>NOT_SEARCHED</x:v>
      </x:c>
      <x:c r="D631" s="26"/>
      <x:c r="E631" s="26" t="str">
        <x:v>No observed search</x:v>
      </x:c>
      <x:c r="F631" s="26" t="str">
        <x:v>Retain exclusion for current scope</x:v>
      </x:c>
      <x:c r="G631" s="26" t="str">
        <x:v>TPA EXCLUDED</x:v>
      </x:c>
      <x:c r="H631" s="27" t="n">
        <x:v>215</x:v>
      </x:c>
      <x:c r="I631" s="27" t="n">
        <x:v>27</x:v>
      </x:c>
      <x:c r="J631" s="28" t="n">
        <x:v>1072.0409016794001</x:v>
      </x:c>
      <x:c r="K631" s="26"/>
      <x:c r="L631" s="26" t="str">
        <x:v>insufficient_span_or_epochs</x:v>
      </x:c>
      <x:c r="M631" s="26" t="str">
        <x:v>Absent from named inventory</x:v>
      </x:c>
      <x:c r="N631" s="26" t="str">
        <x:v>Absent from named inventory</x:v>
      </x:c>
      <x:c r="O631" s="26" t="str">
        <x:v>Absent from named inventory</x:v>
      </x:c>
      <x:c r="P631" s="26"/>
      <x:c r="Q631" s="26" t="str">
        <x:v>../Project Recherche Data/tpa-batch01-20260908/selection.json</x:v>
      </x:c>
      <x:c r="R631" s="26" t="str">
        <x:v>047722e4dca24e16c44c810f43990492b2f988012ca2b4bab47826ff4c95f1db</x:v>
      </x:c>
      <x:c r="S631" s="26" t="str">
        <x:v>ae57c84b6ed1c13cd0e6a3a426d158de0bc8b7becece395ff8499ac76fcd2d32</x:v>
      </x:c>
      <x:c r="T631" s="26" t="str">
        <x:v>17c4deb21bc957a920595f6d6f112448aa8397d6c332a96a35134835630b6214</x:v>
      </x:c>
    </x:row>
    <x:row r="632" ht="60" customHeight="1">
      <x:c r="A632" s="26" t="str">
        <x:v>J1916+0951</x:v>
      </x:c>
      <x:c r="B632" s="26" t="str">
        <x:v>B1914+09</x:v>
      </x:c>
      <x:c r="C632" s="26" t="str">
        <x:v>NO_TRIGGER</x:v>
      </x:c>
      <x:c r="D632" s="26" t="str">
        <x:v>tpa-batch07-20260908-J1916+0951-run01</x:v>
      </x:c>
      <x:c r="E632" s="26" t="str">
        <x:v>No qualifying signal in eligible 30–400-day cells</x:v>
      </x:c>
      <x:c r="F632" s="26" t="str">
        <x:v>Retain result; consider independent data or a separately defined new scope</x:v>
      </x:c>
      <x:c r="G632" s="26" t="str">
        <x:v>SEARCHED</x:v>
      </x:c>
      <x:c r="H632" s="27" t="n">
        <x:v>432</x:v>
      </x:c>
      <x:c r="I632" s="27" t="n">
        <x:v>54</x:v>
      </x:c>
      <x:c r="J632" s="28" t="n">
        <x:v>1272.5264836295537</x:v>
      </x:c>
      <x:c r="K632" s="26" t="str">
        <x:v>tpa-batch07-20260908</x:v>
      </x:c>
      <x:c r="L632" s="26"/>
      <x:c r="M632" s="26" t="str">
        <x:v>Present</x:v>
      </x:c>
      <x:c r="N632" s="26" t="str">
        <x:v>Absent from named inventory</x:v>
      </x:c>
      <x:c r="O632" s="26" t="str">
        <x:v>Absent from named inventory</x:v>
      </x:c>
      <x:c r="P632" s="26"/>
      <x:c r="Q632" s="26" t="str">
        <x:v>../Project Recherche Data/tpa-batch07-20260908/selection.json</x:v>
      </x:c>
      <x:c r="R632" s="26" t="str">
        <x:v>a0944d5da0924367a8ed78a56de7826f64b6d517eb7c66fa044c452abc4894a7</x:v>
      </x:c>
      <x:c r="S632" s="26" t="str">
        <x:v>1b6f93094924909e163c07eec7742aa8cdd361c9dbe4e5ee43d63abf0de3d088</x:v>
      </x:c>
      <x:c r="T632" s="26" t="str">
        <x:v>64daae55227a1c76dfc5618913c26f34d9abd9fd7de4a64167a47b7cf44097ed</x:v>
      </x:c>
    </x:row>
    <x:row r="633" ht="60" customHeight="1">
      <x:c r="A633" s="26" t="str">
        <x:v>J1916+1030</x:v>
      </x:c>
      <x:c r="B633" s="26" t="str">
        <x:v>B1913+105</x:v>
      </x:c>
      <x:c r="C633" s="26" t="str">
        <x:v>NOT_SEARCHED</x:v>
      </x:c>
      <x:c r="D633" s="26"/>
      <x:c r="E633" s="26" t="str">
        <x:v>No observed search</x:v>
      </x:c>
      <x:c r="F633" s="26" t="str">
        <x:v>Retain exclusion for current scope</x:v>
      </x:c>
      <x:c r="G633" s="26" t="str">
        <x:v>TPA EXCLUDED</x:v>
      </x:c>
      <x:c r="H633" s="27" t="n">
        <x:v>208</x:v>
      </x:c>
      <x:c r="I633" s="27" t="n">
        <x:v>26</x:v>
      </x:c>
      <x:c r="J633" s="28" t="n">
        <x:v>1072.0505936807021</x:v>
      </x:c>
      <x:c r="K633" s="26"/>
      <x:c r="L633" s="26" t="str">
        <x:v>insufficient_span_or_epochs</x:v>
      </x:c>
      <x:c r="M633" s="26" t="str">
        <x:v>Absent from named inventory</x:v>
      </x:c>
      <x:c r="N633" s="26" t="str">
        <x:v>Absent from named inventory</x:v>
      </x:c>
      <x:c r="O633" s="26" t="str">
        <x:v>Absent from named inventory</x:v>
      </x:c>
      <x:c r="P633" s="26"/>
      <x:c r="Q633" s="26" t="str">
        <x:v>../Project Recherche Data/tpa-batch01-20260908/selection.json</x:v>
      </x:c>
      <x:c r="R633" s="26" t="str">
        <x:v>047722e4dca24e16c44c810f43990492b2f988012ca2b4bab47826ff4c95f1db</x:v>
      </x:c>
      <x:c r="S633" s="26" t="str">
        <x:v>d013a5ba0d5c43e3921e71580249a1541bb533d48ae10545800aea4a07950d75</x:v>
      </x:c>
      <x:c r="T633" s="26" t="str">
        <x:v>15c33f264424139ca1ad16487ccae8bc3ad40e64969e89c87dea6cf0616c877b</x:v>
      </x:c>
    </x:row>
    <x:row r="634" ht="60" customHeight="1">
      <x:c r="A634" s="26" t="str">
        <x:v>J1916+1312</x:v>
      </x:c>
      <x:c r="B634" s="26" t="str">
        <x:v>B1914+13</x:v>
      </x:c>
      <x:c r="C634" s="26" t="str">
        <x:v>NO_TRIGGER</x:v>
      </x:c>
      <x:c r="D634" s="26" t="str">
        <x:v>tpa-batch08-20260908-J1916+1312-run01</x:v>
      </x:c>
      <x:c r="E634" s="26" t="str">
        <x:v>No qualifying signal in eligible 30–400-day cells</x:v>
      </x:c>
      <x:c r="F634" s="26" t="str">
        <x:v>Retain result; consider independent data or a separately defined new scope</x:v>
      </x:c>
      <x:c r="G634" s="26" t="str">
        <x:v>SEARCHED</x:v>
      </x:c>
      <x:c r="H634" s="27" t="n">
        <x:v>432</x:v>
      </x:c>
      <x:c r="I634" s="27" t="n">
        <x:v>54</x:v>
      </x:c>
      <x:c r="J634" s="28" t="n">
        <x:v>1272.5556052703396</x:v>
      </x:c>
      <x:c r="K634" s="26" t="str">
        <x:v>tpa-batch08-20260908</x:v>
      </x:c>
      <x:c r="L634" s="26"/>
      <x:c r="M634" s="26" t="str">
        <x:v>Present</x:v>
      </x:c>
      <x:c r="N634" s="26" t="str">
        <x:v>Absent from named inventory</x:v>
      </x:c>
      <x:c r="O634" s="26" t="str">
        <x:v>Absent from named inventory</x:v>
      </x:c>
      <x:c r="P634" s="26"/>
      <x:c r="Q634" s="26" t="str">
        <x:v>../Project Recherche Data/tpa-batch08-20260908/selection.json</x:v>
      </x:c>
      <x:c r="R634" s="26" t="str">
        <x:v>6fe595c0d188861ebc661368dcb361d40c70c01fd3243f0147e51a513ec4e764</x:v>
      </x:c>
      <x:c r="S634" s="26" t="str">
        <x:v>409d8e09ebca869552ff88170b0e8c70aabebca4afa60cbe252733097fba8259</x:v>
      </x:c>
      <x:c r="T634" s="26" t="str">
        <x:v>d8ef97f46113cc649de51f779f513d1974b27560406690b5fe884b86b37d86fa</x:v>
      </x:c>
    </x:row>
    <x:row r="635" ht="60" customHeight="1">
      <x:c r="A635" s="26" t="str">
        <x:v>J1917+0834</x:v>
      </x:c>
      <x:c r="B635" s="26" t="str"/>
      <x:c r="C635" s="26" t="str">
        <x:v>NOT_SEARCHED</x:v>
      </x:c>
      <x:c r="D635" s="26"/>
      <x:c r="E635" s="26" t="str">
        <x:v>No observed search</x:v>
      </x:c>
      <x:c r="F635" s="26" t="str">
        <x:v>Retain exclusion for current scope</x:v>
      </x:c>
      <x:c r="G635" s="26" t="str">
        <x:v>TPA EXCLUDED</x:v>
      </x:c>
      <x:c r="H635" s="27" t="n">
        <x:v>205</x:v>
      </x:c>
      <x:c r="I635" s="27" t="n">
        <x:v>26</x:v>
      </x:c>
      <x:c r="J635" s="28" t="n">
        <x:v>1072.0312962591051</x:v>
      </x:c>
      <x:c r="K635" s="26"/>
      <x:c r="L635" s="26" t="str">
        <x:v>insufficient_span_or_epochs</x:v>
      </x:c>
      <x:c r="M635" s="26" t="str">
        <x:v>Absent from named inventory</x:v>
      </x:c>
      <x:c r="N635" s="26" t="str">
        <x:v>Absent from named inventory</x:v>
      </x:c>
      <x:c r="O635" s="26" t="str">
        <x:v>Absent from named inventory</x:v>
      </x:c>
      <x:c r="P635" s="26"/>
      <x:c r="Q635" s="26" t="str">
        <x:v>../Project Recherche Data/tpa-batch01-20260908/selection.json</x:v>
      </x:c>
      <x:c r="R635" s="26" t="str">
        <x:v>047722e4dca24e16c44c810f43990492b2f988012ca2b4bab47826ff4c95f1db</x:v>
      </x:c>
      <x:c r="S635" s="26" t="str">
        <x:v>f6e6fb8db1a1439af8a5e915acaf71746399529ceeb0df2cc1a95757a8475966</x:v>
      </x:c>
      <x:c r="T635" s="26" t="str">
        <x:v>468607c1dd3b4f4480a1ea3532d8c3f11a486b8d50c85518c3c4b38ae0415dbc</x:v>
      </x:c>
    </x:row>
    <x:row r="636" ht="60" customHeight="1">
      <x:c r="A636" s="26" t="str">
        <x:v>J1917+1353</x:v>
      </x:c>
      <x:c r="B636" s="26" t="str">
        <x:v>B1915+13</x:v>
      </x:c>
      <x:c r="C636" s="26" t="str">
        <x:v>NO_TRIGGER</x:v>
      </x:c>
      <x:c r="D636" s="26" t="str">
        <x:v>tpa-batch07-20260908-J1917+1353-run01</x:v>
      </x:c>
      <x:c r="E636" s="26" t="str">
        <x:v>No qualifying signal in eligible 30–400-day cells</x:v>
      </x:c>
      <x:c r="F636" s="26" t="str">
        <x:v>Retain result; consider independent data or a separately defined new scope</x:v>
      </x:c>
      <x:c r="G636" s="26" t="str">
        <x:v>SEARCHED</x:v>
      </x:c>
      <x:c r="H636" s="27" t="n">
        <x:v>416</x:v>
      </x:c>
      <x:c r="I636" s="27" t="n">
        <x:v>52</x:v>
      </x:c>
      <x:c r="J636" s="28" t="n">
        <x:v>1272.5612916600294</x:v>
      </x:c>
      <x:c r="K636" s="26" t="str">
        <x:v>tpa-batch07-20260908</x:v>
      </x:c>
      <x:c r="L636" s="26"/>
      <x:c r="M636" s="26" t="str">
        <x:v>Present</x:v>
      </x:c>
      <x:c r="N636" s="26" t="str">
        <x:v>Absent from named inventory</x:v>
      </x:c>
      <x:c r="O636" s="26" t="str">
        <x:v>Absent from named inventory</x:v>
      </x:c>
      <x:c r="P636" s="26"/>
      <x:c r="Q636" s="26" t="str">
        <x:v>../Project Recherche Data/tpa-batch07-20260908/selection.json</x:v>
      </x:c>
      <x:c r="R636" s="26" t="str">
        <x:v>a0944d5da0924367a8ed78a56de7826f64b6d517eb7c66fa044c452abc4894a7</x:v>
      </x:c>
      <x:c r="S636" s="26" t="str">
        <x:v>240ace730333e83f7bf43fd97491792ff712898066a96b6171a39e03649f4322</x:v>
      </x:c>
      <x:c r="T636" s="26" t="str">
        <x:v>ff370be85f33c5e50949eedb2843abd4ac72f803d9106eb90dd8cabe27c7375a</x:v>
      </x:c>
    </x:row>
    <x:row r="637" ht="60" customHeight="1">
      <x:c r="A637" s="26" t="str">
        <x:v>J1918+1444</x:v>
      </x:c>
      <x:c r="B637" s="26" t="str">
        <x:v>B1916+14</x:v>
      </x:c>
      <x:c r="C637" s="26" t="str">
        <x:v>NO_TRIGGER</x:v>
      </x:c>
      <x:c r="D637" s="26" t="str">
        <x:v>tpa-batch09-20260908-J1918+1444-run01</x:v>
      </x:c>
      <x:c r="E637" s="26" t="str">
        <x:v>No qualifying signal in eligible 30–400-day cells</x:v>
      </x:c>
      <x:c r="F637" s="26" t="str">
        <x:v>Retain result; consider independent data or a separately defined new scope</x:v>
      </x:c>
      <x:c r="G637" s="26" t="str">
        <x:v>SEARCHED</x:v>
      </x:c>
      <x:c r="H637" s="27" t="n">
        <x:v>416</x:v>
      </x:c>
      <x:c r="I637" s="27" t="n">
        <x:v>52</x:v>
      </x:c>
      <x:c r="J637" s="28" t="n">
        <x:v>1272.5583885746237</x:v>
      </x:c>
      <x:c r="K637" s="26" t="str">
        <x:v>tpa-batch09-20260908</x:v>
      </x:c>
      <x:c r="L637" s="26"/>
      <x:c r="M637" s="26" t="str">
        <x:v>Present</x:v>
      </x:c>
      <x:c r="N637" s="26" t="str">
        <x:v>Absent from named inventory</x:v>
      </x:c>
      <x:c r="O637" s="26" t="str">
        <x:v>Absent from named inventory</x:v>
      </x:c>
      <x:c r="P637" s="26"/>
      <x:c r="Q637" s="26" t="str">
        <x:v>../Project Recherche Data/tpa-batch09-20260908/selection.json</x:v>
      </x:c>
      <x:c r="R637" s="26" t="str">
        <x:v>395304d24c4ccc368723e19c91081b318fa94afe187f103f7b2ae19ebdbfa4d6</x:v>
      </x:c>
      <x:c r="S637" s="26" t="str">
        <x:v>d6bd8c72ffea24199f4efd06fda13c558d76b05c4713862f6761baf5ddd58336</x:v>
      </x:c>
      <x:c r="T637" s="26" t="str">
        <x:v>59295daddb329f60f23c9defac1f9f3fa5dd9b9535b5a23170e3f75c2587265d</x:v>
      </x:c>
    </x:row>
    <x:row r="638" ht="60" customHeight="1">
      <x:c r="A638" s="26" t="str">
        <x:v>J1919+0021</x:v>
      </x:c>
      <x:c r="B638" s="26" t="str">
        <x:v>B1917+00</x:v>
      </x:c>
      <x:c r="C638" s="26" t="str">
        <x:v>NO_TRIGGER</x:v>
      </x:c>
      <x:c r="D638" s="26" t="str">
        <x:v>tpa-batch09-20260908-J1919+0021-run01</x:v>
      </x:c>
      <x:c r="E638" s="26" t="str">
        <x:v>No qualifying signal in eligible 30–400-day cells</x:v>
      </x:c>
      <x:c r="F638" s="26" t="str">
        <x:v>Retain result; consider independent data or a separately defined new scope</x:v>
      </x:c>
      <x:c r="G638" s="26" t="str">
        <x:v>SEARCHED</x:v>
      </x:c>
      <x:c r="H638" s="27" t="n">
        <x:v>435</x:v>
      </x:c>
      <x:c r="I638" s="27" t="n">
        <x:v>55</x:v>
      </x:c>
      <x:c r="J638" s="28" t="n">
        <x:v>1272.4743749464978</x:v>
      </x:c>
      <x:c r="K638" s="26" t="str">
        <x:v>tpa-batch09-20260908</x:v>
      </x:c>
      <x:c r="L638" s="26"/>
      <x:c r="M638" s="26" t="str">
        <x:v>Present</x:v>
      </x:c>
      <x:c r="N638" s="26" t="str">
        <x:v>Absent from named inventory</x:v>
      </x:c>
      <x:c r="O638" s="26" t="str">
        <x:v>Absent from named inventory</x:v>
      </x:c>
      <x:c r="P638" s="26"/>
      <x:c r="Q638" s="26" t="str">
        <x:v>../Project Recherche Data/tpa-batch09-20260908/selection.json</x:v>
      </x:c>
      <x:c r="R638" s="26" t="str">
        <x:v>395304d24c4ccc368723e19c91081b318fa94afe187f103f7b2ae19ebdbfa4d6</x:v>
      </x:c>
      <x:c r="S638" s="26" t="str">
        <x:v>d13119f3e327f1415f4453985e1c873b006275f458274e425f82c07bed5235bf</x:v>
      </x:c>
      <x:c r="T638" s="26" t="str">
        <x:v>9b17532926d587269a6ff76f0e46b6ce58b811bf890fcd959f3020156d0ca490</x:v>
      </x:c>
    </x:row>
    <x:row r="639" ht="60" customHeight="1">
      <x:c r="A639" s="26" t="str">
        <x:v>J1919+0134</x:v>
      </x:c>
      <x:c r="B639" s="26" t="str"/>
      <x:c r="C639" s="26" t="str">
        <x:v>NOT_SEARCHED</x:v>
      </x:c>
      <x:c r="D639" s="26"/>
      <x:c r="E639" s="26" t="str">
        <x:v>No observed search</x:v>
      </x:c>
      <x:c r="F639" s="26" t="str">
        <x:v>Retain exclusion for current scope</x:v>
      </x:c>
      <x:c r="G639" s="26" t="str">
        <x:v>TPA EXCLUDED</x:v>
      </x:c>
      <x:c r="H639" s="27" t="n">
        <x:v>248</x:v>
      </x:c>
      <x:c r="I639" s="27" t="n">
        <x:v>31</x:v>
      </x:c>
      <x:c r="J639" s="28" t="n">
        <x:v>1272.4915936558027</x:v>
      </x:c>
      <x:c r="K639" s="26"/>
      <x:c r="L639" s="26" t="str">
        <x:v>insufficient_span_or_epochs</x:v>
      </x:c>
      <x:c r="M639" s="26" t="str">
        <x:v>Absent from named inventory</x:v>
      </x:c>
      <x:c r="N639" s="26" t="str">
        <x:v>Absent from named inventory</x:v>
      </x:c>
      <x:c r="O639" s="26" t="str">
        <x:v>Absent from named inventory</x:v>
      </x:c>
      <x:c r="P639" s="26"/>
      <x:c r="Q639" s="26" t="str">
        <x:v>../Project Recherche Data/tpa-batch01-20260908/selection.json</x:v>
      </x:c>
      <x:c r="R639" s="26" t="str">
        <x:v>047722e4dca24e16c44c810f43990492b2f988012ca2b4bab47826ff4c95f1db</x:v>
      </x:c>
      <x:c r="S639" s="26" t="str">
        <x:v>1d53ca4e982eef392d8461f6f1312e33f394e65f5c10f735c7e2d90ceeb9eede</x:v>
      </x:c>
      <x:c r="T639" s="26" t="str">
        <x:v>88fdc52f564e6943466aa4ee6fe6eb3305ff5352a113b8d1e27046681e1474b6</x:v>
      </x:c>
    </x:row>
    <x:row r="640" ht="60" customHeight="1">
      <x:c r="A640" s="26" t="str">
        <x:v>J1921+0812</x:v>
      </x:c>
      <x:c r="B640" s="26" t="str"/>
      <x:c r="C640" s="26" t="str">
        <x:v>NOT_SEARCHED</x:v>
      </x:c>
      <x:c r="D640" s="26"/>
      <x:c r="E640" s="26" t="str">
        <x:v>No observed search</x:v>
      </x:c>
      <x:c r="F640" s="26" t="str">
        <x:v>Retain exclusion for current scope</x:v>
      </x:c>
      <x:c r="G640" s="26" t="str">
        <x:v>TPA EXCLUDED</x:v>
      </x:c>
      <x:c r="H640" s="27" t="n">
        <x:v>224</x:v>
      </x:c>
      <x:c r="I640" s="27" t="n">
        <x:v>28</x:v>
      </x:c>
      <x:c r="J640" s="28" t="n">
        <x:v>1071.9537536138378</x:v>
      </x:c>
      <x:c r="K640" s="26"/>
      <x:c r="L640" s="26" t="str">
        <x:v>insufficient_span_or_epochs</x:v>
      </x:c>
      <x:c r="M640" s="26" t="str">
        <x:v>Present</x:v>
      </x:c>
      <x:c r="N640" s="26" t="str">
        <x:v>Absent from named inventory</x:v>
      </x:c>
      <x:c r="O640" s="26" t="str">
        <x:v>Absent from named inventory</x:v>
      </x:c>
      <x:c r="P640" s="26"/>
      <x:c r="Q640" s="26" t="str">
        <x:v>../Project Recherche Data/tpa-batch01-20260908/selection.json</x:v>
      </x:c>
      <x:c r="R640" s="26" t="str">
        <x:v>047722e4dca24e16c44c810f43990492b2f988012ca2b4bab47826ff4c95f1db</x:v>
      </x:c>
      <x:c r="S640" s="26" t="str">
        <x:v>ec7d982bd0e000bae2d74b7f9dffec84cd9c0f77b9889cedf0ed8e1be1c416d0</x:v>
      </x:c>
      <x:c r="T640" s="26" t="str">
        <x:v>617bec20396fbdcae8969f710175c808fa982f68a793f532c8424ac8d542fbdd</x:v>
      </x:c>
    </x:row>
    <x:row r="641" ht="60" customHeight="1">
      <x:c r="A641" s="26" t="str">
        <x:v>J1921+1419</x:v>
      </x:c>
      <x:c r="B641" s="26" t="str">
        <x:v>B1919+14</x:v>
      </x:c>
      <x:c r="C641" s="26" t="str">
        <x:v>NO_TRIGGER</x:v>
      </x:c>
      <x:c r="D641" s="26" t="str">
        <x:v>tpa-batch09-20260908-J1921+1419-run01</x:v>
      </x:c>
      <x:c r="E641" s="26" t="str">
        <x:v>No qualifying signal in eligible 30–400-day cells</x:v>
      </x:c>
      <x:c r="F641" s="26" t="str">
        <x:v>Retain result; consider independent data or a separately defined new scope</x:v>
      </x:c>
      <x:c r="G641" s="26" t="str">
        <x:v>SEARCHED</x:v>
      </x:c>
      <x:c r="H641" s="27" t="n">
        <x:v>406</x:v>
      </x:c>
      <x:c r="I641" s="27" t="n">
        <x:v>51</x:v>
      </x:c>
      <x:c r="J641" s="28" t="n">
        <x:v>1244.44601232055</x:v>
      </x:c>
      <x:c r="K641" s="26" t="str">
        <x:v>tpa-batch09-20260908</x:v>
      </x:c>
      <x:c r="L641" s="26"/>
      <x:c r="M641" s="26" t="str">
        <x:v>Present</x:v>
      </x:c>
      <x:c r="N641" s="26" t="str">
        <x:v>Absent from named inventory</x:v>
      </x:c>
      <x:c r="O641" s="26" t="str">
        <x:v>Absent from named inventory</x:v>
      </x:c>
      <x:c r="P641" s="26"/>
      <x:c r="Q641" s="26" t="str">
        <x:v>../Project Recherche Data/tpa-batch09-20260908/selection.json</x:v>
      </x:c>
      <x:c r="R641" s="26" t="str">
        <x:v>395304d24c4ccc368723e19c91081b318fa94afe187f103f7b2ae19ebdbfa4d6</x:v>
      </x:c>
      <x:c r="S641" s="26" t="str">
        <x:v>071025db42bdd32e29ad2a58ff21db99f72dc9af01e2a33cb514720eefe0bf31</x:v>
      </x:c>
      <x:c r="T641" s="26" t="str">
        <x:v>786b2e0d98c5ecbe2d655175446a18062be8e2a28341cde012e6b04a1836c488</x:v>
      </x:c>
    </x:row>
    <x:row r="642" ht="60" customHeight="1">
      <x:c r="A642" s="26" t="str">
        <x:v>J1921+1948</x:v>
      </x:c>
      <x:c r="B642" s="26" t="str">
        <x:v>B1918+19</x:v>
      </x:c>
      <x:c r="C642" s="26" t="str">
        <x:v>NO_TRIGGER</x:v>
      </x:c>
      <x:c r="D642" s="26" t="str">
        <x:v>tpa-batch09-20260908-J1921+1948-run01</x:v>
      </x:c>
      <x:c r="E642" s="26" t="str">
        <x:v>No qualifying signal in eligible 30–400-day cells</x:v>
      </x:c>
      <x:c r="F642" s="26" t="str">
        <x:v>Retain result; consider independent data or a separately defined new scope</x:v>
      </x:c>
      <x:c r="G642" s="26" t="str">
        <x:v>SEARCHED</x:v>
      </x:c>
      <x:c r="H642" s="27" t="n">
        <x:v>432</x:v>
      </x:c>
      <x:c r="I642" s="27" t="n">
        <x:v>54</x:v>
      </x:c>
      <x:c r="J642" s="28" t="n">
        <x:v>1272.5571221212085</x:v>
      </x:c>
      <x:c r="K642" s="26" t="str">
        <x:v>tpa-batch09-20260908</x:v>
      </x:c>
      <x:c r="L642" s="26"/>
      <x:c r="M642" s="26" t="str">
        <x:v>Present</x:v>
      </x:c>
      <x:c r="N642" s="26" t="str">
        <x:v>Absent from named inventory</x:v>
      </x:c>
      <x:c r="O642" s="26" t="str">
        <x:v>Absent from named inventory</x:v>
      </x:c>
      <x:c r="P642" s="26"/>
      <x:c r="Q642" s="26" t="str">
        <x:v>../Project Recherche Data/tpa-batch09-20260908/selection.json</x:v>
      </x:c>
      <x:c r="R642" s="26" t="str">
        <x:v>395304d24c4ccc368723e19c91081b318fa94afe187f103f7b2ae19ebdbfa4d6</x:v>
      </x:c>
      <x:c r="S642" s="26" t="str">
        <x:v>6fd6b9eb4ad6d3f33217417a5a5ffb38ebbd0b9effa6eaaa8de3f833e7731118</x:v>
      </x:c>
      <x:c r="T642" s="26" t="str">
        <x:v>b0a2a2eb77d200173a4ce92a6d3250b5fca2eefc9dc627e9e6ce765db85f36bc</x:v>
      </x:c>
    </x:row>
    <x:row r="643" ht="60" customHeight="1">
      <x:c r="A643" s="26" t="str">
        <x:v>J1922+1733</x:v>
      </x:c>
      <x:c r="B643" s="26" t="str"/>
      <x:c r="C643" s="26" t="str">
        <x:v>NO_TRIGGER</x:v>
      </x:c>
      <x:c r="D643" s="26" t="str">
        <x:v>tpa-batch04-20260908-J1922+1733-run01</x:v>
      </x:c>
      <x:c r="E643" s="26" t="str">
        <x:v>No qualifying signal in eligible 30–400-day cells</x:v>
      </x:c>
      <x:c r="F643" s="26" t="str">
        <x:v>Retain result; consider independent data or a separately defined new scope</x:v>
      </x:c>
      <x:c r="G643" s="26" t="str">
        <x:v>SEARCHED</x:v>
      </x:c>
      <x:c r="H643" s="27" t="n">
        <x:v>424</x:v>
      </x:c>
      <x:c r="I643" s="27" t="n">
        <x:v>53</x:v>
      </x:c>
      <x:c r="J643" s="28" t="n">
        <x:v>1272.5615953215893</x:v>
      </x:c>
      <x:c r="K643" s="26" t="str">
        <x:v>tpa-batch04-20260908</x:v>
      </x:c>
      <x:c r="L643" s="26"/>
      <x:c r="M643" s="26" t="str">
        <x:v>Absent from named inventory</x:v>
      </x:c>
      <x:c r="N643" s="26" t="str">
        <x:v>Absent from named inventory</x:v>
      </x:c>
      <x:c r="O643" s="26" t="str">
        <x:v>Absent from named inventory</x:v>
      </x:c>
      <x:c r="P643" s="26"/>
      <x:c r="Q643" s="26" t="str">
        <x:v>../Project Recherche Data/tpa-batch04-20260908/selection.json</x:v>
      </x:c>
      <x:c r="R643" s="26" t="str">
        <x:v>88cb06482cd14a2f65e966c23ca1cdea20fdeb356fd59137885e0ec5f3b47d1a</x:v>
      </x:c>
      <x:c r="S643" s="26" t="str">
        <x:v>1de039e1cd1b7069391ec99cd6b8235cd571e40811e78b9ae59c5b978554710b</x:v>
      </x:c>
      <x:c r="T643" s="26" t="str">
        <x:v>06b7817712f8ab439f3524d79200fe7f5601036bab73c380683759d43156a9ef</x:v>
      </x:c>
    </x:row>
    <x:row r="644" ht="60" customHeight="1">
      <x:c r="A644" s="26" t="str">
        <x:v>J1923+1706</x:v>
      </x:c>
      <x:c r="B644" s="26" t="str">
        <x:v>B1921+17</x:v>
      </x:c>
      <x:c r="C644" s="26" t="str">
        <x:v>NOT_SEARCHED</x:v>
      </x:c>
      <x:c r="D644" s="26"/>
      <x:c r="E644" s="26" t="str">
        <x:v>No observed search</x:v>
      </x:c>
      <x:c r="F644" s="26" t="str">
        <x:v>Retain exclusion for current scope</x:v>
      </x:c>
      <x:c r="G644" s="26" t="str">
        <x:v>TPA EXCLUDED</x:v>
      </x:c>
      <x:c r="H644" s="27" t="n">
        <x:v>206</x:v>
      </x:c>
      <x:c r="I644" s="27" t="n">
        <x:v>27</x:v>
      </x:c>
      <x:c r="J644" s="28" t="n">
        <x:v>1065.0102223422946</x:v>
      </x:c>
      <x:c r="K644" s="26"/>
      <x:c r="L644" s="26" t="str">
        <x:v>insufficient_span_or_epochs</x:v>
      </x:c>
      <x:c r="M644" s="26" t="str">
        <x:v>Absent from named inventory</x:v>
      </x:c>
      <x:c r="N644" s="26" t="str">
        <x:v>Absent from named inventory</x:v>
      </x:c>
      <x:c r="O644" s="26" t="str">
        <x:v>Absent from named inventory</x:v>
      </x:c>
      <x:c r="P644" s="26"/>
      <x:c r="Q644" s="26" t="str">
        <x:v>../Project Recherche Data/tpa-batch01-20260908/selection.json</x:v>
      </x:c>
      <x:c r="R644" s="26" t="str">
        <x:v>047722e4dca24e16c44c810f43990492b2f988012ca2b4bab47826ff4c95f1db</x:v>
      </x:c>
      <x:c r="S644" s="26" t="str">
        <x:v>ba8e1f08947957d1cc940e302b70f7d6fe156cc38bc222e332bc887dd4daaa29</x:v>
      </x:c>
      <x:c r="T644" s="26" t="str">
        <x:v>62ee02974309995ed6f055811c5cc37615fa31b04ad4ba156e9c1eb26d4abb4b</x:v>
      </x:c>
    </x:row>
    <x:row r="645" ht="60" customHeight="1">
      <x:c r="A645" s="26" t="str">
        <x:v>J1926+1434</x:v>
      </x:c>
      <x:c r="B645" s="26" t="str">
        <x:v>B1924+14</x:v>
      </x:c>
      <x:c r="C645" s="26" t="str">
        <x:v>NOT_SEARCHED</x:v>
      </x:c>
      <x:c r="D645" s="26"/>
      <x:c r="E645" s="26" t="str">
        <x:v>No observed search</x:v>
      </x:c>
      <x:c r="F645" s="26" t="str">
        <x:v>Retain exclusion for current scope</x:v>
      </x:c>
      <x:c r="G645" s="26" t="str">
        <x:v>TPA EXCLUDED</x:v>
      </x:c>
      <x:c r="H645" s="27" t="n">
        <x:v>232</x:v>
      </x:c>
      <x:c r="I645" s="27" t="n">
        <x:v>29</x:v>
      </x:c>
      <x:c r="J645" s="28" t="n">
        <x:v>1115.9570757474212</x:v>
      </x:c>
      <x:c r="K645" s="26"/>
      <x:c r="L645" s="26" t="str">
        <x:v>insufficient_span_or_epochs</x:v>
      </x:c>
      <x:c r="M645" s="26" t="str">
        <x:v>Present</x:v>
      </x:c>
      <x:c r="N645" s="26" t="str">
        <x:v>Absent from named inventory</x:v>
      </x:c>
      <x:c r="O645" s="26" t="str">
        <x:v>Absent from named inventory</x:v>
      </x:c>
      <x:c r="P645" s="26"/>
      <x:c r="Q645" s="26" t="str">
        <x:v>../Project Recherche Data/tpa-batch01-20260908/selection.json</x:v>
      </x:c>
      <x:c r="R645" s="26" t="str">
        <x:v>047722e4dca24e16c44c810f43990492b2f988012ca2b4bab47826ff4c95f1db</x:v>
      </x:c>
      <x:c r="S645" s="26" t="str">
        <x:v>ffee343e5465471483231e916881930e78b948a138d2990b33e7bbdce752dbbd</x:v>
      </x:c>
      <x:c r="T645" s="26" t="str">
        <x:v>21b472001cb167d0b4b0fd5739d8e0daee2dde096fa803cebd963a8dfec06fe5</x:v>
      </x:c>
    </x:row>
    <x:row r="646" ht="60" customHeight="1">
      <x:c r="A646" s="26" t="str">
        <x:v>J1926+1648</x:v>
      </x:c>
      <x:c r="B646" s="26" t="str">
        <x:v>B1924+16</x:v>
      </x:c>
      <x:c r="C646" s="26" t="str">
        <x:v>NO_TRIGGER</x:v>
      </x:c>
      <x:c r="D646" s="26" t="str">
        <x:v>tpa-batch08-20260908-J1926+1648-run01</x:v>
      </x:c>
      <x:c r="E646" s="26" t="str">
        <x:v>No qualifying signal in eligible 30–400-day cells</x:v>
      </x:c>
      <x:c r="F646" s="26" t="str">
        <x:v>Retain result; consider independent data or a separately defined new scope</x:v>
      </x:c>
      <x:c r="G646" s="26" t="str">
        <x:v>SEARCHED</x:v>
      </x:c>
      <x:c r="H646" s="27" t="n">
        <x:v>431</x:v>
      </x:c>
      <x:c r="I646" s="27" t="n">
        <x:v>54</x:v>
      </x:c>
      <x:c r="J646" s="28" t="n">
        <x:v>1272.5688664844201</x:v>
      </x:c>
      <x:c r="K646" s="26" t="str">
        <x:v>tpa-batch08-20260908</x:v>
      </x:c>
      <x:c r="L646" s="26"/>
      <x:c r="M646" s="26" t="str">
        <x:v>Present</x:v>
      </x:c>
      <x:c r="N646" s="26" t="str">
        <x:v>Absent from named inventory</x:v>
      </x:c>
      <x:c r="O646" s="26" t="str">
        <x:v>Absent from named inventory</x:v>
      </x:c>
      <x:c r="P646" s="26"/>
      <x:c r="Q646" s="26" t="str">
        <x:v>../Project Recherche Data/tpa-batch08-20260908/selection.json</x:v>
      </x:c>
      <x:c r="R646" s="26" t="str">
        <x:v>6fe595c0d188861ebc661368dcb361d40c70c01fd3243f0147e51a513ec4e764</x:v>
      </x:c>
      <x:c r="S646" s="26" t="str">
        <x:v>b2e303b1b2e5c698c59f4c410966caf63aa75f48a98e3143869fdc2107b8e9d1</x:v>
      </x:c>
      <x:c r="T646" s="26" t="str">
        <x:v>20b6c9f198ff05cab90332fa37959131dca47e5804156f1f5a5dbc4ff4de85c2</x:v>
      </x:c>
    </x:row>
    <x:row r="647" ht="60" customHeight="1">
      <x:c r="A647" s="26" t="str">
        <x:v>J1926-0652</x:v>
      </x:c>
      <x:c r="B647" s="26" t="str"/>
      <x:c r="C647" s="26" t="str">
        <x:v>NOT_SEARCHED</x:v>
      </x:c>
      <x:c r="D647" s="26"/>
      <x:c r="E647" s="26" t="str">
        <x:v>No observed search</x:v>
      </x:c>
      <x:c r="F647" s="26" t="str">
        <x:v>Retain exclusion for current scope</x:v>
      </x:c>
      <x:c r="G647" s="26" t="str">
        <x:v>TPA EXCLUDED</x:v>
      </x:c>
      <x:c r="H647" s="27" t="n">
        <x:v>74</x:v>
      </x:c>
      <x:c r="I647" s="27" t="n">
        <x:v>11</x:v>
      </x:c>
      <x:c r="J647" s="28" t="n">
        <x:v>1044.0759260999403</x:v>
      </x:c>
      <x:c r="K647" s="26"/>
      <x:c r="L647" s="26" t="str">
        <x:v>insufficient_span_or_epochs</x:v>
      </x:c>
      <x:c r="M647" s="26" t="str">
        <x:v>Absent from named inventory</x:v>
      </x:c>
      <x:c r="N647" s="26" t="str">
        <x:v>Absent from named inventory</x:v>
      </x:c>
      <x:c r="O647" s="26" t="str">
        <x:v>Absent from named inventory</x:v>
      </x:c>
      <x:c r="P647" s="26"/>
      <x:c r="Q647" s="26" t="str">
        <x:v>../Project Recherche Data/tpa-batch01-20260908/selection.json</x:v>
      </x:c>
      <x:c r="R647" s="26" t="str">
        <x:v>047722e4dca24e16c44c810f43990492b2f988012ca2b4bab47826ff4c95f1db</x:v>
      </x:c>
      <x:c r="S647" s="26" t="str">
        <x:v>cf43d771f368bc11c52a203c1e08e63887ce3f3aee6ef2c9029c5f2ef3b8e90a</x:v>
      </x:c>
      <x:c r="T647" s="26" t="str">
        <x:v>a38fe51ab6c8725ee55b04536ed20f0703ec227393dd5f353fa87986ca7aee96</x:v>
      </x:c>
    </x:row>
    <x:row r="648" ht="60" customHeight="1">
      <x:c r="A648" s="26" t="str">
        <x:v>J1927+1852</x:v>
      </x:c>
      <x:c r="B648" s="26" t="str">
        <x:v>B1925+18</x:v>
      </x:c>
      <x:c r="C648" s="26" t="str">
        <x:v>NOT_SEARCHED</x:v>
      </x:c>
      <x:c r="D648" s="26"/>
      <x:c r="E648" s="26" t="str">
        <x:v>No observed search</x:v>
      </x:c>
      <x:c r="F648" s="26" t="str">
        <x:v>Retain exclusion for current scope</x:v>
      </x:c>
      <x:c r="G648" s="26" t="str">
        <x:v>TPA EXCLUDED</x:v>
      </x:c>
      <x:c r="H648" s="27" t="n">
        <x:v>232</x:v>
      </x:c>
      <x:c r="I648" s="27" t="n">
        <x:v>29</x:v>
      </x:c>
      <x:c r="J648" s="28" t="n">
        <x:v>1115.9472310608617</x:v>
      </x:c>
      <x:c r="K648" s="26"/>
      <x:c r="L648" s="26" t="str">
        <x:v>insufficient_span_or_epochs</x:v>
      </x:c>
      <x:c r="M648" s="26" t="str">
        <x:v>Present</x:v>
      </x:c>
      <x:c r="N648" s="26" t="str">
        <x:v>Absent from named inventory</x:v>
      </x:c>
      <x:c r="O648" s="26" t="str">
        <x:v>Absent from named inventory</x:v>
      </x:c>
      <x:c r="P648" s="26"/>
      <x:c r="Q648" s="26" t="str">
        <x:v>../Project Recherche Data/tpa-batch01-20260908/selection.json</x:v>
      </x:c>
      <x:c r="R648" s="26" t="str">
        <x:v>047722e4dca24e16c44c810f43990492b2f988012ca2b4bab47826ff4c95f1db</x:v>
      </x:c>
      <x:c r="S648" s="26" t="str">
        <x:v>57928bf939f47777304ae6bf046a9b7f83aa29bc4890780e982634c5563cdf67</x:v>
      </x:c>
      <x:c r="T648" s="26" t="str">
        <x:v>35a679b73832be87d32d4264915e38d56c27c63bd97682a4ef9a22e8cce436af</x:v>
      </x:c>
    </x:row>
    <x:row r="649" ht="60" customHeight="1">
      <x:c r="A649" s="26" t="str">
        <x:v>J1927+1856</x:v>
      </x:c>
      <x:c r="B649" s="26" t="str">
        <x:v>B1925+188</x:v>
      </x:c>
      <x:c r="C649" s="26" t="str">
        <x:v>NOT_SEARCHED</x:v>
      </x:c>
      <x:c r="D649" s="26"/>
      <x:c r="E649" s="26" t="str">
        <x:v>No observed search</x:v>
      </x:c>
      <x:c r="F649" s="26" t="str">
        <x:v>Retain exclusion for current scope</x:v>
      </x:c>
      <x:c r="G649" s="26" t="str">
        <x:v>TPA EXCLUDED</x:v>
      </x:c>
      <x:c r="H649" s="27" t="n">
        <x:v>224</x:v>
      </x:c>
      <x:c r="I649" s="27" t="n">
        <x:v>28</x:v>
      </x:c>
      <x:c r="J649" s="28" t="n">
        <x:v>1115.9436916912819</x:v>
      </x:c>
      <x:c r="K649" s="26"/>
      <x:c r="L649" s="26" t="str">
        <x:v>insufficient_span_or_epochs</x:v>
      </x:c>
      <x:c r="M649" s="26" t="str">
        <x:v>Absent from named inventory</x:v>
      </x:c>
      <x:c r="N649" s="26" t="str">
        <x:v>Absent from named inventory</x:v>
      </x:c>
      <x:c r="O649" s="26" t="str">
        <x:v>Absent from named inventory</x:v>
      </x:c>
      <x:c r="P649" s="26"/>
      <x:c r="Q649" s="26" t="str">
        <x:v>../Project Recherche Data/tpa-batch01-20260908/selection.json</x:v>
      </x:c>
      <x:c r="R649" s="26" t="str">
        <x:v>047722e4dca24e16c44c810f43990492b2f988012ca2b4bab47826ff4c95f1db</x:v>
      </x:c>
      <x:c r="S649" s="26" t="str">
        <x:v>0c36fc06251ad07286d1999138125c77e96aa13315473ab1957bd88ba5cca854</x:v>
      </x:c>
      <x:c r="T649" s="26" t="str">
        <x:v>173ee00659f356aa6a47c3ca1cefe6f956f45d525f85e7af5e64e74fad37b5c1</x:v>
      </x:c>
    </x:row>
    <x:row r="650" ht="60" customHeight="1">
      <x:c r="A650" s="26" t="str">
        <x:v>J1928+1746</x:v>
      </x:c>
      <x:c r="B650" s="26" t="str"/>
      <x:c r="C650" s="26" t="str">
        <x:v>NOT_SEARCHED</x:v>
      </x:c>
      <x:c r="D650" s="26"/>
      <x:c r="E650" s="26" t="str">
        <x:v>No observed search</x:v>
      </x:c>
      <x:c r="F650" s="26" t="str">
        <x:v>Retain exclusion for current scope</x:v>
      </x:c>
      <x:c r="G650" s="26" t="str">
        <x:v>TPA EXCLUDED</x:v>
      </x:c>
      <x:c r="H650" s="27" t="n">
        <x:v>204</x:v>
      </x:c>
      <x:c r="I650" s="27" t="n">
        <x:v>27</x:v>
      </x:c>
      <x:c r="J650" s="28" t="n">
        <x:v>1165.7184973950352</x:v>
      </x:c>
      <x:c r="K650" s="26"/>
      <x:c r="L650" s="26" t="str">
        <x:v>insufficient_span_or_epochs</x:v>
      </x:c>
      <x:c r="M650" s="26" t="str">
        <x:v>Present</x:v>
      </x:c>
      <x:c r="N650" s="26" t="str">
        <x:v>Absent from named inventory</x:v>
      </x:c>
      <x:c r="O650" s="26" t="str">
        <x:v>Absent from named inventory</x:v>
      </x:c>
      <x:c r="P650" s="26"/>
      <x:c r="Q650" s="26" t="str">
        <x:v>../Project Recherche Data/tpa-batch01-20260908/selection.json</x:v>
      </x:c>
      <x:c r="R650" s="26" t="str">
        <x:v>047722e4dca24e16c44c810f43990492b2f988012ca2b4bab47826ff4c95f1db</x:v>
      </x:c>
      <x:c r="S650" s="26" t="str">
        <x:v>ae1abe8a61e13c486d4b27fb843cf7cf50fc6e35cda1b25b9af6f6a8071f335b</x:v>
      </x:c>
      <x:c r="T650" s="26" t="str">
        <x:v>08e79172cf1041960987ec891e5e550a82e611191a8d3c996bbc0768ff43a32c</x:v>
      </x:c>
    </x:row>
    <x:row r="651" ht="60" customHeight="1">
      <x:c r="A651" s="26" t="str">
        <x:v>J1929+1955</x:v>
      </x:c>
      <x:c r="B651" s="26" t="str"/>
      <x:c r="C651" s="26" t="str">
        <x:v>NOT_SEARCHED</x:v>
      </x:c>
      <x:c r="D651" s="26"/>
      <x:c r="E651" s="26" t="str">
        <x:v>No observed search</x:v>
      </x:c>
      <x:c r="F651" s="26" t="str">
        <x:v>Retain exclusion for current scope</x:v>
      </x:c>
      <x:c r="G651" s="26" t="str">
        <x:v>TPA EXCLUDED</x:v>
      </x:c>
      <x:c r="H651" s="27" t="n">
        <x:v>222</x:v>
      </x:c>
      <x:c r="I651" s="27" t="n">
        <x:v>28</x:v>
      </x:c>
      <x:c r="J651" s="28" t="n">
        <x:v>1065.0002656688594</x:v>
      </x:c>
      <x:c r="K651" s="26"/>
      <x:c r="L651" s="26" t="str">
        <x:v>insufficient_span_or_epochs</x:v>
      </x:c>
      <x:c r="M651" s="26" t="str">
        <x:v>Absent from named inventory</x:v>
      </x:c>
      <x:c r="N651" s="26" t="str">
        <x:v>Absent from named inventory</x:v>
      </x:c>
      <x:c r="O651" s="26" t="str">
        <x:v>Absent from named inventory</x:v>
      </x:c>
      <x:c r="P651" s="26"/>
      <x:c r="Q651" s="26" t="str">
        <x:v>../Project Recherche Data/tpa-batch01-20260908/selection.json</x:v>
      </x:c>
      <x:c r="R651" s="26" t="str">
        <x:v>047722e4dca24e16c44c810f43990492b2f988012ca2b4bab47826ff4c95f1db</x:v>
      </x:c>
      <x:c r="S651" s="26" t="str">
        <x:v>5a2cbf28aaea3aac4833db380280ba85056877532387abaf80f74d2e0b74bdb2</x:v>
      </x:c>
      <x:c r="T651" s="26" t="str">
        <x:v>afb4b4bae6f05fc1852130ad8e8a1faf2b477b55a3b27f4f4e9762390a39937e</x:v>
      </x:c>
    </x:row>
    <x:row r="652" ht="60" customHeight="1">
      <x:c r="A652" s="26" t="str">
        <x:v>J1931+1536</x:v>
      </x:c>
      <x:c r="B652" s="26" t="str">
        <x:v>B1929+15</x:v>
      </x:c>
      <x:c r="C652" s="26" t="str">
        <x:v>NOT_SEARCHED</x:v>
      </x:c>
      <x:c r="D652" s="26"/>
      <x:c r="E652" s="26" t="str">
        <x:v>No observed search</x:v>
      </x:c>
      <x:c r="F652" s="26" t="str">
        <x:v>Retain exclusion for current scope</x:v>
      </x:c>
      <x:c r="G652" s="26" t="str">
        <x:v>TPA EXCLUDED</x:v>
      </x:c>
      <x:c r="H652" s="27" t="n">
        <x:v>231</x:v>
      </x:c>
      <x:c r="I652" s="27" t="n">
        <x:v>29</x:v>
      </x:c>
      <x:c r="J652" s="28" t="n">
        <x:v>1115.944339634043</x:v>
      </x:c>
      <x:c r="K652" s="26"/>
      <x:c r="L652" s="26" t="str">
        <x:v>insufficient_span_or_epochs</x:v>
      </x:c>
      <x:c r="M652" s="26" t="str">
        <x:v>Absent from named inventory</x:v>
      </x:c>
      <x:c r="N652" s="26" t="str">
        <x:v>Absent from named inventory</x:v>
      </x:c>
      <x:c r="O652" s="26" t="str">
        <x:v>Absent from named inventory</x:v>
      </x:c>
      <x:c r="P652" s="26"/>
      <x:c r="Q652" s="26" t="str">
        <x:v>../Project Recherche Data/tpa-batch01-20260908/selection.json</x:v>
      </x:c>
      <x:c r="R652" s="26" t="str">
        <x:v>047722e4dca24e16c44c810f43990492b2f988012ca2b4bab47826ff4c95f1db</x:v>
      </x:c>
      <x:c r="S652" s="26" t="str">
        <x:v>e92b1151d654c914ffc83adb577e6faaabe6b99264f900328c5dbb9dd168bd99</x:v>
      </x:c>
      <x:c r="T652" s="26" t="str">
        <x:v>c21bfd738b5a67fc1f6d44655cfd4ed5da3acd83973b8cd3d8a07c8c8db7de37</x:v>
      </x:c>
    </x:row>
    <x:row r="653" ht="60" customHeight="1">
      <x:c r="A653" s="26" t="str">
        <x:v>J1932+1059</x:v>
      </x:c>
      <x:c r="B653" s="26" t="str">
        <x:v>B1929+10</x:v>
      </x:c>
      <x:c r="C653" s="26" t="str">
        <x:v>NO_TRIGGER</x:v>
      </x:c>
      <x:c r="D653" s="26" t="str">
        <x:v>utmost-batch04-20260909-J1932+1059-run01</x:v>
      </x:c>
      <x:c r="E653" s="26" t="str">
        <x:v>No qualifying signal in eligible 30–400-day cells</x:v>
      </x:c>
      <x:c r="F653" s="26" t="str">
        <x:v>Retain result; consider independent data or a separately defined new scope</x:v>
      </x:c>
      <x:c r="G653" s="26" t="str">
        <x:v>UTMOST SEARCHED</x:v>
      </x:c>
      <x:c r="H653" s="27" t="n">
        <x:v>424</x:v>
      </x:c>
      <x:c r="I653" s="27" t="n">
        <x:v>53</x:v>
      </x:c>
      <x:c r="J653" s="28" t="n">
        <x:v>1272.567185218053</x:v>
      </x:c>
      <x:c r="K653" s="26" t="str">
        <x:v>tpa-batch07-20260908</x:v>
      </x:c>
      <x:c r="L653" s="26"/>
      <x:c r="M653" s="26" t="str">
        <x:v>Present</x:v>
      </x:c>
      <x:c r="N653" s="26" t="str">
        <x:v>Absent from named inventory</x:v>
      </x:c>
      <x:c r="O653" s="26" t="str">
        <x:v>Absent from named inventory</x:v>
      </x:c>
      <x:c r="P653" s="26"/>
      <x:c r="Q653" s="26" t="str">
        <x:v>../Project Recherche Data/tpa-batch07-20260908/selection.json</x:v>
      </x:c>
      <x:c r="R653" s="26" t="str">
        <x:v>a0944d5da0924367a8ed78a56de7826f64b6d517eb7c66fa044c452abc4894a7</x:v>
      </x:c>
      <x:c r="S653" s="26" t="str">
        <x:v>33c02fa71cc7aa22852f5bcf27ea0dba296b63d640de9e3865e383e01ed12884</x:v>
      </x:c>
      <x:c r="T653" s="26" t="str">
        <x:v>4251eb9ae19b92a339f5b0519f52fae778e247a0a61e80831804e204584e1491</x:v>
      </x:c>
    </x:row>
    <x:row r="654" ht="60" customHeight="1">
      <x:c r="A654" s="26" t="str">
        <x:v>J1932-3655</x:v>
      </x:c>
      <x:c r="B654" s="26" t="str"/>
      <x:c r="C654" s="26" t="str">
        <x:v>NO_TRIGGER</x:v>
      </x:c>
      <x:c r="D654" s="26" t="str">
        <x:v>tpa-batch04-20260908-J1932-3655-run01</x:v>
      </x:c>
      <x:c r="E654" s="26" t="str">
        <x:v>No qualifying signal in eligible 30–400-day cells</x:v>
      </x:c>
      <x:c r="F654" s="26" t="str">
        <x:v>Retain result; consider independent data or a separately defined new scope</x:v>
      </x:c>
      <x:c r="G654" s="26" t="str">
        <x:v>SEARCHED</x:v>
      </x:c>
      <x:c r="H654" s="27" t="n">
        <x:v>406</x:v>
      </x:c>
      <x:c r="I654" s="27" t="n">
        <x:v>51</x:v>
      </x:c>
      <x:c r="J654" s="28" t="n">
        <x:v>1291.6410463200882</x:v>
      </x:c>
      <x:c r="K654" s="26" t="str">
        <x:v>tpa-batch04-20260908</x:v>
      </x:c>
      <x:c r="L654" s="26"/>
      <x:c r="M654" s="26" t="str">
        <x:v>Absent from named inventory</x:v>
      </x:c>
      <x:c r="N654" s="26" t="str">
        <x:v>Absent from named inventory</x:v>
      </x:c>
      <x:c r="O654" s="26" t="str">
        <x:v>Absent from named inventory</x:v>
      </x:c>
      <x:c r="P654" s="26"/>
      <x:c r="Q654" s="26" t="str">
        <x:v>../Project Recherche Data/tpa-batch04-20260908/selection.json</x:v>
      </x:c>
      <x:c r="R654" s="26" t="str">
        <x:v>88cb06482cd14a2f65e966c23ca1cdea20fdeb356fd59137885e0ec5f3b47d1a</x:v>
      </x:c>
      <x:c r="S654" s="26" t="str">
        <x:v>fd6af24eea43de0f548595a7f12962752a13fe424cf01642bdcee1a1a96dd28c</x:v>
      </x:c>
      <x:c r="T654" s="26" t="str">
        <x:v>45611f5e64e02e4378db3279f1a8b9cb96634870ae2ce70e9453a2c69941bfa6</x:v>
      </x:c>
    </x:row>
    <x:row r="655" ht="60" customHeight="1">
      <x:c r="A655" s="26" t="str">
        <x:v>J1933+1304</x:v>
      </x:c>
      <x:c r="B655" s="26" t="str">
        <x:v>B1930+13</x:v>
      </x:c>
      <x:c r="C655" s="26" t="str">
        <x:v>NOT_SEARCHED</x:v>
      </x:c>
      <x:c r="D655" s="26"/>
      <x:c r="E655" s="26" t="str">
        <x:v>No observed search</x:v>
      </x:c>
      <x:c r="F655" s="26" t="str">
        <x:v>Retain exclusion for current scope</x:v>
      </x:c>
      <x:c r="G655" s="26" t="str">
        <x:v>TPA EXCLUDED</x:v>
      </x:c>
      <x:c r="H655" s="27" t="n">
        <x:v>224</x:v>
      </x:c>
      <x:c r="I655" s="27" t="n">
        <x:v>28</x:v>
      </x:c>
      <x:c r="J655" s="28" t="n">
        <x:v>1094.8622182951149</x:v>
      </x:c>
      <x:c r="K655" s="26"/>
      <x:c r="L655" s="26" t="str">
        <x:v>insufficient_span_or_epochs</x:v>
      </x:c>
      <x:c r="M655" s="26" t="str">
        <x:v>Absent from named inventory</x:v>
      </x:c>
      <x:c r="N655" s="26" t="str">
        <x:v>Absent from named inventory</x:v>
      </x:c>
      <x:c r="O655" s="26" t="str">
        <x:v>Absent from named inventory</x:v>
      </x:c>
      <x:c r="P655" s="26"/>
      <x:c r="Q655" s="26" t="str">
        <x:v>../Project Recherche Data/tpa-batch01-20260908/selection.json</x:v>
      </x:c>
      <x:c r="R655" s="26" t="str">
        <x:v>047722e4dca24e16c44c810f43990492b2f988012ca2b4bab47826ff4c95f1db</x:v>
      </x:c>
      <x:c r="S655" s="26" t="str">
        <x:v>5c1f58b84e175631ca658ceea23be8cbab7517b2aff3833b86414c1a17d5b438</x:v>
      </x:c>
      <x:c r="T655" s="26" t="str">
        <x:v>cc8909091e6021b4c273867eba9e76ef2cf71a0fa1bab648d00a4bf2f291dd6f</x:v>
      </x:c>
    </x:row>
    <x:row r="656" ht="60" customHeight="1">
      <x:c r="A656" s="26" t="str">
        <x:v>J1935+1616</x:v>
      </x:c>
      <x:c r="B656" s="26" t="str">
        <x:v>B1933+16</x:v>
      </x:c>
      <x:c r="C656" s="26" t="str">
        <x:v>NOT_SEARCHED</x:v>
      </x:c>
      <x:c r="D656" s="26"/>
      <x:c r="E656" s="26" t="str">
        <x:v>No observed search</x:v>
      </x:c>
      <x:c r="F656" s="26" t="str">
        <x:v>Retain exclusion for current scope</x:v>
      </x:c>
      <x:c r="G656" s="26" t="str">
        <x:v>TPA EXCLUDED</x:v>
      </x:c>
      <x:c r="H656" s="27" t="n">
        <x:v>232</x:v>
      </x:c>
      <x:c r="I656" s="27" t="n">
        <x:v>29</x:v>
      </x:c>
      <x:c r="J656" s="28" t="n">
        <x:v>1272.5755846673856</x:v>
      </x:c>
      <x:c r="K656" s="26"/>
      <x:c r="L656" s="26" t="str">
        <x:v>insufficient_span_or_epochs</x:v>
      </x:c>
      <x:c r="M656" s="26" t="str">
        <x:v>Present</x:v>
      </x:c>
      <x:c r="N656" s="26" t="str">
        <x:v>Absent from named inventory</x:v>
      </x:c>
      <x:c r="O656" s="26" t="str">
        <x:v>Absent from named inventory</x:v>
      </x:c>
      <x:c r="P656" s="26"/>
      <x:c r="Q656" s="26" t="str">
        <x:v>../Project Recherche Data/tpa-batch01-20260908/selection.json</x:v>
      </x:c>
      <x:c r="R656" s="26" t="str">
        <x:v>047722e4dca24e16c44c810f43990492b2f988012ca2b4bab47826ff4c95f1db</x:v>
      </x:c>
      <x:c r="S656" s="26" t="str">
        <x:v>4572871af47e33b149ffc5e4ab86f52a1669192ac0844259c62ce063ed997c9f</x:v>
      </x:c>
      <x:c r="T656" s="26" t="str">
        <x:v>27b2c73f358ea60f3de484dea4f632d3d0df40e4781b1e9181551d8e3b4ddadd</x:v>
      </x:c>
    </x:row>
    <x:row r="657" ht="60" customHeight="1">
      <x:c r="A657" s="26" t="str">
        <x:v>J1935+2025</x:v>
      </x:c>
      <x:c r="B657" s="26" t="str"/>
      <x:c r="C657" s="26" t="str">
        <x:v>NOT_SEARCHED</x:v>
      </x:c>
      <x:c r="D657" s="26"/>
      <x:c r="E657" s="26" t="str">
        <x:v>No observed search</x:v>
      </x:c>
      <x:c r="F657" s="26" t="str">
        <x:v>Retain exclusion for current scope</x:v>
      </x:c>
      <x:c r="G657" s="26" t="str">
        <x:v>TPA EXCLUDED</x:v>
      </x:c>
      <x:c r="H657" s="27" t="n">
        <x:v>232</x:v>
      </x:c>
      <x:c r="I657" s="27" t="n">
        <x:v>29</x:v>
      </x:c>
      <x:c r="J657" s="28" t="n">
        <x:v>1141.9905368449836</x:v>
      </x:c>
      <x:c r="K657" s="26"/>
      <x:c r="L657" s="26" t="str">
        <x:v>published_glitch, insufficient_span_or_epochs</x:v>
      </x:c>
      <x:c r="M657" s="26" t="str">
        <x:v>Present</x:v>
      </x:c>
      <x:c r="N657" s="26" t="str">
        <x:v>Absent from named inventory</x:v>
      </x:c>
      <x:c r="O657" s="26" t="str">
        <x:v>Absent from named inventory</x:v>
      </x:c>
      <x:c r="P657" s="26"/>
      <x:c r="Q657" s="26" t="str">
        <x:v>../Project Recherche Data/tpa-batch01-20260908/selection.json</x:v>
      </x:c>
      <x:c r="R657" s="26" t="str">
        <x:v>047722e4dca24e16c44c810f43990492b2f988012ca2b4bab47826ff4c95f1db</x:v>
      </x:c>
      <x:c r="S657" s="26" t="str">
        <x:v>79555e482ebcc3346dc14d1371fda81d6f7969a05a331eb572b03df90bb83972</x:v>
      </x:c>
      <x:c r="T657" s="26" t="str">
        <x:v>2b9dcd8f734073a1ce9ca300127610660454a2a0b75b2f53e6944603bebfe59d</x:v>
      </x:c>
    </x:row>
    <x:row r="658" ht="60" customHeight="1">
      <x:c r="A658" s="26" t="str">
        <x:v>J1941-2602</x:v>
      </x:c>
      <x:c r="B658" s="26" t="str">
        <x:v>B1937-26</x:v>
      </x:c>
      <x:c r="C658" s="26" t="str">
        <x:v>NOT_SEARCHED</x:v>
      </x:c>
      <x:c r="D658" s="26"/>
      <x:c r="E658" s="26" t="str">
        <x:v>No observed search</x:v>
      </x:c>
      <x:c r="F658" s="26" t="str">
        <x:v>Retain exclusion for current scope</x:v>
      </x:c>
      <x:c r="G658" s="26" t="str">
        <x:v>TPA EXCLUDED</x:v>
      </x:c>
      <x:c r="H658" s="27" t="n">
        <x:v>96</x:v>
      </x:c>
      <x:c r="I658" s="27" t="n">
        <x:v>12</x:v>
      </x:c>
      <x:c r="J658" s="28" t="n">
        <x:v>491.3927832083864</x:v>
      </x:c>
      <x:c r="K658" s="26"/>
      <x:c r="L658" s="26" t="str">
        <x:v>insufficient_span_or_epochs</x:v>
      </x:c>
      <x:c r="M658" s="26" t="str">
        <x:v>Present</x:v>
      </x:c>
      <x:c r="N658" s="26" t="str">
        <x:v>Absent from named inventory</x:v>
      </x:c>
      <x:c r="O658" s="26" t="str">
        <x:v>Absent from named inventory</x:v>
      </x:c>
      <x:c r="P658" s="26"/>
      <x:c r="Q658" s="26" t="str">
        <x:v>../Project Recherche Data/tpa-batch01-20260908/selection.json</x:v>
      </x:c>
      <x:c r="R658" s="26" t="str">
        <x:v>047722e4dca24e16c44c810f43990492b2f988012ca2b4bab47826ff4c95f1db</x:v>
      </x:c>
      <x:c r="S658" s="26" t="str">
        <x:v>421d76ce6d105c11daea1f8b301a9a93c402e0f91506c0addc57bd4541890a8d</x:v>
      </x:c>
      <x:c r="T658" s="26" t="str">
        <x:v>cc14505d9280985c674895446f6c1a13cdfac2558cdf636c76e4b4de1f8df92c</x:v>
      </x:c>
    </x:row>
    <x:row r="659" ht="60" customHeight="1">
      <x:c r="A659" s="26" t="str">
        <x:v>J1943+0609</x:v>
      </x:c>
      <x:c r="B659" s="26" t="str"/>
      <x:c r="C659" s="26" t="str">
        <x:v>NO_TRIGGER</x:v>
      </x:c>
      <x:c r="D659" s="26" t="str">
        <x:v>tpa-batch03-20260908-J1943+0609-run01</x:v>
      </x:c>
      <x:c r="E659" s="26" t="str">
        <x:v>No qualifying signal in eligible 30–400-day cells</x:v>
      </x:c>
      <x:c r="F659" s="26" t="str">
        <x:v>Retain result; consider independent data or a separately defined new scope</x:v>
      </x:c>
      <x:c r="G659" s="26" t="str">
        <x:v>SEARCHED</x:v>
      </x:c>
      <x:c r="H659" s="27" t="n">
        <x:v>424</x:v>
      </x:c>
      <x:c r="I659" s="27" t="n">
        <x:v>53</x:v>
      </x:c>
      <x:c r="J659" s="28" t="n">
        <x:v>1272.523652050033</x:v>
      </x:c>
      <x:c r="K659" s="26" t="str">
        <x:v>tpa-batch03-20260908</x:v>
      </x:c>
      <x:c r="L659" s="26"/>
      <x:c r="M659" s="26" t="str">
        <x:v>Absent from named inventory</x:v>
      </x:c>
      <x:c r="N659" s="26" t="str">
        <x:v>Absent from named inventory</x:v>
      </x:c>
      <x:c r="O659" s="26" t="str">
        <x:v>Absent from named inventory</x:v>
      </x:c>
      <x:c r="P659" s="26"/>
      <x:c r="Q659" s="26" t="str">
        <x:v>../Project Recherche Data/tpa-batch03-20260908/selection.json</x:v>
      </x:c>
      <x:c r="R659" s="26" t="str">
        <x:v>1cf7dc46e02f8f80971416baec3f4bb7357340d0174269b7b50fc11887c0df28</x:v>
      </x:c>
      <x:c r="S659" s="26" t="str">
        <x:v>e8122db1edf69f7bdf8f1c50cda8939c7c43916c0adbed65b5c55b4bf317a9df</x:v>
      </x:c>
      <x:c r="T659" s="26" t="str">
        <x:v>741f698a531b4517e57ce7ddd894b52bbb0d678d8643c887cd6a54e9a0661d31</x:v>
      </x:c>
    </x:row>
    <x:row r="660" ht="60" customHeight="1">
      <x:c r="A660" s="26" t="str">
        <x:v>J1943-1237</x:v>
      </x:c>
      <x:c r="B660" s="26" t="str">
        <x:v>B1940-12</x:v>
      </x:c>
      <x:c r="C660" s="26" t="str">
        <x:v>NOT_SEARCHED</x:v>
      </x:c>
      <x:c r="D660" s="26"/>
      <x:c r="E660" s="26" t="str">
        <x:v>No observed search</x:v>
      </x:c>
      <x:c r="F660" s="26" t="str">
        <x:v>Retain exclusion for current scope</x:v>
      </x:c>
      <x:c r="G660" s="26" t="str">
        <x:v>TPA EXCLUDED</x:v>
      </x:c>
      <x:c r="H660" s="27" t="n">
        <x:v>222</x:v>
      </x:c>
      <x:c r="I660" s="27" t="n">
        <x:v>28</x:v>
      </x:c>
      <x:c r="J660" s="28" t="n">
        <x:v>1244.4285905098295</x:v>
      </x:c>
      <x:c r="K660" s="26"/>
      <x:c r="L660" s="26" t="str">
        <x:v>insufficient_span_or_epochs</x:v>
      </x:c>
      <x:c r="M660" s="26" t="str">
        <x:v>Present</x:v>
      </x:c>
      <x:c r="N660" s="26" t="str">
        <x:v>Absent from named inventory</x:v>
      </x:c>
      <x:c r="O660" s="26" t="str">
        <x:v>Absent from named inventory</x:v>
      </x:c>
      <x:c r="P660" s="26"/>
      <x:c r="Q660" s="26" t="str">
        <x:v>../Project Recherche Data/tpa-batch01-20260908/selection.json</x:v>
      </x:c>
      <x:c r="R660" s="26" t="str">
        <x:v>047722e4dca24e16c44c810f43990492b2f988012ca2b4bab47826ff4c95f1db</x:v>
      </x:c>
      <x:c r="S660" s="26" t="str">
        <x:v>b0d2189fc4ed5eafbac6aee9a5ecf32314acd3c54e028efdd14099f256f8ac9b</x:v>
      </x:c>
      <x:c r="T660" s="26" t="str">
        <x:v>6c45d139c1c438b193a46d2c1689a0eeac5a678ce8a69e88e6a3b269c7625dac</x:v>
      </x:c>
    </x:row>
    <x:row r="661" ht="60" customHeight="1">
      <x:c r="A661" s="26" t="str">
        <x:v>J1945-0040</x:v>
      </x:c>
      <x:c r="B661" s="26" t="str">
        <x:v>B1942-00</x:v>
      </x:c>
      <x:c r="C661" s="26" t="str">
        <x:v>NO_TRIGGER</x:v>
      </x:c>
      <x:c r="D661" s="26" t="str">
        <x:v>tpa-batch09-20260908-J1945-0040-run01</x:v>
      </x:c>
      <x:c r="E661" s="26" t="str">
        <x:v>No qualifying signal in eligible 30–400-day cells</x:v>
      </x:c>
      <x:c r="F661" s="26" t="str">
        <x:v>Retain result; consider independent data or a separately defined new scope</x:v>
      </x:c>
      <x:c r="G661" s="26" t="str">
        <x:v>SEARCHED</x:v>
      </x:c>
      <x:c r="H661" s="27" t="n">
        <x:v>415</x:v>
      </x:c>
      <x:c r="I661" s="27" t="n">
        <x:v>52</x:v>
      </x:c>
      <x:c r="J661" s="28" t="n">
        <x:v>1272.505858615732</x:v>
      </x:c>
      <x:c r="K661" s="26" t="str">
        <x:v>tpa-batch09-20260908</x:v>
      </x:c>
      <x:c r="L661" s="26"/>
      <x:c r="M661" s="26" t="str">
        <x:v>Present</x:v>
      </x:c>
      <x:c r="N661" s="26" t="str">
        <x:v>Absent from named inventory</x:v>
      </x:c>
      <x:c r="O661" s="26" t="str">
        <x:v>Absent from named inventory</x:v>
      </x:c>
      <x:c r="P661" s="26"/>
      <x:c r="Q661" s="26" t="str">
        <x:v>../Project Recherche Data/tpa-batch09-20260908/selection.json</x:v>
      </x:c>
      <x:c r="R661" s="26" t="str">
        <x:v>395304d24c4ccc368723e19c91081b318fa94afe187f103f7b2ae19ebdbfa4d6</x:v>
      </x:c>
      <x:c r="S661" s="26" t="str">
        <x:v>3eed58f26df4caf0afd42923001bbb8586a9d761958e804ebba5b10936a328ef</x:v>
      </x:c>
      <x:c r="T661" s="26" t="str">
        <x:v>f42536e4e072f8c1bb9b6188d4fd71078dcd95e9b7acd673d1886fffcd8e39be</x:v>
      </x:c>
    </x:row>
    <x:row r="662" ht="60" customHeight="1">
      <x:c r="A662" s="26" t="str">
        <x:v>J1946+1805</x:v>
      </x:c>
      <x:c r="B662" s="26" t="str">
        <x:v>B1944+17</x:v>
      </x:c>
      <x:c r="C662" s="26" t="str">
        <x:v>NO_TRIGGER</x:v>
      </x:c>
      <x:c r="D662" s="26" t="str">
        <x:v>tpa-batch09-20260908-J1946+1805-run01</x:v>
      </x:c>
      <x:c r="E662" s="26" t="str">
        <x:v>No qualifying signal in eligible 30–400-day cells</x:v>
      </x:c>
      <x:c r="F662" s="26" t="str">
        <x:v>Retain result; consider independent data or a separately defined new scope</x:v>
      </x:c>
      <x:c r="G662" s="26" t="str">
        <x:v>SEARCHED</x:v>
      </x:c>
      <x:c r="H662" s="27" t="n">
        <x:v>408</x:v>
      </x:c>
      <x:c r="I662" s="27" t="n">
        <x:v>51</x:v>
      </x:c>
      <x:c r="J662" s="28" t="n">
        <x:v>1272.4978745289627</x:v>
      </x:c>
      <x:c r="K662" s="26" t="str">
        <x:v>tpa-batch09-20260908</x:v>
      </x:c>
      <x:c r="L662" s="26"/>
      <x:c r="M662" s="26" t="str">
        <x:v>Present</x:v>
      </x:c>
      <x:c r="N662" s="26" t="str">
        <x:v>Absent from named inventory</x:v>
      </x:c>
      <x:c r="O662" s="26" t="str">
        <x:v>Absent from named inventory</x:v>
      </x:c>
      <x:c r="P662" s="26"/>
      <x:c r="Q662" s="26" t="str">
        <x:v>../Project Recherche Data/tpa-batch09-20260908/selection.json</x:v>
      </x:c>
      <x:c r="R662" s="26" t="str">
        <x:v>395304d24c4ccc368723e19c91081b318fa94afe187f103f7b2ae19ebdbfa4d6</x:v>
      </x:c>
      <x:c r="S662" s="26" t="str">
        <x:v>490b7b47b4eed07ad01aa3413910dc479de9aadae98bbe9030d045d4acf9a182</x:v>
      </x:c>
      <x:c r="T662" s="26" t="str">
        <x:v>58f06de5e5721b444068a1a07d19f01218f3e664a5a120fd2c562bfaab420372</x:v>
      </x:c>
    </x:row>
    <x:row r="663" ht="60" customHeight="1">
      <x:c r="A663" s="26" t="str">
        <x:v>J1946-1312</x:v>
      </x:c>
      <x:c r="B663" s="26" t="str"/>
      <x:c r="C663" s="26" t="str">
        <x:v>NOT_SEARCHED</x:v>
      </x:c>
      <x:c r="D663" s="26"/>
      <x:c r="E663" s="26" t="str">
        <x:v>No observed search</x:v>
      </x:c>
      <x:c r="F663" s="26" t="str">
        <x:v>Retain exclusion for current scope</x:v>
      </x:c>
      <x:c r="G663" s="26" t="str">
        <x:v>TPA EXCLUDED</x:v>
      </x:c>
      <x:c r="H663" s="27" t="n">
        <x:v>424</x:v>
      </x:c>
      <x:c r="I663" s="27" t="n">
        <x:v>55</x:v>
      </x:c>
      <x:c r="J663" s="28" t="n">
        <x:v>1423.1984311643973</x:v>
      </x:c>
      <x:c r="K663" s="26"/>
      <x:c r="L663" s="26" t="str">
        <x:v>harmonic_timing_convention</x:v>
      </x:c>
      <x:c r="M663" s="26" t="str">
        <x:v>Absent from named inventory</x:v>
      </x:c>
      <x:c r="N663" s="26" t="str">
        <x:v>Absent from named inventory</x:v>
      </x:c>
      <x:c r="O663" s="26" t="str">
        <x:v>Absent from named inventory</x:v>
      </x:c>
      <x:c r="P663" s="26"/>
      <x:c r="Q663" s="26" t="str">
        <x:v>../Project Recherche Data/tpa-batch01-20260908/selection.json</x:v>
      </x:c>
      <x:c r="R663" s="26" t="str">
        <x:v>047722e4dca24e16c44c810f43990492b2f988012ca2b4bab47826ff4c95f1db</x:v>
      </x:c>
      <x:c r="S663" s="26" t="str">
        <x:v>702e7702836935977274d25b868287e18fceb4d755d274085fd84078dc97d8e7</x:v>
      </x:c>
      <x:c r="T663" s="26" t="str">
        <x:v>a6b8504c38448dcd45cd89afad4b1b8f7992da26199f7537c8242f59c16b349f</x:v>
      </x:c>
    </x:row>
    <x:row r="664" ht="60" customHeight="1">
      <x:c r="A664" s="26" t="str">
        <x:v>J1946-2913</x:v>
      </x:c>
      <x:c r="B664" s="26" t="str">
        <x:v>B1943-29</x:v>
      </x:c>
      <x:c r="C664" s="26" t="str">
        <x:v>NOT_SEARCHED</x:v>
      </x:c>
      <x:c r="D664" s="26"/>
      <x:c r="E664" s="26" t="str">
        <x:v>No observed search</x:v>
      </x:c>
      <x:c r="F664" s="26" t="str">
        <x:v>Retain exclusion for current scope</x:v>
      </x:c>
      <x:c r="G664" s="26" t="str">
        <x:v>TPA EXCLUDED</x:v>
      </x:c>
      <x:c r="H664" s="27" t="n">
        <x:v>198</x:v>
      </x:c>
      <x:c r="I664" s="27" t="n">
        <x:v>25</x:v>
      </x:c>
      <x:c r="J664" s="28" t="n">
        <x:v>1141.9971684067496</x:v>
      </x:c>
      <x:c r="K664" s="26"/>
      <x:c r="L664" s="26" t="str">
        <x:v>insufficient_span_or_epochs</x:v>
      </x:c>
      <x:c r="M664" s="26" t="str">
        <x:v>Present</x:v>
      </x:c>
      <x:c r="N664" s="26" t="str">
        <x:v>Absent from named inventory</x:v>
      </x:c>
      <x:c r="O664" s="26" t="str">
        <x:v>Absent from named inventory</x:v>
      </x:c>
      <x:c r="P664" s="26"/>
      <x:c r="Q664" s="26" t="str">
        <x:v>../Project Recherche Data/tpa-batch01-20260908/selection.json</x:v>
      </x:c>
      <x:c r="R664" s="26" t="str">
        <x:v>047722e4dca24e16c44c810f43990492b2f988012ca2b4bab47826ff4c95f1db</x:v>
      </x:c>
      <x:c r="S664" s="26" t="str">
        <x:v>d3981b8173e3e3fae8d13e1c60274fbdd099ce49302bc50f586e78061022f196</x:v>
      </x:c>
      <x:c r="T664" s="26" t="str">
        <x:v>9f81917e7df4c1b3214631c28b6ff186bbd7a844e4a8b2a33544da018eaebdc2</x:v>
      </x:c>
    </x:row>
    <x:row r="665" ht="60" customHeight="1">
      <x:c r="A665" s="26" t="str">
        <x:v>J1949-2524</x:v>
      </x:c>
      <x:c r="B665" s="26" t="str">
        <x:v>B1946-25</x:v>
      </x:c>
      <x:c r="C665" s="26" t="str">
        <x:v>NO_TRIGGER</x:v>
      </x:c>
      <x:c r="D665" s="26" t="str">
        <x:v>tpa-batch09-20260908-J1949-2524-run01</x:v>
      </x:c>
      <x:c r="E665" s="26" t="str">
        <x:v>No qualifying signal in eligible 30–400-day cells</x:v>
      </x:c>
      <x:c r="F665" s="26" t="str">
        <x:v>Retain result; consider independent data or a separately defined new scope</x:v>
      </x:c>
      <x:c r="G665" s="26" t="str">
        <x:v>SEARCHED</x:v>
      </x:c>
      <x:c r="H665" s="27" t="n">
        <x:v>400</x:v>
      </x:c>
      <x:c r="I665" s="27" t="n">
        <x:v>53</x:v>
      </x:c>
      <x:c r="J665" s="28" t="n">
        <x:v>1423.1972649286326</x:v>
      </x:c>
      <x:c r="K665" s="26" t="str">
        <x:v>tpa-batch09-20260908</x:v>
      </x:c>
      <x:c r="L665" s="26"/>
      <x:c r="M665" s="26" t="str">
        <x:v>Present</x:v>
      </x:c>
      <x:c r="N665" s="26" t="str">
        <x:v>Absent from named inventory</x:v>
      </x:c>
      <x:c r="O665" s="26" t="str">
        <x:v>Absent from named inventory</x:v>
      </x:c>
      <x:c r="P665" s="26"/>
      <x:c r="Q665" s="26" t="str">
        <x:v>../Project Recherche Data/tpa-batch09-20260908/selection.json</x:v>
      </x:c>
      <x:c r="R665" s="26" t="str">
        <x:v>395304d24c4ccc368723e19c91081b318fa94afe187f103f7b2ae19ebdbfa4d6</x:v>
      </x:c>
      <x:c r="S665" s="26" t="str">
        <x:v>0e8d3fb1123c23a2d9cdf7cdcc22b60ca6bb3d3d0d226f7af59abac9c6ed91ec</x:v>
      </x:c>
      <x:c r="T665" s="26" t="str">
        <x:v>244d6685808e80653756a0ceae8e66e7539be51b33488c97b5023950aac5f408</x:v>
      </x:c>
    </x:row>
    <x:row r="666" ht="60" customHeight="1">
      <x:c r="A666" s="26" t="str">
        <x:v>J1956+0838</x:v>
      </x:c>
      <x:c r="B666" s="26" t="str"/>
      <x:c r="C666" s="26" t="str">
        <x:v>NOT_SEARCHED</x:v>
      </x:c>
      <x:c r="D666" s="26"/>
      <x:c r="E666" s="26" t="str">
        <x:v>No observed search</x:v>
      </x:c>
      <x:c r="F666" s="26" t="str">
        <x:v>Retain exclusion for current scope</x:v>
      </x:c>
      <x:c r="G666" s="26" t="str">
        <x:v>TPA EXCLUDED</x:v>
      </x:c>
      <x:c r="H666" s="27" t="n">
        <x:v>218</x:v>
      </x:c>
      <x:c r="I666" s="27" t="n">
        <x:v>28</x:v>
      </x:c>
      <x:c r="J666" s="28" t="n">
        <x:v>1272.5277879747664</x:v>
      </x:c>
      <x:c r="K666" s="26"/>
      <x:c r="L666" s="26" t="str">
        <x:v>insufficient_span_or_epochs</x:v>
      </x:c>
      <x:c r="M666" s="26" t="str">
        <x:v>Absent from named inventory</x:v>
      </x:c>
      <x:c r="N666" s="26" t="str">
        <x:v>Absent from named inventory</x:v>
      </x:c>
      <x:c r="O666" s="26" t="str">
        <x:v>Absent from named inventory</x:v>
      </x:c>
      <x:c r="P666" s="26"/>
      <x:c r="Q666" s="26" t="str">
        <x:v>../Project Recherche Data/tpa-batch01-20260908/selection.json</x:v>
      </x:c>
      <x:c r="R666" s="26" t="str">
        <x:v>047722e4dca24e16c44c810f43990492b2f988012ca2b4bab47826ff4c95f1db</x:v>
      </x:c>
      <x:c r="S666" s="26" t="str">
        <x:v>abe503a36549c1585d95a8b5aa7036a4f3cea34c4c4363edd182676b8d5269f6</x:v>
      </x:c>
      <x:c r="T666" s="26" t="str">
        <x:v>5a2b7a91412d052e2b651c92230c8292e934b5e06323bb1ecdc589c6b15daf04</x:v>
      </x:c>
    </x:row>
    <x:row r="667" ht="60" customHeight="1">
      <x:c r="A667" s="26" t="str">
        <x:v>J2005-0020</x:v>
      </x:c>
      <x:c r="B667" s="26" t="str"/>
      <x:c r="C667" s="26" t="str">
        <x:v>NOT_SEARCHED</x:v>
      </x:c>
      <x:c r="D667" s="26"/>
      <x:c r="E667" s="26" t="str">
        <x:v>No observed search</x:v>
      </x:c>
      <x:c r="F667" s="26" t="str">
        <x:v>Retain exclusion for current scope</x:v>
      </x:c>
      <x:c r="G667" s="26" t="str">
        <x:v>TPA EXCLUDED</x:v>
      </x:c>
      <x:c r="H667" s="27" t="n">
        <x:v>205</x:v>
      </x:c>
      <x:c r="I667" s="27" t="n">
        <x:v>28</x:v>
      </x:c>
      <x:c r="J667" s="28" t="n">
        <x:v>1244.41351164769</x:v>
      </x:c>
      <x:c r="K667" s="26"/>
      <x:c r="L667" s="26" t="str">
        <x:v>insufficient_span_or_epochs</x:v>
      </x:c>
      <x:c r="M667" s="26" t="str">
        <x:v>Present</x:v>
      </x:c>
      <x:c r="N667" s="26" t="str">
        <x:v>Absent from named inventory</x:v>
      </x:c>
      <x:c r="O667" s="26" t="str">
        <x:v>Absent from named inventory</x:v>
      </x:c>
      <x:c r="P667" s="26"/>
      <x:c r="Q667" s="26" t="str">
        <x:v>../Project Recherche Data/tpa-batch01-20260908/selection.json</x:v>
      </x:c>
      <x:c r="R667" s="26" t="str">
        <x:v>047722e4dca24e16c44c810f43990492b2f988012ca2b4bab47826ff4c95f1db</x:v>
      </x:c>
      <x:c r="S667" s="26" t="str">
        <x:v>a028d51280c5b930b13246e0afc59b8ac5b1f22749ec8a25f94973053f120e96</x:v>
      </x:c>
      <x:c r="T667" s="26" t="str">
        <x:v>235dc13fcc8a27f859bbb5ee082ebd47f7a77e8bce894d3f634141c6b7546586</x:v>
      </x:c>
    </x:row>
    <x:row r="668" ht="60" customHeight="1">
      <x:c r="A668" s="26" t="str">
        <x:v>J2006-0807</x:v>
      </x:c>
      <x:c r="B668" s="26" t="str">
        <x:v>B2003-08</x:v>
      </x:c>
      <x:c r="C668" s="26" t="str">
        <x:v>NO_TRIGGER</x:v>
      </x:c>
      <x:c r="D668" s="26" t="str">
        <x:v>utmost-batch05-20260909-J2006-0807-run01</x:v>
      </x:c>
      <x:c r="E668" s="26" t="str">
        <x:v>No qualifying signal in eligible 30–400-day cells</x:v>
      </x:c>
      <x:c r="F668" s="26" t="str">
        <x:v>Retain result; consider independent data or a separately defined new scope</x:v>
      </x:c>
      <x:c r="G668" s="26" t="str">
        <x:v>UTMOST SEARCHED</x:v>
      </x:c>
      <x:c r="H668" s="27" t="n">
        <x:v>391</x:v>
      </x:c>
      <x:c r="I668" s="27" t="n">
        <x:v>53</x:v>
      </x:c>
      <x:c r="J668" s="28" t="n">
        <x:v>1254.3943401084616</x:v>
      </x:c>
      <x:c r="K668" s="26" t="str">
        <x:v>tpa-batch10-20260908</x:v>
      </x:c>
      <x:c r="L668" s="26"/>
      <x:c r="M668" s="26" t="str">
        <x:v>Present</x:v>
      </x:c>
      <x:c r="N668" s="26" t="str">
        <x:v>Absent from named inventory</x:v>
      </x:c>
      <x:c r="O668" s="26" t="str">
        <x:v>Absent from named inventory</x:v>
      </x:c>
      <x:c r="P668" s="26"/>
      <x:c r="Q668" s="26" t="str">
        <x:v>../Project Recherche Data/tpa-batch10-20260908/selection.json</x:v>
      </x:c>
      <x:c r="R668" s="26" t="str">
        <x:v>f291b1f7787d65b8a00b6e0862fccba716fb6a5f33f3265ceaca9fa5b1fd2c2a</x:v>
      </x:c>
      <x:c r="S668" s="26" t="str">
        <x:v>bb631aebddfc22e2fd345f083ebe35dc895c00c3b55b3d43b388fbf1c657c8bb</x:v>
      </x:c>
      <x:c r="T668" s="26" t="str">
        <x:v>b530ea64b626956954bd2097074b63699465824291f369859f97019cf645779c</x:v>
      </x:c>
    </x:row>
    <x:row r="669" ht="60" customHeight="1">
      <x:c r="A669" s="26" t="str">
        <x:v>J2037+1942</x:v>
      </x:c>
      <x:c r="B669" s="26" t="str">
        <x:v>B2034+19</x:v>
      </x:c>
      <x:c r="C669" s="26" t="str">
        <x:v>NOT_SEARCHED</x:v>
      </x:c>
      <x:c r="D669" s="26"/>
      <x:c r="E669" s="26" t="str">
        <x:v>No observed search</x:v>
      </x:c>
      <x:c r="F669" s="26" t="str">
        <x:v>Retain exclusion for current scope</x:v>
      </x:c>
      <x:c r="G669" s="26" t="str">
        <x:v>TPA EXCLUDED</x:v>
      </x:c>
      <x:c r="H669" s="27" t="n">
        <x:v>136</x:v>
      </x:c>
      <x:c r="I669" s="27" t="n">
        <x:v>17</x:v>
      </x:c>
      <x:c r="J669" s="28" t="n">
        <x:v>1046.1631296931664</x:v>
      </x:c>
      <x:c r="K669" s="26"/>
      <x:c r="L669" s="26" t="str">
        <x:v>insufficient_span_or_epochs</x:v>
      </x:c>
      <x:c r="M669" s="26" t="str">
        <x:v>Absent from named inventory</x:v>
      </x:c>
      <x:c r="N669" s="26" t="str">
        <x:v>Absent from named inventory</x:v>
      </x:c>
      <x:c r="O669" s="26" t="str">
        <x:v>Absent from named inventory</x:v>
      </x:c>
      <x:c r="P669" s="26"/>
      <x:c r="Q669" s="26" t="str">
        <x:v>../Project Recherche Data/tpa-batch01-20260908/selection.json</x:v>
      </x:c>
      <x:c r="R669" s="26" t="str">
        <x:v>047722e4dca24e16c44c810f43990492b2f988012ca2b4bab47826ff4c95f1db</x:v>
      </x:c>
      <x:c r="S669" s="26" t="str">
        <x:v>50108f9932242376b80cde7d8afb4064629da9952b2a0c67ccaba60ad4bdda81</x:v>
      </x:c>
      <x:c r="T669" s="26" t="str">
        <x:v>84ad0a1e35fa0365efd9153df7c5da5f63431f64d61edda5e8d5c1da23e944ef</x:v>
      </x:c>
    </x:row>
    <x:row r="670" ht="60" customHeight="1">
      <x:c r="A670" s="26" t="str">
        <x:v>J2038-3816</x:v>
      </x:c>
      <x:c r="B670" s="26" t="str"/>
      <x:c r="C670" s="26" t="str">
        <x:v>NOT_SEARCHED</x:v>
      </x:c>
      <x:c r="D670" s="26"/>
      <x:c r="E670" s="26" t="str">
        <x:v>No observed search</x:v>
      </x:c>
      <x:c r="F670" s="26" t="str">
        <x:v>Retain exclusion for current scope</x:v>
      </x:c>
      <x:c r="G670" s="26" t="str">
        <x:v>TPA EXCLUDED</x:v>
      </x:c>
      <x:c r="H670" s="27" t="n">
        <x:v>149</x:v>
      </x:c>
      <x:c r="I670" s="27" t="n">
        <x:v>25</x:v>
      </x:c>
      <x:c r="J670" s="28" t="n">
        <x:v>1196.5471412459956</x:v>
      </x:c>
      <x:c r="K670" s="26"/>
      <x:c r="L670" s="26" t="str">
        <x:v>insufficient_span_or_epochs</x:v>
      </x:c>
      <x:c r="M670" s="26" t="str">
        <x:v>Absent from named inventory</x:v>
      </x:c>
      <x:c r="N670" s="26" t="str">
        <x:v>Absent from named inventory</x:v>
      </x:c>
      <x:c r="O670" s="26" t="str">
        <x:v>Absent from named inventory</x:v>
      </x:c>
      <x:c r="P670" s="26"/>
      <x:c r="Q670" s="26" t="str">
        <x:v>../Project Recherche Data/tpa-batch01-20260908/selection.json</x:v>
      </x:c>
      <x:c r="R670" s="26" t="str">
        <x:v>047722e4dca24e16c44c810f43990492b2f988012ca2b4bab47826ff4c95f1db</x:v>
      </x:c>
      <x:c r="S670" s="26" t="str">
        <x:v>f0440b8d7c70e6fe47fa812a25b308d75a567923d7e337a9412adab3e9637c6c</x:v>
      </x:c>
      <x:c r="T670" s="26" t="str">
        <x:v>5333576a230682c8355c481e8515c0f3067f298896c5571335d4fb917853c00b</x:v>
      </x:c>
    </x:row>
    <x:row r="671" ht="60" customHeight="1">
      <x:c r="A671" s="26" t="str">
        <x:v>J2046+1540</x:v>
      </x:c>
      <x:c r="B671" s="26" t="str">
        <x:v>B2044+15</x:v>
      </x:c>
      <x:c r="C671" s="26" t="str">
        <x:v>NO_TRIGGER</x:v>
      </x:c>
      <x:c r="D671" s="26" t="str">
        <x:v>utmost-batch03-20260909-J2046+1540-run01</x:v>
      </x:c>
      <x:c r="E671" s="26" t="str">
        <x:v>No qualifying signal in eligible 30–400-day cells</x:v>
      </x:c>
      <x:c r="F671" s="26" t="str">
        <x:v>Retain result; consider independent data or a separately defined new scope</x:v>
      </x:c>
      <x:c r="G671" s="26" t="str">
        <x:v>UTMOST SEARCHED</x:v>
      </x:c>
      <x:c r="H671" s="27" t="n">
        <x:v>232</x:v>
      </x:c>
      <x:c r="I671" s="27" t="n">
        <x:v>29</x:v>
      </x:c>
      <x:c r="J671" s="28" t="n">
        <x:v>1272.501416798179</x:v>
      </x:c>
      <x:c r="K671" s="26"/>
      <x:c r="L671" s="26" t="str">
        <x:v>insufficient_span_or_epochs</x:v>
      </x:c>
      <x:c r="M671" s="26" t="str">
        <x:v>Present</x:v>
      </x:c>
      <x:c r="N671" s="26" t="str">
        <x:v>Absent from named inventory</x:v>
      </x:c>
      <x:c r="O671" s="26" t="str">
        <x:v>Absent from named inventory</x:v>
      </x:c>
      <x:c r="P671" s="26"/>
      <x:c r="Q671" s="26" t="str">
        <x:v>../Project Recherche Data/tpa-batch01-20260908/selection.json</x:v>
      </x:c>
      <x:c r="R671" s="26" t="str">
        <x:v>047722e4dca24e16c44c810f43990492b2f988012ca2b4bab47826ff4c95f1db</x:v>
      </x:c>
      <x:c r="S671" s="26" t="str">
        <x:v>a1149c9461592e5a393879a4af190bf3cd7bcadb28feb15c5c6daecbe9b5b9c4</x:v>
      </x:c>
      <x:c r="T671" s="26" t="str">
        <x:v>564058eb81a50c1c15f4e9f58fc65488dd10b3cafb3074ce8d224779583bc51f</x:v>
      </x:c>
    </x:row>
    <x:row r="672" ht="60" customHeight="1">
      <x:c r="A672" s="26" t="str">
        <x:v>J2046-0421</x:v>
      </x:c>
      <x:c r="B672" s="26" t="str">
        <x:v>B2043-04</x:v>
      </x:c>
      <x:c r="C672" s="26" t="str">
        <x:v>NO_TRIGGER</x:v>
      </x:c>
      <x:c r="D672" s="26" t="str">
        <x:v>utmost-batch03-20260909-J2046-0421-run01</x:v>
      </x:c>
      <x:c r="E672" s="26" t="str">
        <x:v>No qualifying signal in eligible 30–400-day cells</x:v>
      </x:c>
      <x:c r="F672" s="26" t="str">
        <x:v>Retain result; consider independent data or a separately defined new scope</x:v>
      </x:c>
      <x:c r="G672" s="26" t="str">
        <x:v>UTMOST SEARCHED</x:v>
      </x:c>
      <x:c r="H672" s="27" t="n">
        <x:v>232</x:v>
      </x:c>
      <x:c r="I672" s="27" t="n">
        <x:v>29</x:v>
      </x:c>
      <x:c r="J672" s="28" t="n">
        <x:v>1272.5530163781004</x:v>
      </x:c>
      <x:c r="K672" s="26"/>
      <x:c r="L672" s="26" t="str">
        <x:v>insufficient_span_or_epochs</x:v>
      </x:c>
      <x:c r="M672" s="26" t="str">
        <x:v>Present</x:v>
      </x:c>
      <x:c r="N672" s="26" t="str">
        <x:v>Absent from named inventory</x:v>
      </x:c>
      <x:c r="O672" s="26" t="str">
        <x:v>Absent from named inventory</x:v>
      </x:c>
      <x:c r="P672" s="26"/>
      <x:c r="Q672" s="26" t="str">
        <x:v>../Project Recherche Data/tpa-batch01-20260908/selection.json</x:v>
      </x:c>
      <x:c r="R672" s="26" t="str">
        <x:v>047722e4dca24e16c44c810f43990492b2f988012ca2b4bab47826ff4c95f1db</x:v>
      </x:c>
      <x:c r="S672" s="26" t="str">
        <x:v>9d5e682e941c3b4c3ef6790f93cc1b4f93efcfa84a832fe8c9b6007e220fb958</x:v>
      </x:c>
      <x:c r="T672" s="26" t="str">
        <x:v>c6cf328173bc641606c7bfff43597f89aa4eac07c7268073cf50d3e9157643e3</x:v>
      </x:c>
    </x:row>
    <x:row r="673" ht="60" customHeight="1">
      <x:c r="A673" s="26" t="str">
        <x:v>J2048-1616</x:v>
      </x:c>
      <x:c r="B673" s="26" t="str">
        <x:v>B2045-16</x:v>
      </x:c>
      <x:c r="C673" s="26" t="str">
        <x:v>NO_TRIGGER</x:v>
      </x:c>
      <x:c r="D673" s="26" t="str">
        <x:v>utmost-batch05-20260909-J2048-1616-run01</x:v>
      </x:c>
      <x:c r="E673" s="26" t="str">
        <x:v>No qualifying signal in eligible 30–400-day cells</x:v>
      </x:c>
      <x:c r="F673" s="26" t="str">
        <x:v>Retain result; consider independent data or a separately defined new scope</x:v>
      </x:c>
      <x:c r="G673" s="26" t="str">
        <x:v>UTMOST SEARCHED</x:v>
      </x:c>
      <x:c r="H673" s="27" t="n">
        <x:v>424</x:v>
      </x:c>
      <x:c r="I673" s="27" t="n">
        <x:v>53</x:v>
      </x:c>
      <x:c r="J673" s="28" t="n">
        <x:v>1260.3684210891515</x:v>
      </x:c>
      <x:c r="K673" s="26" t="str">
        <x:v>tpa-batch08-20260908</x:v>
      </x:c>
      <x:c r="L673" s="26"/>
      <x:c r="M673" s="26" t="str">
        <x:v>Present</x:v>
      </x:c>
      <x:c r="N673" s="26" t="str">
        <x:v>Absent from named inventory</x:v>
      </x:c>
      <x:c r="O673" s="26" t="str">
        <x:v>Absent from named inventory</x:v>
      </x:c>
      <x:c r="P673" s="26"/>
      <x:c r="Q673" s="26" t="str">
        <x:v>../Project Recherche Data/tpa-batch08-20260908/selection.json</x:v>
      </x:c>
      <x:c r="R673" s="26" t="str">
        <x:v>6fe595c0d188861ebc661368dcb361d40c70c01fd3243f0147e51a513ec4e764</x:v>
      </x:c>
      <x:c r="S673" s="26" t="str">
        <x:v>bb64ac82ffb5e962ae9d06fb6d89e20ece75e815d1c4830ec7e40e0706ccceeb</x:v>
      </x:c>
      <x:c r="T673" s="26" t="str">
        <x:v>34464af88f11b6058dd8f041ffd73c50b3d100bf14545163c00ce33f069cbd63</x:v>
      </x:c>
    </x:row>
    <x:row r="674" ht="60" customHeight="1">
      <x:c r="A674" s="26" t="str">
        <x:v>J2053-7200</x:v>
      </x:c>
      <x:c r="B674" s="26" t="str">
        <x:v>B2048-72</x:v>
      </x:c>
      <x:c r="C674" s="26" t="str">
        <x:v>NOT_SEARCHED</x:v>
      </x:c>
      <x:c r="D674" s="26"/>
      <x:c r="E674" s="26" t="str">
        <x:v>No observed search</x:v>
      </x:c>
      <x:c r="F674" s="26" t="str">
        <x:v>Retain exclusion for current scope</x:v>
      </x:c>
      <x:c r="G674" s="26" t="str">
        <x:v>TPA EXCLUDED</x:v>
      </x:c>
      <x:c r="H674" s="27" t="n">
        <x:v>202</x:v>
      </x:c>
      <x:c r="I674" s="27" t="n">
        <x:v>27</x:v>
      </x:c>
      <x:c r="J674" s="28" t="n">
        <x:v>1292.1423903926843</x:v>
      </x:c>
      <x:c r="K674" s="26"/>
      <x:c r="L674" s="26" t="str">
        <x:v>insufficient_span_or_epochs</x:v>
      </x:c>
      <x:c r="M674" s="26" t="str">
        <x:v>Absent from named inventory</x:v>
      </x:c>
      <x:c r="N674" s="26" t="str">
        <x:v>Absent from named inventory</x:v>
      </x:c>
      <x:c r="O674" s="26" t="str">
        <x:v>Absent from named inventory</x:v>
      </x:c>
      <x:c r="P674" s="26"/>
      <x:c r="Q674" s="26" t="str">
        <x:v>../Project Recherche Data/tpa-batch01-20260908/selection.json</x:v>
      </x:c>
      <x:c r="R674" s="26" t="str">
        <x:v>047722e4dca24e16c44c810f43990492b2f988012ca2b4bab47826ff4c95f1db</x:v>
      </x:c>
      <x:c r="S674" s="26" t="str">
        <x:v>ff9b8428e6e01f38c1aba98a42bd804322c09124481b8b3528eebddd6e0cb2d1</x:v>
      </x:c>
      <x:c r="T674" s="26" t="str">
        <x:v>17701d7072d1cf9881bd8bb1d00d2191d0104aa52ded9227bd8f77cf485eedd2</x:v>
      </x:c>
    </x:row>
    <x:row r="675" ht="60" customHeight="1">
      <x:c r="A675" s="26" t="str">
        <x:v>J2108-3429</x:v>
      </x:c>
      <x:c r="B675" s="26" t="str"/>
      <x:c r="C675" s="26" t="str">
        <x:v>NOT_SEARCHED</x:v>
      </x:c>
      <x:c r="D675" s="26"/>
      <x:c r="E675" s="26" t="str">
        <x:v>No observed search</x:v>
      </x:c>
      <x:c r="F675" s="26" t="str">
        <x:v>Retain exclusion for current scope</x:v>
      </x:c>
      <x:c r="G675" s="26" t="str">
        <x:v>TPA EXCLUDED</x:v>
      </x:c>
      <x:c r="H675" s="27" t="n">
        <x:v>187</x:v>
      </x:c>
      <x:c r="I675" s="27" t="n">
        <x:v>26</x:v>
      </x:c>
      <x:c r="J675" s="28" t="n">
        <x:v>1263.3614989072012</x:v>
      </x:c>
      <x:c r="K675" s="26"/>
      <x:c r="L675" s="26" t="str">
        <x:v>insufficient_span_or_epochs</x:v>
      </x:c>
      <x:c r="M675" s="26" t="str">
        <x:v>Present</x:v>
      </x:c>
      <x:c r="N675" s="26" t="str">
        <x:v>Absent from named inventory</x:v>
      </x:c>
      <x:c r="O675" s="26" t="str">
        <x:v>Absent from named inventory</x:v>
      </x:c>
      <x:c r="P675" s="26"/>
      <x:c r="Q675" s="26" t="str">
        <x:v>../Project Recherche Data/tpa-batch01-20260908/selection.json</x:v>
      </x:c>
      <x:c r="R675" s="26" t="str">
        <x:v>047722e4dca24e16c44c810f43990492b2f988012ca2b4bab47826ff4c95f1db</x:v>
      </x:c>
      <x:c r="S675" s="26" t="str">
        <x:v>e8ac19db2050230ddbf8322e367558b8189ba1e1cf409b0056434f22739311c6</x:v>
      </x:c>
      <x:c r="T675" s="26" t="str">
        <x:v>f9c12ef0418ef3a958dff89998428b191de78dbdcb17dd3f1d348aa786e636cc</x:v>
      </x:c>
    </x:row>
    <x:row r="676" ht="60" customHeight="1">
      <x:c r="A676" s="26" t="str">
        <x:v>J2116+1414</x:v>
      </x:c>
      <x:c r="B676" s="26" t="str">
        <x:v>B2113+14</x:v>
      </x:c>
      <x:c r="C676" s="26" t="str">
        <x:v>NOT_SEARCHED</x:v>
      </x:c>
      <x:c r="D676" s="26"/>
      <x:c r="E676" s="26" t="str">
        <x:v>No observed search</x:v>
      </x:c>
      <x:c r="F676" s="26" t="str">
        <x:v>Retain exclusion for current scope</x:v>
      </x:c>
      <x:c r="G676" s="26" t="str">
        <x:v>TPA EXCLUDED</x:v>
      </x:c>
      <x:c r="H676" s="27" t="n">
        <x:v>104</x:v>
      </x:c>
      <x:c r="I676" s="27" t="n">
        <x:v>13</x:v>
      </x:c>
      <x:c r="J676" s="28" t="n">
        <x:v>509.6635479236793</x:v>
      </x:c>
      <x:c r="K676" s="26"/>
      <x:c r="L676" s="26" t="str">
        <x:v>insufficient_span_or_epochs</x:v>
      </x:c>
      <x:c r="M676" s="26" t="str">
        <x:v>Present</x:v>
      </x:c>
      <x:c r="N676" s="26" t="str">
        <x:v>Absent from named inventory</x:v>
      </x:c>
      <x:c r="O676" s="26" t="str">
        <x:v>Absent from named inventory</x:v>
      </x:c>
      <x:c r="P676" s="26"/>
      <x:c r="Q676" s="26" t="str">
        <x:v>../Project Recherche Data/tpa-batch01-20260908/selection.json</x:v>
      </x:c>
      <x:c r="R676" s="26" t="str">
        <x:v>047722e4dca24e16c44c810f43990492b2f988012ca2b4bab47826ff4c95f1db</x:v>
      </x:c>
      <x:c r="S676" s="26" t="str">
        <x:v>660ef96dcbbdc42aa866ddc682362a4e97ceb5fcb82516da905817ff1087a903</x:v>
      </x:c>
      <x:c r="T676" s="26" t="str">
        <x:v>f487999e699727c9bbe48a23246f0405529e365ba46b26b933e8a8915fb2700d</x:v>
      </x:c>
    </x:row>
    <x:row r="677" ht="60" customHeight="1">
      <x:c r="A677" s="26" t="str">
        <x:v>J2124+1407</x:v>
      </x:c>
      <x:c r="B677" s="26" t="str">
        <x:v>B2122+13</x:v>
      </x:c>
      <x:c r="C677" s="26" t="str">
        <x:v>NOT_SEARCHED</x:v>
      </x:c>
      <x:c r="D677" s="26"/>
      <x:c r="E677" s="26" t="str">
        <x:v>No observed search</x:v>
      </x:c>
      <x:c r="F677" s="26" t="str">
        <x:v>Retain exclusion for current scope</x:v>
      </x:c>
      <x:c r="G677" s="26" t="str">
        <x:v>TPA EXCLUDED</x:v>
      </x:c>
      <x:c r="H677" s="27" t="n">
        <x:v>228</x:v>
      </x:c>
      <x:c r="I677" s="27" t="n">
        <x:v>29</x:v>
      </x:c>
      <x:c r="J677" s="28" t="n">
        <x:v>1263.3501319978095</x:v>
      </x:c>
      <x:c r="K677" s="26"/>
      <x:c r="L677" s="26" t="str">
        <x:v>insufficient_span_or_epochs</x:v>
      </x:c>
      <x:c r="M677" s="26" t="str">
        <x:v>Present</x:v>
      </x:c>
      <x:c r="N677" s="26" t="str">
        <x:v>Absent from named inventory</x:v>
      </x:c>
      <x:c r="O677" s="26" t="str">
        <x:v>Absent from named inventory</x:v>
      </x:c>
      <x:c r="P677" s="26"/>
      <x:c r="Q677" s="26" t="str">
        <x:v>../Project Recherche Data/tpa-batch01-20260908/selection.json</x:v>
      </x:c>
      <x:c r="R677" s="26" t="str">
        <x:v>047722e4dca24e16c44c810f43990492b2f988012ca2b4bab47826ff4c95f1db</x:v>
      </x:c>
      <x:c r="S677" s="26" t="str">
        <x:v>411f84085a14528b914598d7fc889eb8421561887e478b37330dce7b43ac3fc9</x:v>
      </x:c>
      <x:c r="T677" s="26" t="str">
        <x:v>284b6dc60c43e8cff5786823c9eee4ebbfbd944093d26a00f47ade670f3f0276</x:v>
      </x:c>
    </x:row>
    <x:row r="678" ht="60" customHeight="1">
      <x:c r="A678" s="26" t="str">
        <x:v>J2127-6648</x:v>
      </x:c>
      <x:c r="B678" s="26" t="str">
        <x:v>B2123-67</x:v>
      </x:c>
      <x:c r="C678" s="26" t="str">
        <x:v>NOT_SEARCHED</x:v>
      </x:c>
      <x:c r="D678" s="26"/>
      <x:c r="E678" s="26" t="str">
        <x:v>No observed search</x:v>
      </x:c>
      <x:c r="F678" s="26" t="str">
        <x:v>Retain exclusion for current scope</x:v>
      </x:c>
      <x:c r="G678" s="26" t="str">
        <x:v>TPA EXCLUDED</x:v>
      </x:c>
      <x:c r="H678" s="27" t="n">
        <x:v>203</x:v>
      </x:c>
      <x:c r="I678" s="27" t="n">
        <x:v>26</x:v>
      </x:c>
      <x:c r="J678" s="28" t="n">
        <x:v>1263.3599980276776</x:v>
      </x:c>
      <x:c r="K678" s="26"/>
      <x:c r="L678" s="26" t="str">
        <x:v>insufficient_span_or_epochs</x:v>
      </x:c>
      <x:c r="M678" s="26" t="str">
        <x:v>Absent from named inventory</x:v>
      </x:c>
      <x:c r="N678" s="26" t="str">
        <x:v>Absent from named inventory</x:v>
      </x:c>
      <x:c r="O678" s="26" t="str">
        <x:v>Absent from named inventory</x:v>
      </x:c>
      <x:c r="P678" s="26"/>
      <x:c r="Q678" s="26" t="str">
        <x:v>../Project Recherche Data/tpa-batch01-20260908/selection.json</x:v>
      </x:c>
      <x:c r="R678" s="26" t="str">
        <x:v>047722e4dca24e16c44c810f43990492b2f988012ca2b4bab47826ff4c95f1db</x:v>
      </x:c>
      <x:c r="S678" s="26" t="str">
        <x:v>8c069c541d150b997ea707044144a0a3ae225b161791980ebee7c5aed401d555</x:v>
      </x:c>
      <x:c r="T678" s="26" t="str">
        <x:v>21fcd9aac25f6684f2a4bf9d84319dd860eff5c23d9fbfa88ee16dffd72a891e</x:v>
      </x:c>
    </x:row>
    <x:row r="679" ht="60" customHeight="1">
      <x:c r="A679" s="26" t="str">
        <x:v>J2136-1606</x:v>
      </x:c>
      <x:c r="B679" s="26" t="str"/>
      <x:c r="C679" s="26" t="str">
        <x:v>NOT_SEARCHED</x:v>
      </x:c>
      <x:c r="D679" s="26"/>
      <x:c r="E679" s="26" t="str">
        <x:v>No observed search</x:v>
      </x:c>
      <x:c r="F679" s="26" t="str">
        <x:v>Retain exclusion for current scope</x:v>
      </x:c>
      <x:c r="G679" s="26" t="str">
        <x:v>TPA EXCLUDED</x:v>
      </x:c>
      <x:c r="H679" s="27" t="n">
        <x:v>168</x:v>
      </x:c>
      <x:c r="I679" s="27" t="n">
        <x:v>28</x:v>
      </x:c>
      <x:c r="J679" s="28" t="n">
        <x:v>1263.359106194781</x:v>
      </x:c>
      <x:c r="K679" s="26"/>
      <x:c r="L679" s="26" t="str">
        <x:v>insufficient_span_or_epochs</x:v>
      </x:c>
      <x:c r="M679" s="26" t="str">
        <x:v>Absent from named inventory</x:v>
      </x:c>
      <x:c r="N679" s="26" t="str">
        <x:v>Absent from named inventory</x:v>
      </x:c>
      <x:c r="O679" s="26" t="str">
        <x:v>Absent from named inventory</x:v>
      </x:c>
      <x:c r="P679" s="26"/>
      <x:c r="Q679" s="26" t="str">
        <x:v>../Project Recherche Data/tpa-batch01-20260908/selection.json</x:v>
      </x:c>
      <x:c r="R679" s="26" t="str">
        <x:v>047722e4dca24e16c44c810f43990492b2f988012ca2b4bab47826ff4c95f1db</x:v>
      </x:c>
      <x:c r="S679" s="26" t="str">
        <x:v>321a55fc397e64ffcbcd92ec5060f1a20e42d76d7f318caba908a2eb763e13c4</x:v>
      </x:c>
      <x:c r="T679" s="26" t="str">
        <x:v>ca09eba5cbcffbe9581e83905cbf89825e3232d1742600f8b50da8fe5e402531</x:v>
      </x:c>
    </x:row>
    <x:row r="680" ht="60" customHeight="1">
      <x:c r="A680" s="26" t="str">
        <x:v>J2155-3118</x:v>
      </x:c>
      <x:c r="B680" s="26" t="str">
        <x:v>B2152-31</x:v>
      </x:c>
      <x:c r="C680" s="26" t="str">
        <x:v>NO_TRIGGER</x:v>
      </x:c>
      <x:c r="D680" s="26" t="str">
        <x:v>tpa-batch09-20260908-J2155-3118-run01</x:v>
      </x:c>
      <x:c r="E680" s="26" t="str">
        <x:v>No qualifying signal in eligible 30–400-day cells</x:v>
      </x:c>
      <x:c r="F680" s="26" t="str">
        <x:v>Retain result; consider independent data or a separately defined new scope</x:v>
      </x:c>
      <x:c r="G680" s="26" t="str">
        <x:v>SEARCHED</x:v>
      </x:c>
      <x:c r="H680" s="27" t="n">
        <x:v>373</x:v>
      </x:c>
      <x:c r="I680" s="27" t="n">
        <x:v>52</x:v>
      </x:c>
      <x:c r="J680" s="28" t="n">
        <x:v>1247.3625977596093</x:v>
      </x:c>
      <x:c r="K680" s="26" t="str">
        <x:v>tpa-batch09-20260908</x:v>
      </x:c>
      <x:c r="L680" s="26"/>
      <x:c r="M680" s="26" t="str">
        <x:v>Present</x:v>
      </x:c>
      <x:c r="N680" s="26" t="str">
        <x:v>Absent from named inventory</x:v>
      </x:c>
      <x:c r="O680" s="26" t="str">
        <x:v>Absent from named inventory</x:v>
      </x:c>
      <x:c r="P680" s="26"/>
      <x:c r="Q680" s="26" t="str">
        <x:v>../Project Recherche Data/tpa-batch09-20260908/selection.json</x:v>
      </x:c>
      <x:c r="R680" s="26" t="str">
        <x:v>395304d24c4ccc368723e19c91081b318fa94afe187f103f7b2ae19ebdbfa4d6</x:v>
      </x:c>
      <x:c r="S680" s="26" t="str">
        <x:v>df70b305bf158fbaa892789b55195c9cd07f074217131066c7b74b6177cbae5a</x:v>
      </x:c>
      <x:c r="T680" s="26" t="str">
        <x:v>900c3a45221641d5a67edbd78ba3791f7db1e0227a4fd4c5a195748b52476f7e</x:v>
      </x:c>
    </x:row>
    <x:row r="681" ht="60" customHeight="1">
      <x:c r="A681" s="26" t="str">
        <x:v>J2215+1538</x:v>
      </x:c>
      <x:c r="B681" s="26" t="str"/>
      <x:c r="C681" s="26" t="str">
        <x:v>NOT_SEARCHED</x:v>
      </x:c>
      <x:c r="D681" s="26"/>
      <x:c r="E681" s="26" t="str">
        <x:v>No observed search</x:v>
      </x:c>
      <x:c r="F681" s="26" t="str">
        <x:v>Retain exclusion for current scope</x:v>
      </x:c>
      <x:c r="G681" s="26" t="str">
        <x:v>TPA EXCLUDED</x:v>
      </x:c>
      <x:c r="H681" s="27" t="n">
        <x:v>104</x:v>
      </x:c>
      <x:c r="I681" s="27" t="n">
        <x:v>13</x:v>
      </x:c>
      <x:c r="J681" s="28" t="n">
        <x:v>500.51098156010994</x:v>
      </x:c>
      <x:c r="K681" s="26"/>
      <x:c r="L681" s="26" t="str">
        <x:v>insufficient_span_or_epochs</x:v>
      </x:c>
      <x:c r="M681" s="26" t="str">
        <x:v>Absent from named inventory</x:v>
      </x:c>
      <x:c r="N681" s="26" t="str">
        <x:v>Absent from named inventory</x:v>
      </x:c>
      <x:c r="O681" s="26" t="str">
        <x:v>Absent from named inventory</x:v>
      </x:c>
      <x:c r="P681" s="26"/>
      <x:c r="Q681" s="26" t="str">
        <x:v>../Project Recherche Data/tpa-batch01-20260908/selection.json</x:v>
      </x:c>
      <x:c r="R681" s="26" t="str">
        <x:v>047722e4dca24e16c44c810f43990492b2f988012ca2b4bab47826ff4c95f1db</x:v>
      </x:c>
      <x:c r="S681" s="26" t="str">
        <x:v>04d753d1f0891e45cf31e746a4b0bdb4d8f816bab1daafa6a83d10e5073c9152</x:v>
      </x:c>
      <x:c r="T681" s="26" t="str">
        <x:v>afb1c996e474a56404bd62bfccbb5ea5bf4f1f3e0e5d8aee71cfec117f1d1342</x:v>
      </x:c>
    </x:row>
    <x:row r="682" ht="60" customHeight="1">
      <x:c r="A682" s="26" t="str">
        <x:v>J2248-0101</x:v>
      </x:c>
      <x:c r="B682" s="26" t="str"/>
      <x:c r="C682" s="26" t="str">
        <x:v>NOT_SEARCHED</x:v>
      </x:c>
      <x:c r="D682" s="26"/>
      <x:c r="E682" s="26" t="str">
        <x:v>No observed search</x:v>
      </x:c>
      <x:c r="F682" s="26" t="str">
        <x:v>Retain exclusion for current scope</x:v>
      </x:c>
      <x:c r="G682" s="26" t="str">
        <x:v>TPA EXCLUDED</x:v>
      </x:c>
      <x:c r="H682" s="27" t="n">
        <x:v>104</x:v>
      </x:c>
      <x:c r="I682" s="27" t="n">
        <x:v>13</x:v>
      </x:c>
      <x:c r="J682" s="28" t="n">
        <x:v>500.51562178722816</x:v>
      </x:c>
      <x:c r="K682" s="26"/>
      <x:c r="L682" s="26" t="str">
        <x:v>insufficient_span_or_epochs</x:v>
      </x:c>
      <x:c r="M682" s="26" t="str">
        <x:v>Present</x:v>
      </x:c>
      <x:c r="N682" s="26" t="str">
        <x:v>Absent from named inventory</x:v>
      </x:c>
      <x:c r="O682" s="26" t="str">
        <x:v>Absent from named inventory</x:v>
      </x:c>
      <x:c r="P682" s="26"/>
      <x:c r="Q682" s="26" t="str">
        <x:v>../Project Recherche Data/tpa-batch01-20260908/selection.json</x:v>
      </x:c>
      <x:c r="R682" s="26" t="str">
        <x:v>047722e4dca24e16c44c810f43990492b2f988012ca2b4bab47826ff4c95f1db</x:v>
      </x:c>
      <x:c r="S682" s="26" t="str">
        <x:v>5271916c9162dc03f72a174fb1621f3b6be4f54c5f741241f56acdc66a4bb636</x:v>
      </x:c>
      <x:c r="T682" s="26" t="str">
        <x:v>89ec29d48e01a60f16644b97d747413dd3ac51a7cccbda4bcc9fe78c0a600d06</x:v>
      </x:c>
    </x:row>
    <x:row r="683" ht="60" customHeight="1">
      <x:c r="A683" s="26" t="str">
        <x:v>J2253+1516</x:v>
      </x:c>
      <x:c r="B683" s="26" t="str"/>
      <x:c r="C683" s="26" t="str">
        <x:v>NOT_SEARCHED</x:v>
      </x:c>
      <x:c r="D683" s="26"/>
      <x:c r="E683" s="26" t="str">
        <x:v>No observed search</x:v>
      </x:c>
      <x:c r="F683" s="26" t="str">
        <x:v>Retain exclusion for current scope</x:v>
      </x:c>
      <x:c r="G683" s="26" t="str">
        <x:v>TPA EXCLUDED</x:v>
      </x:c>
      <x:c r="H683" s="27" t="n">
        <x:v>98</x:v>
      </x:c>
      <x:c r="I683" s="27" t="n">
        <x:v>13</x:v>
      </x:c>
      <x:c r="J683" s="28" t="n">
        <x:v>500.5096719987341</x:v>
      </x:c>
      <x:c r="K683" s="26"/>
      <x:c r="L683" s="26" t="str">
        <x:v>insufficient_span_or_epochs</x:v>
      </x:c>
      <x:c r="M683" s="26" t="str">
        <x:v>Absent from named inventory</x:v>
      </x:c>
      <x:c r="N683" s="26" t="str">
        <x:v>Absent from named inventory</x:v>
      </x:c>
      <x:c r="O683" s="26" t="str">
        <x:v>Absent from named inventory</x:v>
      </x:c>
      <x:c r="P683" s="26"/>
      <x:c r="Q683" s="26" t="str">
        <x:v>../Project Recherche Data/tpa-batch01-20260908/selection.json</x:v>
      </x:c>
      <x:c r="R683" s="26" t="str">
        <x:v>047722e4dca24e16c44c810f43990492b2f988012ca2b4bab47826ff4c95f1db</x:v>
      </x:c>
      <x:c r="S683" s="26" t="str">
        <x:v>250457df2689306410d4220152bfb6062235d0ad9911876ac3a3548d23046af1</x:v>
      </x:c>
      <x:c r="T683" s="26" t="str">
        <x:v>6041bd6a62ead71ffe2c810b944a37c3c87617d08922b4f2895aa8c6373bfe71</x:v>
      </x:c>
    </x:row>
    <x:row r="684" ht="60" customHeight="1">
      <x:c r="A684" s="26" t="str">
        <x:v>J2324-6054</x:v>
      </x:c>
      <x:c r="B684" s="26" t="str">
        <x:v>B2321-61</x:v>
      </x:c>
      <x:c r="C684" s="26" t="str">
        <x:v>NOT_SEARCHED</x:v>
      </x:c>
      <x:c r="D684" s="26"/>
      <x:c r="E684" s="26" t="str">
        <x:v>No observed search</x:v>
      </x:c>
      <x:c r="F684" s="26" t="str">
        <x:v>Retain exclusion for current scope</x:v>
      </x:c>
      <x:c r="G684" s="26" t="str">
        <x:v>TPA EXCLUDED</x:v>
      </x:c>
      <x:c r="H684" s="27" t="n">
        <x:v>195</x:v>
      </x:c>
      <x:c r="I684" s="27" t="n">
        <x:v>25</x:v>
      </x:c>
      <x:c r="J684" s="28" t="n">
        <x:v>1292.1296512840272</x:v>
      </x:c>
      <x:c r="K684" s="26"/>
      <x:c r="L684" s="26" t="str">
        <x:v>insufficient_span_or_epochs</x:v>
      </x:c>
      <x:c r="M684" s="26" t="str">
        <x:v>Absent from named inventory</x:v>
      </x:c>
      <x:c r="N684" s="26" t="str">
        <x:v>Absent from named inventory</x:v>
      </x:c>
      <x:c r="O684" s="26" t="str">
        <x:v>Absent from named inventory</x:v>
      </x:c>
      <x:c r="P684" s="26"/>
      <x:c r="Q684" s="26" t="str">
        <x:v>../Project Recherche Data/tpa-batch01-20260908/selection.json</x:v>
      </x:c>
      <x:c r="R684" s="26" t="str">
        <x:v>047722e4dca24e16c44c810f43990492b2f988012ca2b4bab47826ff4c95f1db</x:v>
      </x:c>
      <x:c r="S684" s="26" t="str">
        <x:v>bdeaa95dd67abc2df0e2976b25d7d5f1c29f435eb33a6ee137a6b8a7601a1c4c</x:v>
      </x:c>
      <x:c r="T684" s="26" t="str">
        <x:v>c158bf06583ddcc81195f47a17e1b9e8c5d26e2b77c2fdec32c5e653427202d9</x:v>
      </x:c>
    </x:row>
    <x:row r="685" ht="60" customHeight="1">
      <x:c r="A685" s="26" t="str">
        <x:v>J2330-2005</x:v>
      </x:c>
      <x:c r="B685" s="26" t="str">
        <x:v>B2327-20</x:v>
      </x:c>
      <x:c r="C685" s="26" t="str">
        <x:v>NO_TRIGGER</x:v>
      </x:c>
      <x:c r="D685" s="26" t="str">
        <x:v>utmost-batch03-20260909-J2330-2005-run01</x:v>
      </x:c>
      <x:c r="E685" s="26" t="str">
        <x:v>No qualifying signal in eligible 30–400-day cells</x:v>
      </x:c>
      <x:c r="F685" s="26" t="str">
        <x:v>Retain result; consider independent data or a separately defined new scope</x:v>
      </x:c>
      <x:c r="G685" s="26" t="str">
        <x:v>UTMOST SEARCHED</x:v>
      </x:c>
      <x:c r="H685" s="27" t="n">
        <x:v>86</x:v>
      </x:c>
      <x:c r="I685" s="27" t="n">
        <x:v>12</x:v>
      </x:c>
      <x:c r="J685" s="28" t="n">
        <x:v>509.49323369078775</x:v>
      </x:c>
      <x:c r="K685" s="26"/>
      <x:c r="L685" s="26" t="str">
        <x:v>insufficient_span_or_epochs</x:v>
      </x:c>
      <x:c r="M685" s="26" t="str">
        <x:v>Present</x:v>
      </x:c>
      <x:c r="N685" s="26" t="str">
        <x:v>Absent from named inventory</x:v>
      </x:c>
      <x:c r="O685" s="26" t="str">
        <x:v>Absent from named inventory</x:v>
      </x:c>
      <x:c r="P685" s="26"/>
      <x:c r="Q685" s="26" t="str">
        <x:v>../Project Recherche Data/tpa-batch01-20260908/selection.json</x:v>
      </x:c>
      <x:c r="R685" s="26" t="str">
        <x:v>047722e4dca24e16c44c810f43990492b2f988012ca2b4bab47826ff4c95f1db</x:v>
      </x:c>
      <x:c r="S685" s="26" t="str">
        <x:v>a3f76f63f21c3613826fc41d993f7a1105e4c47d2d94d0b2ecda2edf077deb91</x:v>
      </x:c>
      <x:c r="T685" s="26" t="str">
        <x:v>88eddaf00de6d2b521ab779aa90020a365cfb7faecc14c0288854fbdfecfbf52</x:v>
      </x:c>
    </x:row>
    <x:row r="686" ht="60" customHeight="1">
      <x:c r="A686" s="26" t="str">
        <x:v>J2346-0609</x:v>
      </x:c>
      <x:c r="B686" s="26" t="str"/>
      <x:c r="C686" s="26" t="str">
        <x:v>NOT_SEARCHED</x:v>
      </x:c>
      <x:c r="D686" s="26"/>
      <x:c r="E686" s="26" t="str">
        <x:v>No observed search</x:v>
      </x:c>
      <x:c r="F686" s="26" t="str">
        <x:v>Retain exclusion for current scope</x:v>
      </x:c>
      <x:c r="G686" s="26" t="str">
        <x:v>TPA EXCLUDED</x:v>
      </x:c>
      <x:c r="H686" s="27" t="n">
        <x:v>96</x:v>
      </x:c>
      <x:c r="I686" s="27" t="n">
        <x:v>12</x:v>
      </x:c>
      <x:c r="J686" s="28" t="n">
        <x:v>509.4723571578579</x:v>
      </x:c>
      <x:c r="K686" s="26"/>
      <x:c r="L686" s="26" t="str">
        <x:v>insufficient_span_or_epochs</x:v>
      </x:c>
      <x:c r="M686" s="26" t="str">
        <x:v>Present</x:v>
      </x:c>
      <x:c r="N686" s="26" t="str">
        <x:v>Absent from named inventory</x:v>
      </x:c>
      <x:c r="O686" s="26" t="str">
        <x:v>Absent from named inventory</x:v>
      </x:c>
      <x:c r="P686" s="26"/>
      <x:c r="Q686" s="26" t="str">
        <x:v>../Project Recherche Data/tpa-batch01-20260908/selection.json</x:v>
      </x:c>
      <x:c r="R686" s="26" t="str">
        <x:v>047722e4dca24e16c44c810f43990492b2f988012ca2b4bab47826ff4c95f1db</x:v>
      </x:c>
      <x:c r="S686" s="26" t="str">
        <x:v>a348483805a79782c0023a49ec2ba950b0214e97bac55a1488d1d4bcaaa4d47a</x:v>
      </x:c>
      <x:c r="T686" s="26" t="str">
        <x:v>1a1bf1d1b7d989b3feacd6edda0d0358b17574d40a3801c7ea730f99601f6778</x:v>
      </x:c>
    </x:row>
    <x:row r="687" ht="26.399999618530273" hidden="0" customHeight="1">
      <x:c r="A687" s="26" t="str">
        <x:v>J1911+1347</x:v>
      </x:c>
      <x:c r="B687" s="26" t="str"/>
      <x:c r="C687" s="26" t="str">
        <x:v>NO_TRIGGER</x:v>
      </x:c>
      <x:c r="D687" s="26" t="str">
        <x:v>ipta-hold-release-20260909-J1911+1347-J1911+1347-run01</x:v>
      </x:c>
      <x:c r="E687" s="26" t="str">
        <x:v>No qualifying signal in eligible 30–1366-day cells</x:v>
      </x:c>
      <x:c r="F687" s="26" t="str">
        <x:v>Preserve completed IPTA NO_TRIGGER; new observations or scope required to search again</x:v>
      </x:c>
      <x:c r="G687" s="26" t="str">
        <x:v>IPTA SEARCH COMPLETE; historical summary difference retained</x:v>
      </x:c>
      <x:c r="H687" s="27" t="n">
        <x:v>882</x:v>
      </x:c>
      <x:c r="I687" s="27" t="n">
        <x:v>362</x:v>
      </x:c>
      <x:c r="J687" s="28" t="n">
        <x:v>5187.069039942871</x:v>
      </x:c>
      <x:c r="K687" s="26" t="str">
        <x:v>pta-campaign01-repair01-20260909-epta</x:v>
      </x:c>
      <x:c r="L687" s="26"/>
      <x:c r="M687" s="26" t="str">
        <x:v>Not checked</x:v>
      </x:c>
      <x:c r="N687" s="26" t="str">
        <x:v>Not checked</x:v>
      </x:c>
      <x:c r="O687" s="26" t="str">
        <x:v>Not checked</x:v>
      </x:c>
      <x:c r="P687" s="26"/>
      <x:c r="Q687" s="26" t="str">
        <x:v>./results/research/ipta-hold-review-20260909/closeout.json</x:v>
      </x:c>
      <x:c r="R687" s="26" t="str">
        <x:v>70d582d49f22c85954e7f764e963bd979512d0bd5380e343799ecbea1c687acd</x:v>
      </x:c>
      <x:c r="S687" s="26" t="str">
        <x:v>d43aa1f4fdb36c5cf236aa9753d06192c0e8c3e0075bfc8261b8da1fe1f8bba5</x:v>
      </x:c>
      <x:c r="T687" s="26" t="str">
        <x:v>9051ef017eb163436c880dc5634b02f380e844f185a28adc1ca2df158df22afc</x:v>
      </x:c>
    </x:row>
    <x:row r="688" ht="60" customHeight="1">
      <x:c r="A688" s="26" t="str">
        <x:v>J0645+5158</x:v>
      </x:c>
      <x:c r="B688" s="26" t="str"/>
      <x:c r="C688" s="26" t="str">
        <x:v>NO_TRIGGER</x:v>
      </x:c>
      <x:c r="D688" s="26" t="str">
        <x:v>ng15-batch01-20260908-J0645+5158-run01</x:v>
      </x:c>
      <x:c r="E688" s="26" t="str">
        <x:v>No qualifying signal in eligible 30–1618-day cells</x:v>
      </x:c>
      <x:c r="F688" s="26" t="str">
        <x:v>Retain result; consider independent data or a separately defined new scope</x:v>
      </x:c>
      <x:c r="G688" s="26" t="str">
        <x:v>SEARCHED</x:v>
      </x:c>
      <x:c r="H688" s="27" t="n">
        <x:v>289</x:v>
      </x:c>
      <x:c r="I688" s="27" t="n">
        <x:v>193</x:v>
      </x:c>
      <x:c r="J688" s="28" t="n">
        <x:v>3235.9148973964548</x:v>
      </x:c>
      <x:c r="K688" s="26" t="str">
        <x:v>ng15-batch01-20260908</x:v>
      </x:c>
      <x:c r="L688" s="26"/>
      <x:c r="M688" s="26" t="str">
        <x:v>Not checked</x:v>
      </x:c>
      <x:c r="N688" s="26" t="str">
        <x:v>Not checked</x:v>
      </x:c>
      <x:c r="O688" s="26" t="str">
        <x:v>Not checked</x:v>
      </x:c>
      <x:c r="P688" s="26"/>
      <x:c r="Q688" s="26" t="str">
        <x:v>../Project Recherche Data/ng15-batch01-20260908/selection.json</x:v>
      </x:c>
      <x:c r="R688" s="26" t="str">
        <x:v>2d3003c851ffec9c4ede2ca61d339b1ce5bc3eee41a1dc7b460e10677b60f5bd</x:v>
      </x:c>
      <x:c r="S688" s="26" t="str">
        <x:v>5fab46e19f1dff0ee7ef642ecfcf67ceb8c64842b81ec7e5f2020dca72880e92</x:v>
      </x:c>
      <x:c r="T688" s="26" t="str">
        <x:v>6fde01f0fc54a94dc8b1ed93b56d7054896eeffcf1877b961bf8b0c2944a84e5</x:v>
      </x:c>
    </x:row>
    <x:row r="689" ht="60" customHeight="1">
      <x:c r="A689" s="26" t="str">
        <x:v>J1923+2515</x:v>
      </x:c>
      <x:c r="B689" s="26" t="str"/>
      <x:c r="C689" s="26" t="str">
        <x:v>NO_TRIGGER</x:v>
      </x:c>
      <x:c r="D689" s="26" t="str">
        <x:v>ng15-batch01-20260908-J1923+2515-run01</x:v>
      </x:c>
      <x:c r="E689" s="26" t="str">
        <x:v>No qualifying signal in eligible 30–1637-day cells</x:v>
      </x:c>
      <x:c r="F689" s="26" t="str">
        <x:v>Retain result; consider independent data or a separately defined new scope</x:v>
      </x:c>
      <x:c r="G689" s="26" t="str">
        <x:v>SEARCHED</x:v>
      </x:c>
      <x:c r="H689" s="27" t="n">
        <x:v>170</x:v>
      </x:c>
      <x:c r="I689" s="27" t="n">
        <x:v>92</x:v>
      </x:c>
      <x:c r="J689" s="28" t="n">
        <x:v>3274.011628061322</x:v>
      </x:c>
      <x:c r="K689" s="26" t="str">
        <x:v>ng15-batch01-20260908</x:v>
      </x:c>
      <x:c r="L689" s="26"/>
      <x:c r="M689" s="26" t="str">
        <x:v>Not checked</x:v>
      </x:c>
      <x:c r="N689" s="26" t="str">
        <x:v>Not checked</x:v>
      </x:c>
      <x:c r="O689" s="26" t="str">
        <x:v>Not checked</x:v>
      </x:c>
      <x:c r="P689" s="26"/>
      <x:c r="Q689" s="26" t="str">
        <x:v>../Project Recherche Data/ng15-batch01-20260908/selection.json</x:v>
      </x:c>
      <x:c r="R689" s="26" t="str">
        <x:v>2d3003c851ffec9c4ede2ca61d339b1ce5bc3eee41a1dc7b460e10677b60f5bd</x:v>
      </x:c>
      <x:c r="S689" s="26" t="str">
        <x:v>af7ef638a531b13fae492473b9ec3b678dd7567550411c2cdd06d5f71d006055</x:v>
      </x:c>
      <x:c r="T689" s="26" t="str">
        <x:v>473803a7823be4447ece745de75f6070937485926127d9223af3e80e3e6f8e82</x:v>
      </x:c>
    </x:row>
    <x:row r="690" ht="60" customHeight="1">
      <x:c r="A690" s="26" t="str">
        <x:v>J1944+0907</x:v>
      </x:c>
      <x:c r="B690" s="26" t="str"/>
      <x:c r="C690" s="26" t="str">
        <x:v>NO_TRIGGER</x:v>
      </x:c>
      <x:c r="D690" s="26" t="str">
        <x:v>ipta-batch02-20260909-J1944+0907-J1944+0907-run01</x:v>
      </x:c>
      <x:c r="E690" s="26" t="str">
        <x:v>No qualifying signal in eligible 30–1043-day cells</x:v>
      </x:c>
      <x:c r="F690" s="26" t="str">
        <x:v>Retain result; consider independent data or a separately defined new scope</x:v>
      </x:c>
      <x:c r="G690" s="26" t="str">
        <x:v>SEARCHED</x:v>
      </x:c>
      <x:c r="H690" s="27" t="n">
        <x:v>180</x:v>
      </x:c>
      <x:c r="I690" s="27" t="n">
        <x:v>98</x:v>
      </x:c>
      <x:c r="J690" s="28" t="n">
        <x:v>3295.996726195852</x:v>
      </x:c>
      <x:c r="K690" s="26" t="str">
        <x:v>ng15-batch01-20260908</x:v>
      </x:c>
      <x:c r="L690" s="26"/>
      <x:c r="M690" s="26" t="str">
        <x:v>Not checked</x:v>
      </x:c>
      <x:c r="N690" s="26" t="str">
        <x:v>Not checked</x:v>
      </x:c>
      <x:c r="O690" s="26" t="str">
        <x:v>Not checked</x:v>
      </x:c>
      <x:c r="P690" s="26"/>
      <x:c r="Q690" s="26" t="str">
        <x:v>../Project Recherche Data/ng15-batch01-20260908/selection.json</x:v>
      </x:c>
      <x:c r="R690" s="26" t="str">
        <x:v>2d3003c851ffec9c4ede2ca61d339b1ce5bc3eee41a1dc7b460e10677b60f5bd</x:v>
      </x:c>
      <x:c r="S690" s="26" t="str">
        <x:v>ec86118f5f01ff94781d75b0060965576de92ac1880c3c42736de064cc041113</x:v>
      </x:c>
      <x:c r="T690" s="26" t="str">
        <x:v>89071f8491f4513b88b08cde07973e7c45954d83f1148d4a7bb415d203cff4e7</x:v>
      </x:c>
    </x:row>
    <x:row r="691" ht="60" customHeight="1">
      <x:c r="A691" s="26" t="str">
        <x:v>J0340+4130</x:v>
      </x:c>
      <x:c r="B691" s="26" t="str"/>
      <x:c r="C691" s="26" t="str">
        <x:v>NO_TRIGGER</x:v>
      </x:c>
      <x:c r="D691" s="26" t="str">
        <x:v>ng15-batch01-20260908-J0340+4130-run01</x:v>
      </x:c>
      <x:c r="E691" s="26" t="str">
        <x:v>No qualifying signal in eligible 30–1485-day cells</x:v>
      </x:c>
      <x:c r="F691" s="26" t="str">
        <x:v>Retain result; consider independent data or a separately defined new scope</x:v>
      </x:c>
      <x:c r="G691" s="26" t="str">
        <x:v>SEARCHED</x:v>
      </x:c>
      <x:c r="H691" s="27" t="n">
        <x:v>228</x:v>
      </x:c>
      <x:c r="I691" s="27" t="n">
        <x:v>198</x:v>
      </x:c>
      <x:c r="J691" s="28" t="n">
        <x:v>2970.7114934777637</x:v>
      </x:c>
      <x:c r="K691" s="26" t="str">
        <x:v>ng15-batch01-20260908</x:v>
      </x:c>
      <x:c r="L691" s="26"/>
      <x:c r="M691" s="26" t="str">
        <x:v>Not checked</x:v>
      </x:c>
      <x:c r="N691" s="26" t="str">
        <x:v>Not checked</x:v>
      </x:c>
      <x:c r="O691" s="26" t="str">
        <x:v>Not checked</x:v>
      </x:c>
      <x:c r="P691" s="26"/>
      <x:c r="Q691" s="26" t="str">
        <x:v>../Project Recherche Data/ng15-batch01-20260908/selection.json</x:v>
      </x:c>
      <x:c r="R691" s="26" t="str">
        <x:v>2d3003c851ffec9c4ede2ca61d339b1ce5bc3eee41a1dc7b460e10677b60f5bd</x:v>
      </x:c>
      <x:c r="S691" s="26" t="str">
        <x:v>1e4eced50833b245b43136bbd0aeb1f96fe61fe1a2a3799015c08d259bc53e47</x:v>
      </x:c>
      <x:c r="T691" s="26" t="str">
        <x:v>29b9dd4257e43795f1e1c93f0b3f3826e97ce56b2bd33d10bbf48b1de18deadb</x:v>
      </x:c>
    </x:row>
    <x:row r="692" ht="39.599998474121094" hidden="0" customHeight="1">
      <x:c r="A692" s="26" t="str">
        <x:v>J1453+1902</x:v>
      </x:c>
      <x:c r="B692" s="26" t="str"/>
      <x:c r="C692" s="26" t="str">
        <x:v>PERIODIC_SIGNAL_CANDIDATE</x:v>
      </x:c>
      <x:c r="D692" s="26" t="str">
        <x:v>ng15-batch01-20260908-J1453+1902-run01</x:v>
      </x:c>
      <x:c r="E692" s="26" t="str">
        <x:v>Threshold-crossing periodic candidate; not a confirmed planet</x:v>
      </x:c>
      <x:c r="F692" s="26" t="str">
        <x:v>Review complete: INCONCLUSIVE / NOISE-SENSITIVE. Original trigger retained, no confirmed planet. Park pending additional calibrated timing data. See Work log J1453-HR01-20260908.</x:v>
      </x:c>
      <x:c r="G692" s="26" t="str">
        <x:v>SEARCHED</x:v>
      </x:c>
      <x:c r="H692" s="27" t="n">
        <x:v>122</x:v>
      </x:c>
      <x:c r="I692" s="27" t="n">
        <x:v>73</x:v>
      </x:c>
      <x:c r="J692" s="28" t="n">
        <x:v>2558.0287480868283</x:v>
      </x:c>
      <x:c r="K692" s="26" t="str">
        <x:v>ng15-batch01-20260908</x:v>
      </x:c>
      <x:c r="L692" s="26"/>
      <x:c r="M692" s="26" t="str">
        <x:v>Not checked</x:v>
      </x:c>
      <x:c r="N692" s="26" t="str">
        <x:v>Not checked</x:v>
      </x:c>
      <x:c r="O692" s="26" t="str">
        <x:v>Not checked</x:v>
      </x:c>
      <x:c r="P692" s="26"/>
      <x:c r="Q692" s="26" t="str">
        <x:v>../Project Recherche Data/ng15-batch01-20260908/selection.json</x:v>
      </x:c>
      <x:c r="R692" s="26" t="str">
        <x:v>2d3003c851ffec9c4ede2ca61d339b1ce5bc3eee41a1dc7b460e10677b60f5bd</x:v>
      </x:c>
      <x:c r="S692" s="26" t="str">
        <x:v>f158722ffadfde6d82f7d78c20a7f83007e61692e10c6b4dab08642541f75074</x:v>
      </x:c>
      <x:c r="T692" s="26" t="str">
        <x:v>1c6b5a3cfa4eb8f8db8bdbe9f737bb2620d393f9907fc0fe9ce4c87171851fe6</x:v>
      </x:c>
    </x:row>
    <x:row r="693" ht="26.399999618530273" hidden="0" customHeight="1">
      <x:c r="A693" s="26" t="str">
        <x:v>J1824-2452A</x:v>
      </x:c>
      <x:c r="B693" s="26" t="str"/>
      <x:c r="C693" s="26" t="str">
        <x:v>NO_TRIGGER</x:v>
      </x:c>
      <x:c r="D693" s="26" t="str">
        <x:v>ipta-batch02-20260909-J1824-2452A-J1824-2452A-run01</x:v>
      </x:c>
      <x:c r="E693" s="26" t="str">
        <x:v>No qualifying signal in eligible 30–1032-day cells</x:v>
      </x:c>
      <x:c r="F693" s="26" t="str">
        <x:v>Retain result; consider independent data or a separately defined new scope</x:v>
      </x:c>
      <x:c r="G693" s="26" t="str">
        <x:v>SEARCHED</x:v>
      </x:c>
      <x:c r="H693" s="27" t="n">
        <x:v>1284</x:v>
      </x:c>
      <x:c r="I693" s="27" t="n">
        <x:v>267</x:v>
      </x:c>
      <x:c r="J693" s="28" t="n">
        <x:v>6214.880906536229</x:v>
      </x:c>
      <x:c r="K693" s="26" t="str">
        <x:v>pta-campaign01-20260908-ppta</x:v>
      </x:c>
      <x:c r="L693" s="26"/>
      <x:c r="M693" s="26" t="str">
        <x:v>Not checked</x:v>
      </x:c>
      <x:c r="N693" s="26" t="str">
        <x:v>Not checked</x:v>
      </x:c>
      <x:c r="O693" s="26" t="str">
        <x:v>Not checked</x:v>
      </x:c>
      <x:c r="P693" s="26"/>
      <x:c r="Q693" s="26" t="str">
        <x:v>../Project Recherche Data/pta-campaign01-20260908/ppta/selection.json</x:v>
      </x:c>
      <x:c r="R693" s="26" t="str">
        <x:v>c512b93316e25fa1a7560552780d8fb8326394ef1311c0156c41e21e142c13d2</x:v>
      </x:c>
      <x:c r="S693" s="26" t="str">
        <x:v>2f1acd107de543ae5aadc30029ccfd6c36a9aa04fb7e3d26b0099b50d903d797</x:v>
      </x:c>
      <x:c r="T693" s="26" t="str">
        <x:v>93557f3fe05b36da8f9571c3bd84f28bd722d868e8cbb550431baa4352b58c98</x:v>
      </x:c>
    </x:row>
    <x:row r="694" ht="90" customHeight="1">
      <x:c r="A694" s="26" t="str">
        <x:v>J0835-4510</x:v>
      </x:c>
      <x:c r="B694" s="26" t="str">
        <x:v>B0833-45</x:v>
      </x:c>
      <x:c r="C694" s="26" t="str">
        <x:v>NOT_SEARCHED</x:v>
      </x:c>
      <x:c r="D694" s="26"/>
      <x:c r="E694" s="26" t="str">
        <x:v>No observed search</x:v>
      </x:c>
      <x:c r="F694" s="26" t="str">
        <x:v>Retain current-scope exclusion</x:v>
      </x:c>
      <x:c r="G694" s="26" t="str">
        <x:v>UTMOST EXCLUDED</x:v>
      </x:c>
      <x:c r="H694" s="27" t="n">
        <x:v>1458</x:v>
      </x:c>
      <x:c r="I694" s="27" t="n">
        <x:v>625</x:v>
      </x:c>
      <x:c r="J694" s="28" t="n">
        <x:v>2025.4543749486145</x:v>
      </x:c>
      <x:c r="K694" s="26" t="str">
        <x:v>INVENTORIED; NOT SELECTED</x:v>
      </x:c>
      <x:c r="L694" s="26" t="str">
        <x:v>published_glitch_model</x:v>
      </x:c>
      <x:c r="M694" s="26" t="str">
        <x:v>Absent from named inventory</x:v>
      </x:c>
      <x:c r="N694" s="26" t="str">
        <x:v>Absent from named inventory</x:v>
      </x:c>
      <x:c r="O694" s="26" t="str">
        <x:v>Absent from named inventory</x:v>
      </x:c>
      <x:c r="P694" s="26"/>
      <x:c r="Q694" s="26" t="str">
        <x:v>./results/research/utmost-inventory-20260909/inventory.json</x:v>
      </x:c>
      <x:c r="R694" s="26" t="str">
        <x:v>be35df020956807029290b9267e5779e1fce23757b6f4ea4c506b3b59f6a9fb6</x:v>
      </x:c>
      <x:c r="S694" s="26" t="str">
        <x:v>4389de3cfdde47f623b3dee333aa4b81e9859607cc7238c455eec55709a8f61a</x:v>
      </x:c>
      <x:c r="T694" s="26" t="str">
        <x:v>57845324a5f915fccc4b484eefb9ee0332c0edd96e80f7af90b5e3d34ec64b73</x:v>
      </x:c>
    </x:row>
    <x:row r="695" ht="90" customHeight="1">
      <x:c r="A695" s="26" t="str">
        <x:v>J0348+0432</x:v>
      </x:c>
      <x:c r="B695" s="26"/>
      <x:c r="C695" s="26" t="str">
        <x:v>NOT_SEARCHED</x:v>
      </x:c>
      <x:c r="D695" s="26"/>
      <x:c r="E695" s="26" t="str">
        <x:v>No observed search</x:v>
      </x:c>
      <x:c r="F695" s="26" t="str">
        <x:v>Retain current-scope exclusion</x:v>
      </x:c>
      <x:c r="G695" s="26" t="str">
        <x:v>UTMOST EXCLUDED</x:v>
      </x:c>
      <x:c r="H695" s="27" t="n">
        <x:v>41</x:v>
      </x:c>
      <x:c r="I695" s="27" t="n">
        <x:v>40</x:v>
      </x:c>
      <x:c r="J695" s="28" t="n">
        <x:v>1014.1904108969883</x:v>
      </x:c>
      <x:c r="K695" s="26" t="str">
        <x:v>INVENTORIED; NOT SELECTED</x:v>
      </x:c>
      <x:c r="L695" s="26" t="str">
        <x:v>known_binary_or_wide_companion, span_below_1200_days</x:v>
      </x:c>
      <x:c r="M695" s="26" t="str">
        <x:v>Present</x:v>
      </x:c>
      <x:c r="N695" s="26" t="str">
        <x:v>Absent from named inventory</x:v>
      </x:c>
      <x:c r="O695" s="26" t="str">
        <x:v>Absent from named inventory</x:v>
      </x:c>
      <x:c r="P695" s="26"/>
      <x:c r="Q695" s="26" t="str">
        <x:v>./results/research/utmost-inventory-20260909/inventory.json</x:v>
      </x:c>
      <x:c r="R695" s="26" t="str">
        <x:v>be35df020956807029290b9267e5779e1fce23757b6f4ea4c506b3b59f6a9fb6</x:v>
      </x:c>
      <x:c r="S695" s="26" t="str">
        <x:v>80e19d3ec92e0201aebf571ce3dd39c9173c764c6e5823e6d0030ec3aa634ee9</x:v>
      </x:c>
      <x:c r="T695" s="26" t="str">
        <x:v>86bbebee3ae3bdc4b91c621507dddf43485e3c3d2b482e192e62a92adcd60d2f</x:v>
      </x:c>
    </x:row>
    <x:row r="696" ht="90" customHeight="1">
      <x:c r="A696" s="26" t="str">
        <x:v>J0418-4154</x:v>
      </x:c>
      <x:c r="B696" s="26"/>
      <x:c r="C696" s="26" t="str">
        <x:v>NO_TRIGGER</x:v>
      </x:c>
      <x:c r="D696" s="26" t="str">
        <x:v>utmost-batch03-20260909-J0418-4154-run01</x:v>
      </x:c>
      <x:c r="E696" s="26" t="str">
        <x:v>No qualifying signal in eligible 30–400-day cells</x:v>
      </x:c>
      <x:c r="F696" s="26" t="str">
        <x:v>Retain result; consider independent data or a separately defined new scope</x:v>
      </x:c>
      <x:c r="G696" s="26" t="str">
        <x:v>UTMOST SEARCHED</x:v>
      </x:c>
      <x:c r="H696" s="27" t="n">
        <x:v>99</x:v>
      </x:c>
      <x:c r="I696" s="27" t="n">
        <x:v>95</x:v>
      </x:c>
      <x:c r="J696" s="28" t="n">
        <x:v>1202.8496749733893</x:v>
      </x:c>
      <x:c r="K696" s="26" t="str">
        <x:v>INVENTORIED; NOT SELECTED</x:v>
      </x:c>
      <x:c r="L696" s="26"/>
      <x:c r="M696" s="26" t="str">
        <x:v>Absent from named inventory</x:v>
      </x:c>
      <x:c r="N696" s="26" t="str">
        <x:v>Absent from named inventory</x:v>
      </x:c>
      <x:c r="O696" s="26" t="str">
        <x:v>Absent from named inventory</x:v>
      </x:c>
      <x:c r="P696" s="26"/>
      <x:c r="Q696" s="26" t="str">
        <x:v>./results/research/utmost-inventory-20260909/inventory.json</x:v>
      </x:c>
      <x:c r="R696" s="26" t="str">
        <x:v>be35df020956807029290b9267e5779e1fce23757b6f4ea4c506b3b59f6a9fb6</x:v>
      </x:c>
      <x:c r="S696" s="26" t="str">
        <x:v>f93d63575f404b3f598c57fc5d64d970a0584f4c4093fe1de6cc70614c326d72</x:v>
      </x:c>
      <x:c r="T696" s="26" t="str">
        <x:v>aed976961c4601c3cc8ddae27771308de64793080fd622c802108fc86ea4b3c2</x:v>
      </x:c>
    </x:row>
    <x:row r="697" ht="90" customHeight="1">
      <x:c r="A697" s="26" t="str">
        <x:v>J0529-6652</x:v>
      </x:c>
      <x:c r="B697" s="26" t="str">
        <x:v>B0529-66</x:v>
      </x:c>
      <x:c r="C697" s="26" t="str">
        <x:v>NOT_SEARCHED</x:v>
      </x:c>
      <x:c r="D697" s="26"/>
      <x:c r="E697" s="26" t="str">
        <x:v>No observed search</x:v>
      </x:c>
      <x:c r="F697" s="26" t="str">
        <x:v>Retain current-scope exclusion</x:v>
      </x:c>
      <x:c r="G697" s="26" t="str">
        <x:v>UTMOST EXCLUDED</x:v>
      </x:c>
      <x:c r="H697" s="27" t="n">
        <x:v>59</x:v>
      </x:c>
      <x:c r="I697" s="27" t="n">
        <x:v>55</x:v>
      </x:c>
      <x:c r="J697" s="28" t="n">
        <x:v>798.8854620740196</x:v>
      </x:c>
      <x:c r="K697" s="26" t="str">
        <x:v>INVENTORIED; NOT SELECTED</x:v>
      </x:c>
      <x:c r="L697" s="26" t="str">
        <x:v>span_below_1200_days</x:v>
      </x:c>
      <x:c r="M697" s="26" t="str">
        <x:v>Absent from named inventory</x:v>
      </x:c>
      <x:c r="N697" s="26" t="str">
        <x:v>Absent from named inventory</x:v>
      </x:c>
      <x:c r="O697" s="26" t="str">
        <x:v>Absent from named inventory</x:v>
      </x:c>
      <x:c r="P697" s="26"/>
      <x:c r="Q697" s="26" t="str">
        <x:v>./results/research/utmost-inventory-20260909/inventory.json</x:v>
      </x:c>
      <x:c r="R697" s="26" t="str">
        <x:v>be35df020956807029290b9267e5779e1fce23757b6f4ea4c506b3b59f6a9fb6</x:v>
      </x:c>
      <x:c r="S697" s="26" t="str">
        <x:v>47562915c5e3fa8f91796729754e1b1338a8b3f9e47d17d981859a002817ce73</x:v>
      </x:c>
      <x:c r="T697" s="26" t="str">
        <x:v>dfaf9f5e8d49ece4c6180dec026ccd252bfe0c3415c79ddc1d35e6501d452c93</x:v>
      </x:c>
    </x:row>
    <x:row r="698" ht="90" customHeight="1">
      <x:c r="A698" s="26" t="str">
        <x:v>J0737-3039A</x:v>
      </x:c>
      <x:c r="B698" s="26"/>
      <x:c r="C698" s="26" t="str">
        <x:v>NOT_SEARCHED</x:v>
      </x:c>
      <x:c r="D698" s="26"/>
      <x:c r="E698" s="26" t="str">
        <x:v>No observed search</x:v>
      </x:c>
      <x:c r="F698" s="26" t="str">
        <x:v>Retain current-scope exclusion</x:v>
      </x:c>
      <x:c r="G698" s="26" t="str">
        <x:v>UTMOST EXCLUDED</x:v>
      </x:c>
      <x:c r="H698" s="27" t="n">
        <x:v>144</x:v>
      </x:c>
      <x:c r="I698" s="27" t="n">
        <x:v>97</x:v>
      </x:c>
      <x:c r="J698" s="28" t="n">
        <x:v>1242.655498633483</x:v>
      </x:c>
      <x:c r="K698" s="26" t="str">
        <x:v>INVENTORIED; NOT SELECTED</x:v>
      </x:c>
      <x:c r="L698" s="26" t="str">
        <x:v>known_binary_or_wide_companion</x:v>
      </x:c>
      <x:c r="M698" s="26" t="str">
        <x:v>Absent from named inventory</x:v>
      </x:c>
      <x:c r="N698" s="26" t="str">
        <x:v>Absent from named inventory</x:v>
      </x:c>
      <x:c r="O698" s="26" t="str">
        <x:v>Absent from named inventory</x:v>
      </x:c>
      <x:c r="P698" s="26"/>
      <x:c r="Q698" s="26" t="str">
        <x:v>./results/research/utmost-inventory-20260909/inventory.json</x:v>
      </x:c>
      <x:c r="R698" s="26" t="str">
        <x:v>be35df020956807029290b9267e5779e1fce23757b6f4ea4c506b3b59f6a9fb6</x:v>
      </x:c>
      <x:c r="S698" s="26" t="str">
        <x:v>a120bd88284a19f0abe02f05cbb21377cade39401174fb591a992ec91ac94af8</x:v>
      </x:c>
      <x:c r="T698" s="26" t="str">
        <x:v>0dfdf71cc15c8057f34a6dd6b54fa880d38850358a57f091fd51711c5a1a403a</x:v>
      </x:c>
    </x:row>
    <x:row r="699" ht="90" customHeight="1">
      <x:c r="A699" s="26" t="str">
        <x:v>J1032-5911</x:v>
      </x:c>
      <x:c r="B699" s="26" t="str">
        <x:v>B1030-58</x:v>
      </x:c>
      <x:c r="C699" s="26" t="str">
        <x:v>NOT_SEARCHED</x:v>
      </x:c>
      <x:c r="D699" s="26"/>
      <x:c r="E699" s="26" t="str">
        <x:v>No observed search</x:v>
      </x:c>
      <x:c r="F699" s="26" t="str">
        <x:v>Retain current-scope exclusion</x:v>
      </x:c>
      <x:c r="G699" s="26" t="str">
        <x:v>UTMOST EXCLUDED</x:v>
      </x:c>
      <x:c r="H699" s="27" t="n">
        <x:v>152</x:v>
      </x:c>
      <x:c r="I699" s="27" t="n">
        <x:v>93</x:v>
      </x:c>
      <x:c r="J699" s="28" t="n">
        <x:v>895.5215936595132</x:v>
      </x:c>
      <x:c r="K699" s="26" t="str">
        <x:v>INVENTORIED; NOT SELECTED</x:v>
      </x:c>
      <x:c r="L699" s="26" t="str">
        <x:v>span_below_1200_days</x:v>
      </x:c>
      <x:c r="M699" s="26" t="str">
        <x:v>Absent from named inventory</x:v>
      </x:c>
      <x:c r="N699" s="26" t="str">
        <x:v>Absent from named inventory</x:v>
      </x:c>
      <x:c r="O699" s="26" t="str">
        <x:v>Absent from named inventory</x:v>
      </x:c>
      <x:c r="P699" s="26"/>
      <x:c r="Q699" s="26" t="str">
        <x:v>./results/research/utmost-inventory-20260909/inventory.json</x:v>
      </x:c>
      <x:c r="R699" s="26" t="str">
        <x:v>be35df020956807029290b9267e5779e1fce23757b6f4ea4c506b3b59f6a9fb6</x:v>
      </x:c>
      <x:c r="S699" s="26" t="str">
        <x:v>6b00a4af5a676871d293b659bc0c30fdca682042cf760efcce4e78313cd2cd6b</x:v>
      </x:c>
      <x:c r="T699" s="26" t="str">
        <x:v>90e359f39bbc2bcb3608765b4f146cead5c8e6fc446e5772d4a847471869ac83</x:v>
      </x:c>
    </x:row>
    <x:row r="700" ht="90" customHeight="1">
      <x:c r="A700" s="26" t="str">
        <x:v>J1126-6942</x:v>
      </x:c>
      <x:c r="B700" s="26"/>
      <x:c r="C700" s="26" t="str">
        <x:v>NOT_SEARCHED</x:v>
      </x:c>
      <x:c r="D700" s="26"/>
      <x:c r="E700" s="26" t="str">
        <x:v>No observed search</x:v>
      </x:c>
      <x:c r="F700" s="26" t="str">
        <x:v>Retain current-scope exclusion</x:v>
      </x:c>
      <x:c r="G700" s="26" t="str">
        <x:v>UTMOST EXCLUDED</x:v>
      </x:c>
      <x:c r="H700" s="27" t="n">
        <x:v>34</x:v>
      </x:c>
      <x:c r="I700" s="27" t="n">
        <x:v>32</x:v>
      </x:c>
      <x:c r="J700" s="28" t="n">
        <x:v>733.7946764797647</x:v>
      </x:c>
      <x:c r="K700" s="26" t="str">
        <x:v>INVENTORIED; NOT SELECTED</x:v>
      </x:c>
      <x:c r="L700" s="26" t="str">
        <x:v>span_below_1200_days, fewer_than_40_observing_days</x:v>
      </x:c>
      <x:c r="M700" s="26" t="str">
        <x:v>Absent from named inventory</x:v>
      </x:c>
      <x:c r="N700" s="26" t="str">
        <x:v>Absent from named inventory</x:v>
      </x:c>
      <x:c r="O700" s="26" t="str">
        <x:v>Absent from named inventory</x:v>
      </x:c>
      <x:c r="P700" s="26"/>
      <x:c r="Q700" s="26" t="str">
        <x:v>./results/research/utmost-inventory-20260909/inventory.json</x:v>
      </x:c>
      <x:c r="R700" s="26" t="str">
        <x:v>be35df020956807029290b9267e5779e1fce23757b6f4ea4c506b3b59f6a9fb6</x:v>
      </x:c>
      <x:c r="S700" s="26" t="str">
        <x:v>ba89e8073acef32627e1685d2d4380670118cecd42c464e125140cd775e1889d</x:v>
      </x:c>
      <x:c r="T700" s="26" t="str">
        <x:v>108d6c0be9659031b84d510e756eb846c2debdcd88ab6b11c0b30e87c901887c</x:v>
      </x:c>
    </x:row>
    <x:row r="701" ht="90" customHeight="1">
      <x:c r="A701" s="26" t="str">
        <x:v>J1141-6545</x:v>
      </x:c>
      <x:c r="B701" s="26"/>
      <x:c r="C701" s="26" t="str">
        <x:v>NOT_SEARCHED</x:v>
      </x:c>
      <x:c r="D701" s="26"/>
      <x:c r="E701" s="26" t="str">
        <x:v>No observed search</x:v>
      </x:c>
      <x:c r="F701" s="26" t="str">
        <x:v>Retain current-scope exclusion</x:v>
      </x:c>
      <x:c r="G701" s="26" t="str">
        <x:v>UTMOST EXCLUDED</x:v>
      </x:c>
      <x:c r="H701" s="27" t="n">
        <x:v>273</x:v>
      </x:c>
      <x:c r="I701" s="27" t="n">
        <x:v>236</x:v>
      </x:c>
      <x:c r="J701" s="28" t="n">
        <x:v>1264.5650395340713</x:v>
      </x:c>
      <x:c r="K701" s="26" t="str">
        <x:v>INVENTORIED; NOT SELECTED</x:v>
      </x:c>
      <x:c r="L701" s="26" t="str">
        <x:v>known_binary_or_wide_companion</x:v>
      </x:c>
      <x:c r="M701" s="26" t="str">
        <x:v>Absent from named inventory</x:v>
      </x:c>
      <x:c r="N701" s="26" t="str">
        <x:v>Absent from named inventory</x:v>
      </x:c>
      <x:c r="O701" s="26" t="str">
        <x:v>Absent from named inventory</x:v>
      </x:c>
      <x:c r="P701" s="26"/>
      <x:c r="Q701" s="26" t="str">
        <x:v>./results/research/utmost-inventory-20260909/inventory.json</x:v>
      </x:c>
      <x:c r="R701" s="26" t="str">
        <x:v>be35df020956807029290b9267e5779e1fce23757b6f4ea4c506b3b59f6a9fb6</x:v>
      </x:c>
      <x:c r="S701" s="26" t="str">
        <x:v>ffcd50a74a52f8fa43cc1f3f6a33d92f24a1ac7c0935fb21b8b7bb0ec484edc4</x:v>
      </x:c>
      <x:c r="T701" s="26" t="str">
        <x:v>94fca4b17c4890fc822db626deed37421170a56788ba0313c40e96cf2b1c3f38</x:v>
      </x:c>
    </x:row>
    <x:row r="702" ht="90" customHeight="1">
      <x:c r="A702" s="26" t="str">
        <x:v>J1231-6303</x:v>
      </x:c>
      <x:c r="B702" s="26"/>
      <x:c r="C702" s="26" t="str">
        <x:v>NO_TRIGGER</x:v>
      </x:c>
      <x:c r="D702" s="26" t="str">
        <x:v>utmost-batch03-20260909-J1231-6303-run01</x:v>
      </x:c>
      <x:c r="E702" s="26" t="str">
        <x:v>No qualifying signal in eligible 30–400-day cells</x:v>
      </x:c>
      <x:c r="F702" s="26" t="str">
        <x:v>Retain result; consider independent data or a separately defined new scope</x:v>
      </x:c>
      <x:c r="G702" s="26" t="str">
        <x:v>UTMOST SEARCHED</x:v>
      </x:c>
      <x:c r="H702" s="27" t="n">
        <x:v>79</x:v>
      </x:c>
      <x:c r="I702" s="27" t="n">
        <x:v>69</x:v>
      </x:c>
      <x:c r="J702" s="28" t="n">
        <x:v>1204.7808197817735</x:v>
      </x:c>
      <x:c r="K702" s="26" t="str">
        <x:v>INVENTORIED; NOT SELECTED</x:v>
      </x:c>
      <x:c r="L702" s="26"/>
      <x:c r="M702" s="26" t="str">
        <x:v>Absent from named inventory</x:v>
      </x:c>
      <x:c r="N702" s="26" t="str">
        <x:v>Absent from named inventory</x:v>
      </x:c>
      <x:c r="O702" s="26" t="str">
        <x:v>Absent from named inventory</x:v>
      </x:c>
      <x:c r="P702" s="26"/>
      <x:c r="Q702" s="26" t="str">
        <x:v>./results/research/utmost-inventory-20260909/inventory.json</x:v>
      </x:c>
      <x:c r="R702" s="26" t="str">
        <x:v>be35df020956807029290b9267e5779e1fce23757b6f4ea4c506b3b59f6a9fb6</x:v>
      </x:c>
      <x:c r="S702" s="26" t="str">
        <x:v>66c0e85d46c51b3c9c71c77d2d0b04605d2d6032267c490bf65d91680e0f5a18</x:v>
      </x:c>
      <x:c r="T702" s="26" t="str">
        <x:v>ffd3592e7cd181cac201cc9536e530b01cff48006a44b49d0eba293cd7ac1904</x:v>
      </x:c>
    </x:row>
    <x:row r="703" ht="90" customHeight="1">
      <x:c r="A703" s="26" t="str">
        <x:v>J1312-5402</x:v>
      </x:c>
      <x:c r="B703" s="26" t="str">
        <x:v>B1309-53</x:v>
      </x:c>
      <x:c r="C703" s="26" t="str">
        <x:v>NOT_SEARCHED</x:v>
      </x:c>
      <x:c r="D703" s="26"/>
      <x:c r="E703" s="26" t="str">
        <x:v>No observed search</x:v>
      </x:c>
      <x:c r="F703" s="26" t="str">
        <x:v>Retain current-scope exclusion</x:v>
      </x:c>
      <x:c r="G703" s="26" t="str">
        <x:v>UTMOST EXCLUDED</x:v>
      </x:c>
      <x:c r="H703" s="27" t="n">
        <x:v>36</x:v>
      </x:c>
      <x:c r="I703" s="27" t="n">
        <x:v>33</x:v>
      </x:c>
      <x:c r="J703" s="28" t="n">
        <x:v>1131.8731584163745</x:v>
      </x:c>
      <x:c r="K703" s="26" t="str">
        <x:v>INVENTORIED; NOT SELECTED</x:v>
      </x:c>
      <x:c r="L703" s="26" t="str">
        <x:v>span_below_1200_days, fewer_than_40_observing_days</x:v>
      </x:c>
      <x:c r="M703" s="26" t="str">
        <x:v>Absent from named inventory</x:v>
      </x:c>
      <x:c r="N703" s="26" t="str">
        <x:v>Absent from named inventory</x:v>
      </x:c>
      <x:c r="O703" s="26" t="str">
        <x:v>Absent from named inventory</x:v>
      </x:c>
      <x:c r="P703" s="26"/>
      <x:c r="Q703" s="26" t="str">
        <x:v>./results/research/utmost-inventory-20260909/inventory.json</x:v>
      </x:c>
      <x:c r="R703" s="26" t="str">
        <x:v>be35df020956807029290b9267e5779e1fce23757b6f4ea4c506b3b59f6a9fb6</x:v>
      </x:c>
      <x:c r="S703" s="26" t="str">
        <x:v>d955e1b2229cf1b55c28a5388d7333b801b38f365653e9dda71459b4560e8ced</x:v>
      </x:c>
      <x:c r="T703" s="26" t="str">
        <x:v>3d991b83bdfc8a60c2b9b54f04912f74dc560724eff4135fb875f08f454e7973</x:v>
      </x:c>
    </x:row>
    <x:row r="704" ht="90" customHeight="1">
      <x:c r="A704" s="26" t="str">
        <x:v>J1312-5516</x:v>
      </x:c>
      <x:c r="B704" s="26" t="str">
        <x:v>B1309-55</x:v>
      </x:c>
      <x:c r="C704" s="26" t="str">
        <x:v>NOT_SEARCHED</x:v>
      </x:c>
      <x:c r="D704" s="26"/>
      <x:c r="E704" s="26" t="str">
        <x:v>No observed search</x:v>
      </x:c>
      <x:c r="F704" s="26" t="str">
        <x:v>Retain current-scope exclusion</x:v>
      </x:c>
      <x:c r="G704" s="26" t="str">
        <x:v>UTMOST EXCLUDED</x:v>
      </x:c>
      <x:c r="H704" s="27" t="n">
        <x:v>98</x:v>
      </x:c>
      <x:c r="I704" s="27" t="n">
        <x:v>89</x:v>
      </x:c>
      <x:c r="J704" s="28" t="n">
        <x:v>1091.9213201406876</x:v>
      </x:c>
      <x:c r="K704" s="26" t="str">
        <x:v>INVENTORIED; NOT SELECTED</x:v>
      </x:c>
      <x:c r="L704" s="26" t="str">
        <x:v>span_below_1200_days</x:v>
      </x:c>
      <x:c r="M704" s="26" t="str">
        <x:v>Absent from named inventory</x:v>
      </x:c>
      <x:c r="N704" s="26" t="str">
        <x:v>Absent from named inventory</x:v>
      </x:c>
      <x:c r="O704" s="26" t="str">
        <x:v>Absent from named inventory</x:v>
      </x:c>
      <x:c r="P704" s="26"/>
      <x:c r="Q704" s="26" t="str">
        <x:v>./results/research/utmost-inventory-20260909/inventory.json</x:v>
      </x:c>
      <x:c r="R704" s="26" t="str">
        <x:v>be35df020956807029290b9267e5779e1fce23757b6f4ea4c506b3b59f6a9fb6</x:v>
      </x:c>
      <x:c r="S704" s="26" t="str">
        <x:v>9f53ab75463745c85e8b858687dc1b420e2cc9fa18a16eb3bc4f3383299f5c09</x:v>
      </x:c>
      <x:c r="T704" s="26" t="str">
        <x:v>099467e69df9b1bded4e34544e7f40eb71acd4ef1effb637a3a49e471d4dbe8d</x:v>
      </x:c>
    </x:row>
    <x:row r="705" ht="90" customHeight="1">
      <x:c r="A705" s="26" t="str">
        <x:v>J1350-5115</x:v>
      </x:c>
      <x:c r="B705" s="26"/>
      <x:c r="C705" s="26" t="str">
        <x:v>NOT_SEARCHED</x:v>
      </x:c>
      <x:c r="D705" s="26"/>
      <x:c r="E705" s="26" t="str">
        <x:v>No observed search</x:v>
      </x:c>
      <x:c r="F705" s="26" t="str">
        <x:v>Retain current-scope exclusion</x:v>
      </x:c>
      <x:c r="G705" s="26" t="str">
        <x:v>UTMOST EXCLUDED</x:v>
      </x:c>
      <x:c r="H705" s="27" t="n">
        <x:v>95</x:v>
      </x:c>
      <x:c r="I705" s="27" t="n">
        <x:v>64</x:v>
      </x:c>
      <x:c r="J705" s="28" t="n">
        <x:v>865.6024533872074</x:v>
      </x:c>
      <x:c r="K705" s="26" t="str">
        <x:v>INVENTORIED; NOT SELECTED</x:v>
      </x:c>
      <x:c r="L705" s="26" t="str">
        <x:v>span_below_1200_days</x:v>
      </x:c>
      <x:c r="M705" s="26" t="str">
        <x:v>Absent from named inventory</x:v>
      </x:c>
      <x:c r="N705" s="26" t="str">
        <x:v>Absent from named inventory</x:v>
      </x:c>
      <x:c r="O705" s="26" t="str">
        <x:v>Absent from named inventory</x:v>
      </x:c>
      <x:c r="P705" s="26"/>
      <x:c r="Q705" s="26" t="str">
        <x:v>./results/research/utmost-inventory-20260909/inventory.json</x:v>
      </x:c>
      <x:c r="R705" s="26" t="str">
        <x:v>be35df020956807029290b9267e5779e1fce23757b6f4ea4c506b3b59f6a9fb6</x:v>
      </x:c>
      <x:c r="S705" s="26" t="str">
        <x:v>b7693fcfaa852bbd95946af8d12bf1da51e8b01eb21061a5260335270dc7c114</x:v>
      </x:c>
      <x:c r="T705" s="26" t="str">
        <x:v>6d845efa7655c0015eaef0af0213cd8a31fe22df0d293ffee2653db30a177caf</x:v>
      </x:c>
    </x:row>
    <x:row r="706" ht="90" customHeight="1">
      <x:c r="A706" s="26" t="str">
        <x:v>J1355-5153</x:v>
      </x:c>
      <x:c r="B706" s="26" t="str">
        <x:v>B1352-51</x:v>
      </x:c>
      <x:c r="C706" s="26" t="str">
        <x:v>NOT_SEARCHED</x:v>
      </x:c>
      <x:c r="D706" s="26"/>
      <x:c r="E706" s="26" t="str">
        <x:v>No observed search</x:v>
      </x:c>
      <x:c r="F706" s="26" t="str">
        <x:v>Retain current-scope exclusion</x:v>
      </x:c>
      <x:c r="G706" s="26" t="str">
        <x:v>UTMOST EXCLUDED</x:v>
      </x:c>
      <x:c r="H706" s="27" t="n">
        <x:v>123</x:v>
      </x:c>
      <x:c r="I706" s="27" t="n">
        <x:v>106</x:v>
      </x:c>
      <x:c r="J706" s="28" t="n">
        <x:v>1136.8017969665088</x:v>
      </x:c>
      <x:c r="K706" s="26" t="str">
        <x:v>INVENTORIED; NOT SELECTED</x:v>
      </x:c>
      <x:c r="L706" s="26" t="str">
        <x:v>span_below_1200_days</x:v>
      </x:c>
      <x:c r="M706" s="26" t="str">
        <x:v>Absent from named inventory</x:v>
      </x:c>
      <x:c r="N706" s="26" t="str">
        <x:v>Absent from named inventory</x:v>
      </x:c>
      <x:c r="O706" s="26" t="str">
        <x:v>Absent from named inventory</x:v>
      </x:c>
      <x:c r="P706" s="26"/>
      <x:c r="Q706" s="26" t="str">
        <x:v>./results/research/utmost-inventory-20260909/inventory.json</x:v>
      </x:c>
      <x:c r="R706" s="26" t="str">
        <x:v>be35df020956807029290b9267e5779e1fce23757b6f4ea4c506b3b59f6a9fb6</x:v>
      </x:c>
      <x:c r="S706" s="26" t="str">
        <x:v>25e6b05872c5652f800b3c0698d080ca4ec4052cebfc7098c8342351961fba35</x:v>
      </x:c>
      <x:c r="T706" s="26" t="str">
        <x:v>3b00f48f9d0f623ef11dd10244d694982990ce5168caf4e620103fc43e523e06</x:v>
      </x:c>
    </x:row>
    <x:row r="707" ht="90" customHeight="1">
      <x:c r="A707" s="26" t="str">
        <x:v>J1420-5416</x:v>
      </x:c>
      <x:c r="B707" s="26" t="str">
        <x:v>B1417-54</x:v>
      </x:c>
      <x:c r="C707" s="26" t="str">
        <x:v>NOT_SEARCHED</x:v>
      </x:c>
      <x:c r="D707" s="26"/>
      <x:c r="E707" s="26" t="str">
        <x:v>No observed search</x:v>
      </x:c>
      <x:c r="F707" s="26" t="str">
        <x:v>Retain current-scope exclusion</x:v>
      </x:c>
      <x:c r="G707" s="26" t="str">
        <x:v>UTMOST EXCLUDED</x:v>
      </x:c>
      <x:c r="H707" s="27" t="n">
        <x:v>74</x:v>
      </x:c>
      <x:c r="I707" s="27" t="n">
        <x:v>69</x:v>
      </x:c>
      <x:c r="J707" s="28" t="n">
        <x:v>1097.981770299677</x:v>
      </x:c>
      <x:c r="K707" s="26" t="str">
        <x:v>INVENTORIED; NOT SELECTED</x:v>
      </x:c>
      <x:c r="L707" s="26" t="str">
        <x:v>span_below_1200_days</x:v>
      </x:c>
      <x:c r="M707" s="26" t="str">
        <x:v>Absent from named inventory</x:v>
      </x:c>
      <x:c r="N707" s="26" t="str">
        <x:v>Absent from named inventory</x:v>
      </x:c>
      <x:c r="O707" s="26" t="str">
        <x:v>Absent from named inventory</x:v>
      </x:c>
      <x:c r="P707" s="26"/>
      <x:c r="Q707" s="26" t="str">
        <x:v>./results/research/utmost-inventory-20260909/inventory.json</x:v>
      </x:c>
      <x:c r="R707" s="26" t="str">
        <x:v>be35df020956807029290b9267e5779e1fce23757b6f4ea4c506b3b59f6a9fb6</x:v>
      </x:c>
      <x:c r="S707" s="26" t="str">
        <x:v>343527f173d896aeb15e07be2b824b01074aee91a307f0981e746ff74612e136</x:v>
      </x:c>
      <x:c r="T707" s="26" t="str">
        <x:v>9fe99ffca30345c7ff1566db74996f259272c967dac974beccdcb9093ae2c1cf</x:v>
      </x:c>
    </x:row>
    <x:row r="708" ht="90" customHeight="1">
      <x:c r="A708" s="26" t="str">
        <x:v>J1457-5122</x:v>
      </x:c>
      <x:c r="B708" s="26" t="str">
        <x:v>B1454-51</x:v>
      </x:c>
      <x:c r="C708" s="26" t="str">
        <x:v>NOT_SEARCHED</x:v>
      </x:c>
      <x:c r="D708" s="26"/>
      <x:c r="E708" s="26" t="str">
        <x:v>No observed search</x:v>
      </x:c>
      <x:c r="F708" s="26" t="str">
        <x:v>Retain current-scope exclusion</x:v>
      </x:c>
      <x:c r="G708" s="26" t="str">
        <x:v>UTMOST EXCLUDED</x:v>
      </x:c>
      <x:c r="H708" s="27" t="n">
        <x:v>39</x:v>
      </x:c>
      <x:c r="I708" s="27" t="n">
        <x:v>36</x:v>
      </x:c>
      <x:c r="J708" s="28" t="n">
        <x:v>1079.8155098559612</x:v>
      </x:c>
      <x:c r="K708" s="26" t="str">
        <x:v>INVENTORIED; NOT SELECTED</x:v>
      </x:c>
      <x:c r="L708" s="26" t="str">
        <x:v>span_below_1200_days, fewer_than_40_observing_days</x:v>
      </x:c>
      <x:c r="M708" s="26" t="str">
        <x:v>Absent from named inventory</x:v>
      </x:c>
      <x:c r="N708" s="26" t="str">
        <x:v>Absent from named inventory</x:v>
      </x:c>
      <x:c r="O708" s="26" t="str">
        <x:v>Absent from named inventory</x:v>
      </x:c>
      <x:c r="P708" s="26"/>
      <x:c r="Q708" s="26" t="str">
        <x:v>./results/research/utmost-inventory-20260909/inventory.json</x:v>
      </x:c>
      <x:c r="R708" s="26" t="str">
        <x:v>be35df020956807029290b9267e5779e1fce23757b6f4ea4c506b3b59f6a9fb6</x:v>
      </x:c>
      <x:c r="S708" s="26" t="str">
        <x:v>b9f7110e6c151b161a2edcbc6583815aef057e7bdf76ca6d774fbb50f0c76095</x:v>
      </x:c>
      <x:c r="T708" s="26" t="str">
        <x:v>0ff010611d5cfd87f63559cabac4276f2ff47005ccea35490eea55641f966f95</x:v>
      </x:c>
    </x:row>
    <x:row r="709" ht="90" customHeight="1">
      <x:c r="A709" s="26" t="str">
        <x:v>J1512-5759</x:v>
      </x:c>
      <x:c r="B709" s="26" t="str">
        <x:v>B1508-57</x:v>
      </x:c>
      <x:c r="C709" s="26" t="str">
        <x:v>NOT_SEARCHED</x:v>
      </x:c>
      <x:c r="D709" s="26"/>
      <x:c r="E709" s="26" t="str">
        <x:v>No observed search</x:v>
      </x:c>
      <x:c r="F709" s="26" t="str">
        <x:v>Retain current-scope exclusion</x:v>
      </x:c>
      <x:c r="G709" s="26" t="str">
        <x:v>UTMOST EXCLUDED</x:v>
      </x:c>
      <x:c r="H709" s="27" t="n">
        <x:v>177</x:v>
      </x:c>
      <x:c r="I709" s="27" t="n">
        <x:v>166</x:v>
      </x:c>
      <x:c r="J709" s="28" t="n">
        <x:v>1137.945138847847</x:v>
      </x:c>
      <x:c r="K709" s="26" t="str">
        <x:v>INVENTORIED; NOT SELECTED</x:v>
      </x:c>
      <x:c r="L709" s="26" t="str">
        <x:v>span_below_1200_days</x:v>
      </x:c>
      <x:c r="M709" s="26" t="str">
        <x:v>Absent from named inventory</x:v>
      </x:c>
      <x:c r="N709" s="26" t="str">
        <x:v>Absent from named inventory</x:v>
      </x:c>
      <x:c r="O709" s="26" t="str">
        <x:v>Absent from named inventory</x:v>
      </x:c>
      <x:c r="P709" s="26"/>
      <x:c r="Q709" s="26" t="str">
        <x:v>./results/research/utmost-inventory-20260909/inventory.json</x:v>
      </x:c>
      <x:c r="R709" s="26" t="str">
        <x:v>be35df020956807029290b9267e5779e1fce23757b6f4ea4c506b3b59f6a9fb6</x:v>
      </x:c>
      <x:c r="S709" s="26" t="str">
        <x:v>80c9811a32f3f70db8097e96ee590a9d278d814688ade234feae5bfa1e486109</x:v>
      </x:c>
      <x:c r="T709" s="26" t="str">
        <x:v>e684f4e2e4eb39320962840f0def5f170fda50bb0c19fd293a214ed85423d91d</x:v>
      </x:c>
    </x:row>
    <x:row r="710" ht="90" customHeight="1">
      <x:c r="A710" s="26" t="str">
        <x:v>J1527-3931</x:v>
      </x:c>
      <x:c r="B710" s="26" t="str">
        <x:v>B1524-39</x:v>
      </x:c>
      <x:c r="C710" s="26" t="str">
        <x:v>NOT_SEARCHED</x:v>
      </x:c>
      <x:c r="D710" s="26"/>
      <x:c r="E710" s="26" t="str">
        <x:v>No observed search</x:v>
      </x:c>
      <x:c r="F710" s="26" t="str">
        <x:v>Retain current-scope exclusion</x:v>
      </x:c>
      <x:c r="G710" s="26" t="str">
        <x:v>UTMOST EXCLUDED</x:v>
      </x:c>
      <x:c r="H710" s="27" t="n">
        <x:v>36</x:v>
      </x:c>
      <x:c r="I710" s="27" t="n">
        <x:v>32</x:v>
      </x:c>
      <x:c r="J710" s="28" t="n">
        <x:v>1141.8061524878055</x:v>
      </x:c>
      <x:c r="K710" s="26" t="str">
        <x:v>INVENTORIED; NOT SELECTED</x:v>
      </x:c>
      <x:c r="L710" s="26" t="str">
        <x:v>span_below_1200_days, fewer_than_40_observing_days</x:v>
      </x:c>
      <x:c r="M710" s="26" t="str">
        <x:v>Absent from named inventory</x:v>
      </x:c>
      <x:c r="N710" s="26" t="str">
        <x:v>Absent from named inventory</x:v>
      </x:c>
      <x:c r="O710" s="26" t="str">
        <x:v>Absent from named inventory</x:v>
      </x:c>
      <x:c r="P710" s="26"/>
      <x:c r="Q710" s="26" t="str">
        <x:v>./results/research/utmost-inventory-20260909/inventory.json</x:v>
      </x:c>
      <x:c r="R710" s="26" t="str">
        <x:v>be35df020956807029290b9267e5779e1fce23757b6f4ea4c506b3b59f6a9fb6</x:v>
      </x:c>
      <x:c r="S710" s="26" t="str">
        <x:v>75c6d59bede0f0308fce9e185083ca1cd971dcf2e1a8aa9da6e11714e5745cc5</x:v>
      </x:c>
      <x:c r="T710" s="26" t="str">
        <x:v>d2055a63818406f8e899c693719081c822c0e6ce487e5097a128d980cf0b7e45</x:v>
      </x:c>
    </x:row>
    <x:row r="711" ht="90" customHeight="1">
      <x:c r="A711" s="26" t="str">
        <x:v>J1528-3146</x:v>
      </x:c>
      <x:c r="B711" s="26"/>
      <x:c r="C711" s="26" t="str">
        <x:v>NOT_SEARCHED</x:v>
      </x:c>
      <x:c r="D711" s="26"/>
      <x:c r="E711" s="26" t="str">
        <x:v>No observed search</x:v>
      </x:c>
      <x:c r="F711" s="26" t="str">
        <x:v>Retain current-scope exclusion</x:v>
      </x:c>
      <x:c r="G711" s="26" t="str">
        <x:v>UTMOST EXCLUDED</x:v>
      </x:c>
      <x:c r="H711" s="27" t="n">
        <x:v>25</x:v>
      </x:c>
      <x:c r="I711" s="27" t="n">
        <x:v>22</x:v>
      </x:c>
      <x:c r="J711" s="28" t="n">
        <x:v>1086.9826439344906</x:v>
      </x:c>
      <x:c r="K711" s="26" t="str">
        <x:v>INVENTORIED; NOT SELECTED</x:v>
      </x:c>
      <x:c r="L711" s="26" t="str">
        <x:v>known_binary_or_wide_companion, span_below_1200_days, fewer_than_40_observing_days</x:v>
      </x:c>
      <x:c r="M711" s="26" t="str">
        <x:v>Absent from named inventory</x:v>
      </x:c>
      <x:c r="N711" s="26" t="str">
        <x:v>Absent from named inventory</x:v>
      </x:c>
      <x:c r="O711" s="26" t="str">
        <x:v>Absent from named inventory</x:v>
      </x:c>
      <x:c r="P711" s="26"/>
      <x:c r="Q711" s="26" t="str">
        <x:v>./results/research/utmost-inventory-20260909/inventory.json</x:v>
      </x:c>
      <x:c r="R711" s="26" t="str">
        <x:v>be35df020956807029290b9267e5779e1fce23757b6f4ea4c506b3b59f6a9fb6</x:v>
      </x:c>
      <x:c r="S711" s="26" t="str">
        <x:v>640681978873d2d705bb98b844b23fff48b72a35fd5c1145bfaaea4c49c10bc8</x:v>
      </x:c>
      <x:c r="T711" s="26" t="str">
        <x:v>33c0c46d3dbce6825d593c9bb3bfa9422f34baa8d0dc753f1cc84c4166486eb2</x:v>
      </x:c>
    </x:row>
    <x:row r="712" ht="90" customHeight="1">
      <x:c r="A712" s="26" t="str">
        <x:v>J1553-5456</x:v>
      </x:c>
      <x:c r="B712" s="26" t="str">
        <x:v>B1550-54</x:v>
      </x:c>
      <x:c r="C712" s="26" t="str">
        <x:v>NOT_SEARCHED</x:v>
      </x:c>
      <x:c r="D712" s="26"/>
      <x:c r="E712" s="26" t="str">
        <x:v>No observed search</x:v>
      </x:c>
      <x:c r="F712" s="26" t="str">
        <x:v>Retain current-scope exclusion</x:v>
      </x:c>
      <x:c r="G712" s="26" t="str">
        <x:v>UTMOST EXCLUDED</x:v>
      </x:c>
      <x:c r="H712" s="27" t="n">
        <x:v>73</x:v>
      </x:c>
      <x:c r="I712" s="27" t="n">
        <x:v>57</x:v>
      </x:c>
      <x:c r="J712" s="28" t="n">
        <x:v>431.81570653699333</x:v>
      </x:c>
      <x:c r="K712" s="26" t="str">
        <x:v>INVENTORIED; NOT SELECTED</x:v>
      </x:c>
      <x:c r="L712" s="26" t="str">
        <x:v>span_below_1200_days</x:v>
      </x:c>
      <x:c r="M712" s="26" t="str">
        <x:v>Absent from named inventory</x:v>
      </x:c>
      <x:c r="N712" s="26" t="str">
        <x:v>Absent from named inventory</x:v>
      </x:c>
      <x:c r="O712" s="26" t="str">
        <x:v>Absent from named inventory</x:v>
      </x:c>
      <x:c r="P712" s="26"/>
      <x:c r="Q712" s="26" t="str">
        <x:v>./results/research/utmost-inventory-20260909/inventory.json</x:v>
      </x:c>
      <x:c r="R712" s="26" t="str">
        <x:v>be35df020956807029290b9267e5779e1fce23757b6f4ea4c506b3b59f6a9fb6</x:v>
      </x:c>
      <x:c r="S712" s="26" t="str">
        <x:v>b8319549361c5b727d12718e6585a4035d87573066366829952badf7bc08b48e</x:v>
      </x:c>
      <x:c r="T712" s="26" t="str">
        <x:v>aac766ef538d884f0d9fa0dbf0160500640ebcd96d8fcd0869f706f7305d3f0b</x:v>
      </x:c>
    </x:row>
    <x:row r="713" ht="90" customHeight="1">
      <x:c r="A713" s="26" t="str">
        <x:v>J1559-5545</x:v>
      </x:c>
      <x:c r="B713" s="26" t="str">
        <x:v>B1555-55</x:v>
      </x:c>
      <x:c r="C713" s="26" t="str">
        <x:v>NOT_SEARCHED</x:v>
      </x:c>
      <x:c r="D713" s="26"/>
      <x:c r="E713" s="26" t="str">
        <x:v>No observed search</x:v>
      </x:c>
      <x:c r="F713" s="26" t="str">
        <x:v>Retain current-scope exclusion</x:v>
      </x:c>
      <x:c r="G713" s="26" t="str">
        <x:v>UTMOST EXCLUDED</x:v>
      </x:c>
      <x:c r="H713" s="27" t="n">
        <x:v>87</x:v>
      </x:c>
      <x:c r="I713" s="27" t="n">
        <x:v>72</x:v>
      </x:c>
      <x:c r="J713" s="28" t="n">
        <x:v>1244.607586045767</x:v>
      </x:c>
      <x:c r="K713" s="26" t="str">
        <x:v>INVENTORIED; NOT SELECTED</x:v>
      </x:c>
      <x:c r="L713" s="26" t="str">
        <x:v>published_glitch_model</x:v>
      </x:c>
      <x:c r="M713" s="26" t="str">
        <x:v>Absent from named inventory</x:v>
      </x:c>
      <x:c r="N713" s="26" t="str">
        <x:v>Absent from named inventory</x:v>
      </x:c>
      <x:c r="O713" s="26" t="str">
        <x:v>Absent from named inventory</x:v>
      </x:c>
      <x:c r="P713" s="26"/>
      <x:c r="Q713" s="26" t="str">
        <x:v>./results/research/utmost-inventory-20260909/inventory.json</x:v>
      </x:c>
      <x:c r="R713" s="26" t="str">
        <x:v>be35df020956807029290b9267e5779e1fce23757b6f4ea4c506b3b59f6a9fb6</x:v>
      </x:c>
      <x:c r="S713" s="26" t="str">
        <x:v>9d6dd080697349c9a8ab778147bf39654ac6d066cb0d417173b3891d534432bb</x:v>
      </x:c>
      <x:c r="T713" s="26" t="str">
        <x:v>004ddfb2b625b04f297b7a81761e570f14bc5247bfd51def33a892ed6e61eba2</x:v>
      </x:c>
    </x:row>
    <x:row r="714" ht="90" customHeight="1">
      <x:c r="A714" s="26" t="str">
        <x:v>J1603-2531</x:v>
      </x:c>
      <x:c r="B714" s="26"/>
      <x:c r="C714" s="26" t="str">
        <x:v>NOT_SEARCHED</x:v>
      </x:c>
      <x:c r="D714" s="26"/>
      <x:c r="E714" s="26" t="str">
        <x:v>No observed search</x:v>
      </x:c>
      <x:c r="F714" s="26" t="str">
        <x:v>Retain current-scope exclusion</x:v>
      </x:c>
      <x:c r="G714" s="26" t="str">
        <x:v>UTMOST EXCLUDED</x:v>
      </x:c>
      <x:c r="H714" s="27" t="n">
        <x:v>29</x:v>
      </x:c>
      <x:c r="I714" s="27" t="n">
        <x:v>28</x:v>
      </x:c>
      <x:c r="J714" s="28" t="n">
        <x:v>1198.7500703343362</x:v>
      </x:c>
      <x:c r="K714" s="26" t="str">
        <x:v>INVENTORIED; NOT SELECTED</x:v>
      </x:c>
      <x:c r="L714" s="26" t="str">
        <x:v>span_below_1200_days, fewer_than_40_observing_days</x:v>
      </x:c>
      <x:c r="M714" s="26" t="str">
        <x:v>Present</x:v>
      </x:c>
      <x:c r="N714" s="26" t="str">
        <x:v>Absent from named inventory</x:v>
      </x:c>
      <x:c r="O714" s="26" t="str">
        <x:v>Absent from named inventory</x:v>
      </x:c>
      <x:c r="P714" s="26"/>
      <x:c r="Q714" s="26" t="str">
        <x:v>./results/research/utmost-inventory-20260909/inventory.json</x:v>
      </x:c>
      <x:c r="R714" s="26" t="str">
        <x:v>be35df020956807029290b9267e5779e1fce23757b6f4ea4c506b3b59f6a9fb6</x:v>
      </x:c>
      <x:c r="S714" s="26" t="str">
        <x:v>cdea7c887689ba552ac1d81bd984451798ed96ae27fbb8f4f6ca497802265c43</x:v>
      </x:c>
      <x:c r="T714" s="26" t="str">
        <x:v>8946013008ada3c6e5db4af3760566c6557ac4b09e6c6815662116900199b0f2</x:v>
      </x:c>
    </x:row>
    <x:row r="715" ht="90" customHeight="1">
      <x:c r="A715" s="26" t="str">
        <x:v>J1622-4950</x:v>
      </x:c>
      <x:c r="B715" s="26"/>
      <x:c r="C715" s="26" t="str">
        <x:v>NOT_SEARCHED</x:v>
      </x:c>
      <x:c r="D715" s="26"/>
      <x:c r="E715" s="26" t="str">
        <x:v>No observed search</x:v>
      </x:c>
      <x:c r="F715" s="26" t="str">
        <x:v>Retain current-scope exclusion</x:v>
      </x:c>
      <x:c r="G715" s="26" t="str">
        <x:v>UTMOST EXCLUDED</x:v>
      </x:c>
      <x:c r="H715" s="27" t="n">
        <x:v>77</x:v>
      </x:c>
      <x:c r="I715" s="27" t="n">
        <x:v>70</x:v>
      </x:c>
      <x:c r="J715" s="28" t="n">
        <x:v>430.82602036273903</x:v>
      </x:c>
      <x:c r="K715" s="26" t="str">
        <x:v>INVENTORIED; NOT SELECTED</x:v>
      </x:c>
      <x:c r="L715" s="26" t="str">
        <x:v>span_below_1200_days</x:v>
      </x:c>
      <x:c r="M715" s="26" t="str">
        <x:v>Absent from named inventory</x:v>
      </x:c>
      <x:c r="N715" s="26" t="str">
        <x:v>Absent from named inventory</x:v>
      </x:c>
      <x:c r="O715" s="26" t="str">
        <x:v>Absent from named inventory</x:v>
      </x:c>
      <x:c r="P715" s="26"/>
      <x:c r="Q715" s="26" t="str">
        <x:v>./results/research/utmost-inventory-20260909/inventory.json</x:v>
      </x:c>
      <x:c r="R715" s="26" t="str">
        <x:v>be35df020956807029290b9267e5779e1fce23757b6f4ea4c506b3b59f6a9fb6</x:v>
      </x:c>
      <x:c r="S715" s="26" t="str">
        <x:v>3f7d3d4dbc80172be42debe56e91e2b3c47d9553cb49032bcd7738b34f765450</x:v>
      </x:c>
      <x:c r="T715" s="26" t="str">
        <x:v>68df517aaed07195b192cb1e0df56f1a24f91f5fe77f0a8354beeab63e28aaea</x:v>
      </x:c>
    </x:row>
    <x:row r="716" ht="90" customHeight="1">
      <x:c r="A716" s="26" t="str">
        <x:v>J1623-4256</x:v>
      </x:c>
      <x:c r="B716" s="26" t="str">
        <x:v>B1620-42</x:v>
      </x:c>
      <x:c r="C716" s="26" t="str">
        <x:v>NO_TRIGGER</x:v>
      </x:c>
      <x:c r="D716" s="26" t="str">
        <x:v>utmost-batch03-20260909-J1623-4256-run01</x:v>
      </x:c>
      <x:c r="E716" s="26" t="str">
        <x:v>No qualifying signal in eligible 30–400-day cells</x:v>
      </x:c>
      <x:c r="F716" s="26" t="str">
        <x:v>Retain result; consider independent data or a separately defined new scope</x:v>
      </x:c>
      <x:c r="G716" s="26" t="str">
        <x:v>UTMOST SEARCHED</x:v>
      </x:c>
      <x:c r="H716" s="27" t="n">
        <x:v>57</x:v>
      </x:c>
      <x:c r="I716" s="27" t="n">
        <x:v>54</x:v>
      </x:c>
      <x:c r="J716" s="28" t="n">
        <x:v>1237.5923363969373</x:v>
      </x:c>
      <x:c r="K716" s="26" t="str">
        <x:v>INVENTORIED; NOT SELECTED</x:v>
      </x:c>
      <x:c r="L716" s="26"/>
      <x:c r="M716" s="26" t="str">
        <x:v>Absent from named inventory</x:v>
      </x:c>
      <x:c r="N716" s="26" t="str">
        <x:v>Absent from named inventory</x:v>
      </x:c>
      <x:c r="O716" s="26" t="str">
        <x:v>Absent from named inventory</x:v>
      </x:c>
      <x:c r="P716" s="26"/>
      <x:c r="Q716" s="26" t="str">
        <x:v>./results/research/utmost-inventory-20260909/inventory.json</x:v>
      </x:c>
      <x:c r="R716" s="26" t="str">
        <x:v>be35df020956807029290b9267e5779e1fce23757b6f4ea4c506b3b59f6a9fb6</x:v>
      </x:c>
      <x:c r="S716" s="26" t="str">
        <x:v>8300c9898d15bcda17cba648994500bb15a3fbf0e863077f04c3bbfdf2c464dd</x:v>
      </x:c>
      <x:c r="T716" s="26" t="str">
        <x:v>94e01260ff1d047397b7ed32566ea466dfcf520e183e603b694e5b21c98d1c86</x:v>
      </x:c>
    </x:row>
    <x:row r="717" ht="90" customHeight="1">
      <x:c r="A717" s="26" t="str">
        <x:v>J1633-4453</x:v>
      </x:c>
      <x:c r="B717" s="26" t="str">
        <x:v>B1630-44</x:v>
      </x:c>
      <x:c r="C717" s="26" t="str">
        <x:v>NOT_SEARCHED</x:v>
      </x:c>
      <x:c r="D717" s="26"/>
      <x:c r="E717" s="26" t="str">
        <x:v>No observed search</x:v>
      </x:c>
      <x:c r="F717" s="26" t="str">
        <x:v>Retain current-scope exclusion</x:v>
      </x:c>
      <x:c r="G717" s="26" t="str">
        <x:v>UTMOST EXCLUDED</x:v>
      </x:c>
      <x:c r="H717" s="27" t="n">
        <x:v>33</x:v>
      </x:c>
      <x:c r="I717" s="27" t="n">
        <x:v>30</x:v>
      </x:c>
      <x:c r="J717" s="28" t="n">
        <x:v>440.7891090865442</x:v>
      </x:c>
      <x:c r="K717" s="26" t="str">
        <x:v>INVENTORIED; NOT SELECTED</x:v>
      </x:c>
      <x:c r="L717" s="26" t="str">
        <x:v>span_below_1200_days, fewer_than_40_observing_days</x:v>
      </x:c>
      <x:c r="M717" s="26" t="str">
        <x:v>Absent from named inventory</x:v>
      </x:c>
      <x:c r="N717" s="26" t="str">
        <x:v>Absent from named inventory</x:v>
      </x:c>
      <x:c r="O717" s="26" t="str">
        <x:v>Absent from named inventory</x:v>
      </x:c>
      <x:c r="P717" s="26"/>
      <x:c r="Q717" s="26" t="str">
        <x:v>./results/research/utmost-inventory-20260909/inventory.json</x:v>
      </x:c>
      <x:c r="R717" s="26" t="str">
        <x:v>be35df020956807029290b9267e5779e1fce23757b6f4ea4c506b3b59f6a9fb6</x:v>
      </x:c>
      <x:c r="S717" s="26" t="str">
        <x:v>88197c3acf9665b7cdfabf275a2304dc1c08a30c197b62ecbc64be1ecc767598</x:v>
      </x:c>
      <x:c r="T717" s="26" t="str">
        <x:v>d04e6f70fc1ff51d9dbc5f12466e4c1d27e0a9969a86f7ca9d6ee4459d476ee8</x:v>
      </x:c>
    </x:row>
    <x:row r="718" ht="90" customHeight="1">
      <x:c r="A718" s="26" t="str">
        <x:v>J1644-4559</x:v>
      </x:c>
      <x:c r="B718" s="26" t="str">
        <x:v>B1641-45</x:v>
      </x:c>
      <x:c r="C718" s="26" t="str">
        <x:v>NO_TRIGGER</x:v>
      </x:c>
      <x:c r="D718" s="26" t="str">
        <x:v>utmost-batch02-20260909-J1644-4559-run01</x:v>
      </x:c>
      <x:c r="E718" s="26" t="str">
        <x:v>No qualifying signal in eligible 30–400-day cells</x:v>
      </x:c>
      <x:c r="F718" s="26" t="str">
        <x:v>Retain result; consider independent data or a separately defined new scope</x:v>
      </x:c>
      <x:c r="G718" s="26" t="str">
        <x:v>UTMOST SEARCHED</x:v>
      </x:c>
      <x:c r="H718" s="27" t="n">
        <x:v>648</x:v>
      </x:c>
      <x:c r="I718" s="27" t="n">
        <x:v>433</x:v>
      </x:c>
      <x:c r="J718" s="28" t="n">
        <x:v>1462.0110445575363</x:v>
      </x:c>
      <x:c r="K718" s="26" t="str">
        <x:v>INVENTORIED; NOT SELECTED</x:v>
      </x:c>
      <x:c r="L718" s="26"/>
      <x:c r="M718" s="26" t="str">
        <x:v>Absent from named inventory</x:v>
      </x:c>
      <x:c r="N718" s="26" t="str">
        <x:v>Absent from named inventory</x:v>
      </x:c>
      <x:c r="O718" s="26" t="str">
        <x:v>Absent from named inventory</x:v>
      </x:c>
      <x:c r="P718" s="26"/>
      <x:c r="Q718" s="26" t="str">
        <x:v>./results/research/utmost-inventory-20260909/inventory.json</x:v>
      </x:c>
      <x:c r="R718" s="26" t="str">
        <x:v>be35df020956807029290b9267e5779e1fce23757b6f4ea4c506b3b59f6a9fb6</x:v>
      </x:c>
      <x:c r="S718" s="26" t="str">
        <x:v>2f8e935f3a32c598a9ed611c66443fd5e6298b485539c8b9c9bb6ee687077ba8</x:v>
      </x:c>
      <x:c r="T718" s="26" t="str">
        <x:v>8f8bfc9f9efc9b0fbdad44f85a09fde6b1f92d51d8fa3aa53133aab48bc55ea4</x:v>
      </x:c>
    </x:row>
    <x:row r="719" ht="90" customHeight="1">
      <x:c r="A719" s="26" t="str">
        <x:v>J1651-5255</x:v>
      </x:c>
      <x:c r="B719" s="26" t="str">
        <x:v>B1647-528</x:v>
      </x:c>
      <x:c r="C719" s="26" t="str">
        <x:v>NOT_SEARCHED</x:v>
      </x:c>
      <x:c r="D719" s="26"/>
      <x:c r="E719" s="26" t="str">
        <x:v>No observed search</x:v>
      </x:c>
      <x:c r="F719" s="26" t="str">
        <x:v>Retain current-scope exclusion</x:v>
      </x:c>
      <x:c r="G719" s="26" t="str">
        <x:v>UTMOST EXCLUDED</x:v>
      </x:c>
      <x:c r="H719" s="27" t="n">
        <x:v>71</x:v>
      </x:c>
      <x:c r="I719" s="27" t="n">
        <x:v>57</x:v>
      </x:c>
      <x:c r="J719" s="28" t="n">
        <x:v>1118.8653284060456</x:v>
      </x:c>
      <x:c r="K719" s="26" t="str">
        <x:v>INVENTORIED; NOT SELECTED</x:v>
      </x:c>
      <x:c r="L719" s="26" t="str">
        <x:v>span_below_1200_days</x:v>
      </x:c>
      <x:c r="M719" s="26" t="str">
        <x:v>Absent from named inventory</x:v>
      </x:c>
      <x:c r="N719" s="26" t="str">
        <x:v>Absent from named inventory</x:v>
      </x:c>
      <x:c r="O719" s="26" t="str">
        <x:v>Absent from named inventory</x:v>
      </x:c>
      <x:c r="P719" s="26"/>
      <x:c r="Q719" s="26" t="str">
        <x:v>./results/research/utmost-inventory-20260909/inventory.json</x:v>
      </x:c>
      <x:c r="R719" s="26" t="str">
        <x:v>be35df020956807029290b9267e5779e1fce23757b6f4ea4c506b3b59f6a9fb6</x:v>
      </x:c>
      <x:c r="S719" s="26" t="str">
        <x:v>96057be5a76995492c34640c7921541f7d9d0d7dced6138cca285e625dd74233</x:v>
      </x:c>
      <x:c r="T719" s="26" t="str">
        <x:v>51f82e30f645895d1e797f641b33f975810dfdac8e330847fa4d4ecd7ab17a75</x:v>
      </x:c>
    </x:row>
    <x:row r="720" ht="90" customHeight="1">
      <x:c r="A720" s="26" t="str">
        <x:v>J1652-2404</x:v>
      </x:c>
      <x:c r="B720" s="26" t="str">
        <x:v>B1649-23</x:v>
      </x:c>
      <x:c r="C720" s="26" t="str">
        <x:v>NOT_SEARCHED</x:v>
      </x:c>
      <x:c r="D720" s="26"/>
      <x:c r="E720" s="26" t="str">
        <x:v>No observed search</x:v>
      </x:c>
      <x:c r="F720" s="26" t="str">
        <x:v>Retain current-scope exclusion</x:v>
      </x:c>
      <x:c r="G720" s="26" t="str">
        <x:v>UTMOST EXCLUDED</x:v>
      </x:c>
      <x:c r="H720" s="27" t="n">
        <x:v>27</x:v>
      </x:c>
      <x:c r="I720" s="27" t="n">
        <x:v>25</x:v>
      </x:c>
      <x:c r="J720" s="28" t="n">
        <x:v>1023.0508945537189</x:v>
      </x:c>
      <x:c r="K720" s="26" t="str">
        <x:v>INVENTORIED; NOT SELECTED</x:v>
      </x:c>
      <x:c r="L720" s="26" t="str">
        <x:v>span_below_1200_days, fewer_than_40_observing_days</x:v>
      </x:c>
      <x:c r="M720" s="26" t="str">
        <x:v>Present</x:v>
      </x:c>
      <x:c r="N720" s="26" t="str">
        <x:v>Absent from named inventory</x:v>
      </x:c>
      <x:c r="O720" s="26" t="str">
        <x:v>Absent from named inventory</x:v>
      </x:c>
      <x:c r="P720" s="26"/>
      <x:c r="Q720" s="26" t="str">
        <x:v>./results/research/utmost-inventory-20260909/inventory.json</x:v>
      </x:c>
      <x:c r="R720" s="26" t="str">
        <x:v>be35df020956807029290b9267e5779e1fce23757b6f4ea4c506b3b59f6a9fb6</x:v>
      </x:c>
      <x:c r="S720" s="26" t="str">
        <x:v>1e94a97ff616acffa73a276b07672b446c07a4aff7a1372264068884bb65a676</x:v>
      </x:c>
      <x:c r="T720" s="26" t="str">
        <x:v>4e511bb1978a64a2e8cc774d3b2612f59c5dde064562dafc39b251a0d73d964f</x:v>
      </x:c>
    </x:row>
    <x:row r="721" ht="90" customHeight="1">
      <x:c r="A721" s="26" t="str">
        <x:v>J1701-3726</x:v>
      </x:c>
      <x:c r="B721" s="26" t="str">
        <x:v>B1658-37</x:v>
      </x:c>
      <x:c r="C721" s="26" t="str">
        <x:v>NOT_SEARCHED</x:v>
      </x:c>
      <x:c r="D721" s="26"/>
      <x:c r="E721" s="26" t="str">
        <x:v>No observed search</x:v>
      </x:c>
      <x:c r="F721" s="26" t="str">
        <x:v>Retain current-scope exclusion</x:v>
      </x:c>
      <x:c r="G721" s="26" t="str">
        <x:v>UTMOST EXCLUDED</x:v>
      </x:c>
      <x:c r="H721" s="27" t="n">
        <x:v>62</x:v>
      </x:c>
      <x:c r="I721" s="27" t="n">
        <x:v>51</x:v>
      </x:c>
      <x:c r="J721" s="28" t="n">
        <x:v>1129.816526583122</x:v>
      </x:c>
      <x:c r="K721" s="26" t="str">
        <x:v>INVENTORIED; NOT SELECTED</x:v>
      </x:c>
      <x:c r="L721" s="26" t="str">
        <x:v>span_below_1200_days</x:v>
      </x:c>
      <x:c r="M721" s="26" t="str">
        <x:v>Absent from named inventory</x:v>
      </x:c>
      <x:c r="N721" s="26" t="str">
        <x:v>Absent from named inventory</x:v>
      </x:c>
      <x:c r="O721" s="26" t="str">
        <x:v>Absent from named inventory</x:v>
      </x:c>
      <x:c r="P721" s="26"/>
      <x:c r="Q721" s="26" t="str">
        <x:v>./results/research/utmost-inventory-20260909/inventory.json</x:v>
      </x:c>
      <x:c r="R721" s="26" t="str">
        <x:v>be35df020956807029290b9267e5779e1fce23757b6f4ea4c506b3b59f6a9fb6</x:v>
      </x:c>
      <x:c r="S721" s="26" t="str">
        <x:v>49c9bc80760cc520238252801b46c4c345eb8b38b41a7aec957eab7e258ab477</x:v>
      </x:c>
      <x:c r="T721" s="26" t="str">
        <x:v>f12a7727bffda9501fc445709133d5b4a6e74b3fadf73ca94458315e496f4e64</x:v>
      </x:c>
    </x:row>
    <x:row r="722" ht="90" customHeight="1">
      <x:c r="A722" s="26" t="str">
        <x:v>J1707-4053</x:v>
      </x:c>
      <x:c r="B722" s="26" t="str">
        <x:v>B1703-40</x:v>
      </x:c>
      <x:c r="C722" s="26" t="str">
        <x:v>NO_TRIGGER</x:v>
      </x:c>
      <x:c r="D722" s="26" t="str">
        <x:v>utmost-batch03-20260909-J1707-4053-run01</x:v>
      </x:c>
      <x:c r="E722" s="26" t="str">
        <x:v>No qualifying signal in eligible 30–400-day cells</x:v>
      </x:c>
      <x:c r="F722" s="26" t="str">
        <x:v>Retain result; consider independent data or a separately defined new scope</x:v>
      </x:c>
      <x:c r="G722" s="26" t="str">
        <x:v>UTMOST SEARCHED</x:v>
      </x:c>
      <x:c r="H722" s="27" t="n">
        <x:v>57</x:v>
      </x:c>
      <x:c r="I722" s="27" t="n">
        <x:v>56</x:v>
      </x:c>
      <x:c r="J722" s="28" t="n">
        <x:v>1249.5812560044212</x:v>
      </x:c>
      <x:c r="K722" s="26" t="str">
        <x:v>INVENTORIED; NOT SELECTED</x:v>
      </x:c>
      <x:c r="L722" s="26"/>
      <x:c r="M722" s="26" t="str">
        <x:v>Absent from named inventory</x:v>
      </x:c>
      <x:c r="N722" s="26" t="str">
        <x:v>Absent from named inventory</x:v>
      </x:c>
      <x:c r="O722" s="26" t="str">
        <x:v>Absent from named inventory</x:v>
      </x:c>
      <x:c r="P722" s="26"/>
      <x:c r="Q722" s="26" t="str">
        <x:v>./results/research/utmost-inventory-20260909/inventory.json</x:v>
      </x:c>
      <x:c r="R722" s="26" t="str">
        <x:v>be35df020956807029290b9267e5779e1fce23757b6f4ea4c506b3b59f6a9fb6</x:v>
      </x:c>
      <x:c r="S722" s="26" t="str">
        <x:v>6fb39925de21c3e0e7c4b4b0af1982df8e0471afd7ddbdd46180baf8e74f13af</x:v>
      </x:c>
      <x:c r="T722" s="26" t="str">
        <x:v>810029b47e6b1b1b15410e0c9a3b8f1fb771a5fc1b506ada663162074d6d7fee</x:v>
      </x:c>
    </x:row>
    <x:row r="723" ht="90" customHeight="1">
      <x:c r="A723" s="26" t="str">
        <x:v>J1708-3426</x:v>
      </x:c>
      <x:c r="B723" s="26"/>
      <x:c r="C723" s="26" t="str">
        <x:v>NOT_SEARCHED</x:v>
      </x:c>
      <x:c r="D723" s="26"/>
      <x:c r="E723" s="26" t="str">
        <x:v>No observed search</x:v>
      </x:c>
      <x:c r="F723" s="26" t="str">
        <x:v>Retain current-scope exclusion</x:v>
      </x:c>
      <x:c r="G723" s="26" t="str">
        <x:v>UTMOST EXCLUDED</x:v>
      </x:c>
      <x:c r="H723" s="27" t="n">
        <x:v>52</x:v>
      </x:c>
      <x:c r="I723" s="27" t="n">
        <x:v>46</x:v>
      </x:c>
      <x:c r="J723" s="28" t="n">
        <x:v>1194.6668248911715</x:v>
      </x:c>
      <x:c r="K723" s="26" t="str">
        <x:v>INVENTORIED; NOT SELECTED</x:v>
      </x:c>
      <x:c r="L723" s="26" t="str">
        <x:v>span_below_1200_days</x:v>
      </x:c>
      <x:c r="M723" s="26" t="str">
        <x:v>Present</x:v>
      </x:c>
      <x:c r="N723" s="26" t="str">
        <x:v>Absent from named inventory</x:v>
      </x:c>
      <x:c r="O723" s="26" t="str">
        <x:v>Absent from named inventory</x:v>
      </x:c>
      <x:c r="P723" s="26"/>
      <x:c r="Q723" s="26" t="str">
        <x:v>./results/research/utmost-inventory-20260909/inventory.json</x:v>
      </x:c>
      <x:c r="R723" s="26" t="str">
        <x:v>be35df020956807029290b9267e5779e1fce23757b6f4ea4c506b3b59f6a9fb6</x:v>
      </x:c>
      <x:c r="S723" s="26" t="str">
        <x:v>0bdbae9e6d2b1492e0dbc4d25ec364f2c17a62ab06b1afd078729d3b752bd3e3</x:v>
      </x:c>
      <x:c r="T723" s="26" t="str">
        <x:v>b3b9745c07cacba9e465993dfa93636dd1149db5f14ebe0236f580aa5f9a426d</x:v>
      </x:c>
    </x:row>
    <x:row r="724" ht="90" customHeight="1">
      <x:c r="A724" s="26" t="str">
        <x:v>J1711-5350</x:v>
      </x:c>
      <x:c r="B724" s="26" t="str">
        <x:v>B1707-53</x:v>
      </x:c>
      <x:c r="C724" s="26" t="str">
        <x:v>NOT_SEARCHED</x:v>
      </x:c>
      <x:c r="D724" s="26"/>
      <x:c r="E724" s="26" t="str">
        <x:v>No observed search</x:v>
      </x:c>
      <x:c r="F724" s="26" t="str">
        <x:v>Retain current-scope exclusion</x:v>
      </x:c>
      <x:c r="G724" s="26" t="str">
        <x:v>UTMOST EXCLUDED</x:v>
      </x:c>
      <x:c r="H724" s="27" t="n">
        <x:v>46</x:v>
      </x:c>
      <x:c r="I724" s="27" t="n">
        <x:v>43</x:v>
      </x:c>
      <x:c r="J724" s="28" t="n">
        <x:v>1105.8540275287248</x:v>
      </x:c>
      <x:c r="K724" s="26" t="str">
        <x:v>INVENTORIED; NOT SELECTED</x:v>
      </x:c>
      <x:c r="L724" s="26" t="str">
        <x:v>span_below_1200_days</x:v>
      </x:c>
      <x:c r="M724" s="26" t="str">
        <x:v>Absent from named inventory</x:v>
      </x:c>
      <x:c r="N724" s="26" t="str">
        <x:v>Absent from named inventory</x:v>
      </x:c>
      <x:c r="O724" s="26" t="str">
        <x:v>Absent from named inventory</x:v>
      </x:c>
      <x:c r="P724" s="26"/>
      <x:c r="Q724" s="26" t="str">
        <x:v>./results/research/utmost-inventory-20260909/inventory.json</x:v>
      </x:c>
      <x:c r="R724" s="26" t="str">
        <x:v>be35df020956807029290b9267e5779e1fce23757b6f4ea4c506b3b59f6a9fb6</x:v>
      </x:c>
      <x:c r="S724" s="26" t="str">
        <x:v>cd5b03a0549d0824759146eb3cee525af8eac6481c1ad31d95654faad68b51af</x:v>
      </x:c>
      <x:c r="T724" s="26" t="str">
        <x:v>d85f1df103a167d4a7ffe63ffb7ab3ecfa36e016f1ba89940378644ed09efd57</x:v>
      </x:c>
    </x:row>
    <x:row r="725" ht="90" customHeight="1">
      <x:c r="A725" s="26" t="str">
        <x:v>J1715-4034</x:v>
      </x:c>
      <x:c r="B725" s="26"/>
      <x:c r="C725" s="26" t="str">
        <x:v>NO_TRIGGER</x:v>
      </x:c>
      <x:c r="D725" s="26" t="str">
        <x:v>utmost-batch03-20260909-J1715-4034-run01</x:v>
      </x:c>
      <x:c r="E725" s="26" t="str">
        <x:v>No qualifying signal in eligible 30–400-day cells</x:v>
      </x:c>
      <x:c r="F725" s="26" t="str">
        <x:v>Retain result; consider independent data or a separately defined new scope</x:v>
      </x:c>
      <x:c r="G725" s="26" t="str">
        <x:v>UTMOST SEARCHED</x:v>
      </x:c>
      <x:c r="H725" s="27" t="n">
        <x:v>76</x:v>
      </x:c>
      <x:c r="I725" s="27" t="n">
        <x:v>69</x:v>
      </x:c>
      <x:c r="J725" s="28" t="n">
        <x:v>1247.556122186491</x:v>
      </x:c>
      <x:c r="K725" s="26" t="str">
        <x:v>INVENTORIED; NOT SELECTED</x:v>
      </x:c>
      <x:c r="L725" s="26"/>
      <x:c r="M725" s="26" t="str">
        <x:v>Absent from named inventory</x:v>
      </x:c>
      <x:c r="N725" s="26" t="str">
        <x:v>Absent from named inventory</x:v>
      </x:c>
      <x:c r="O725" s="26" t="str">
        <x:v>Absent from named inventory</x:v>
      </x:c>
      <x:c r="P725" s="26"/>
      <x:c r="Q725" s="26" t="str">
        <x:v>./results/research/utmost-inventory-20260909/inventory.json</x:v>
      </x:c>
      <x:c r="R725" s="26" t="str">
        <x:v>be35df020956807029290b9267e5779e1fce23757b6f4ea4c506b3b59f6a9fb6</x:v>
      </x:c>
      <x:c r="S725" s="26" t="str">
        <x:v>948f6813f0a71ab62d17b148b6100218214c314eb77ac5b22f4092d3f579a674</x:v>
      </x:c>
      <x:c r="T725" s="26" t="str">
        <x:v>94b47dc12f13d5be43b4de6e286f702326ef1500f2c1d67f3b6a986f6b839a8f</x:v>
      </x:c>
    </x:row>
    <x:row r="726" ht="90" customHeight="1">
      <x:c r="A726" s="26" t="str">
        <x:v>J1717-3425</x:v>
      </x:c>
      <x:c r="B726" s="26" t="str">
        <x:v>B1714-34</x:v>
      </x:c>
      <x:c r="C726" s="26" t="str">
        <x:v>NOT_SEARCHED</x:v>
      </x:c>
      <x:c r="D726" s="26"/>
      <x:c r="E726" s="26" t="str">
        <x:v>No observed search</x:v>
      </x:c>
      <x:c r="F726" s="26" t="str">
        <x:v>Retain current-scope exclusion</x:v>
      </x:c>
      <x:c r="G726" s="26" t="str">
        <x:v>UTMOST EXCLUDED</x:v>
      </x:c>
      <x:c r="H726" s="27" t="n">
        <x:v>56</x:v>
      </x:c>
      <x:c r="I726" s="27" t="n">
        <x:v>48</x:v>
      </x:c>
      <x:c r="J726" s="28" t="n">
        <x:v>849.6396783840771</x:v>
      </x:c>
      <x:c r="K726" s="26" t="str">
        <x:v>INVENTORIED; NOT SELECTED</x:v>
      </x:c>
      <x:c r="L726" s="26" t="str">
        <x:v>span_below_1200_days</x:v>
      </x:c>
      <x:c r="M726" s="26" t="str">
        <x:v>Present</x:v>
      </x:c>
      <x:c r="N726" s="26" t="str">
        <x:v>Absent from named inventory</x:v>
      </x:c>
      <x:c r="O726" s="26" t="str">
        <x:v>Absent from named inventory</x:v>
      </x:c>
      <x:c r="P726" s="26"/>
      <x:c r="Q726" s="26" t="str">
        <x:v>./results/research/utmost-inventory-20260909/inventory.json</x:v>
      </x:c>
      <x:c r="R726" s="26" t="str">
        <x:v>be35df020956807029290b9267e5779e1fce23757b6f4ea4c506b3b59f6a9fb6</x:v>
      </x:c>
      <x:c r="S726" s="26" t="str">
        <x:v>99f6cc75c881d69270c4dd152fc22f1289b1d3027d6803d5d2116e0cac4df672</x:v>
      </x:c>
      <x:c r="T726" s="26" t="str">
        <x:v>eaf20f068db372c6e409fab99e4b6fd1657deeffcd61655b477ea6152283286b</x:v>
      </x:c>
    </x:row>
    <x:row r="727" ht="90" customHeight="1">
      <x:c r="A727" s="26" t="str">
        <x:v>J1717-4054</x:v>
      </x:c>
      <x:c r="B727" s="26" t="str">
        <x:v>B1713-40</x:v>
      </x:c>
      <x:c r="C727" s="26" t="str">
        <x:v>NOT_SEARCHED</x:v>
      </x:c>
      <x:c r="D727" s="26"/>
      <x:c r="E727" s="26" t="str">
        <x:v>No observed search</x:v>
      </x:c>
      <x:c r="F727" s="26" t="str">
        <x:v>Retain current-scope exclusion</x:v>
      </x:c>
      <x:c r="G727" s="26" t="str">
        <x:v>UTMOST EXCLUDED</x:v>
      </x:c>
      <x:c r="H727" s="27" t="n">
        <x:v>31</x:v>
      </x:c>
      <x:c r="I727" s="27" t="n">
        <x:v>27</x:v>
      </x:c>
      <x:c r="J727" s="28" t="n">
        <x:v>1456.0064814016375</x:v>
      </x:c>
      <x:c r="K727" s="26" t="str">
        <x:v>INVENTORIED; NOT SELECTED</x:v>
      </x:c>
      <x:c r="L727" s="26" t="str">
        <x:v>fewer_than_40_observing_days</x:v>
      </x:c>
      <x:c r="M727" s="26" t="str">
        <x:v>Absent from named inventory</x:v>
      </x:c>
      <x:c r="N727" s="26" t="str">
        <x:v>Absent from named inventory</x:v>
      </x:c>
      <x:c r="O727" s="26" t="str">
        <x:v>Absent from named inventory</x:v>
      </x:c>
      <x:c r="P727" s="26"/>
      <x:c r="Q727" s="26" t="str">
        <x:v>./results/research/utmost-inventory-20260909/inventory.json</x:v>
      </x:c>
      <x:c r="R727" s="26" t="str">
        <x:v>be35df020956807029290b9267e5779e1fce23757b6f4ea4c506b3b59f6a9fb6</x:v>
      </x:c>
      <x:c r="S727" s="26" t="str">
        <x:v>141b7a7c0215e2732a190f72b0c0eb5336e13b51af044255dcfe0a89dc2a12dd</x:v>
      </x:c>
      <x:c r="T727" s="26" t="str">
        <x:v>d0e9b7802ec8aafaa4d0e68e9e405e9e612c590dc7aef3fed53f598ce963f32d</x:v>
      </x:c>
    </x:row>
    <x:row r="728" ht="90" customHeight="1">
      <x:c r="A728" s="26" t="str">
        <x:v>J1727-2739</x:v>
      </x:c>
      <x:c r="B728" s="26"/>
      <x:c r="C728" s="26" t="str">
        <x:v>NOT_SEARCHED</x:v>
      </x:c>
      <x:c r="D728" s="26"/>
      <x:c r="E728" s="26" t="str">
        <x:v>No observed search</x:v>
      </x:c>
      <x:c r="F728" s="26" t="str">
        <x:v>Retain current-scope exclusion</x:v>
      </x:c>
      <x:c r="G728" s="26" t="str">
        <x:v>UTMOST EXCLUDED</x:v>
      </x:c>
      <x:c r="H728" s="27" t="n">
        <x:v>34</x:v>
      </x:c>
      <x:c r="I728" s="27" t="n">
        <x:v>32</x:v>
      </x:c>
      <x:c r="J728" s="28" t="n">
        <x:v>860.6048571356883</x:v>
      </x:c>
      <x:c r="K728" s="26" t="str">
        <x:v>INVENTORIED; NOT SELECTED</x:v>
      </x:c>
      <x:c r="L728" s="26" t="str">
        <x:v>span_below_1200_days, fewer_than_40_observing_days</x:v>
      </x:c>
      <x:c r="M728" s="26" t="str">
        <x:v>Absent from named inventory</x:v>
      </x:c>
      <x:c r="N728" s="26" t="str">
        <x:v>Absent from named inventory</x:v>
      </x:c>
      <x:c r="O728" s="26" t="str">
        <x:v>Absent from named inventory</x:v>
      </x:c>
      <x:c r="P728" s="26"/>
      <x:c r="Q728" s="26" t="str">
        <x:v>./results/research/utmost-inventory-20260909/inventory.json</x:v>
      </x:c>
      <x:c r="R728" s="26" t="str">
        <x:v>be35df020956807029290b9267e5779e1fce23757b6f4ea4c506b3b59f6a9fb6</x:v>
      </x:c>
      <x:c r="S728" s="26" t="str">
        <x:v>06b25503f65eaa5b32f30c50649e752018f76b9175908f38bc5251ad98dda588</x:v>
      </x:c>
      <x:c r="T728" s="26" t="str">
        <x:v>a39c0693960b18f0604d033edcb7d3e8d23d03b5a047a0c513e96f78ab817d02</x:v>
      </x:c>
    </x:row>
    <x:row r="729" ht="90" customHeight="1">
      <x:c r="A729" s="26" t="str">
        <x:v>J1733-2228</x:v>
      </x:c>
      <x:c r="B729" s="26" t="str">
        <x:v>B1730-22</x:v>
      </x:c>
      <x:c r="C729" s="26" t="str">
        <x:v>NOT_SEARCHED</x:v>
      </x:c>
      <x:c r="D729" s="26"/>
      <x:c r="E729" s="26" t="str">
        <x:v>No observed search</x:v>
      </x:c>
      <x:c r="F729" s="26" t="str">
        <x:v>Retain current-scope exclusion</x:v>
      </x:c>
      <x:c r="G729" s="26" t="str">
        <x:v>UTMOST EXCLUDED</x:v>
      </x:c>
      <x:c r="H729" s="27" t="n">
        <x:v>40</x:v>
      </x:c>
      <x:c r="I729" s="27" t="n">
        <x:v>37</x:v>
      </x:c>
      <x:c r="J729" s="28" t="n">
        <x:v>1085.837050338829</x:v>
      </x:c>
      <x:c r="K729" s="26" t="str">
        <x:v>INVENTORIED; NOT SELECTED</x:v>
      </x:c>
      <x:c r="L729" s="26" t="str">
        <x:v>span_below_1200_days, fewer_than_40_observing_days</x:v>
      </x:c>
      <x:c r="M729" s="26" t="str">
        <x:v>Present</x:v>
      </x:c>
      <x:c r="N729" s="26" t="str">
        <x:v>Absent from named inventory</x:v>
      </x:c>
      <x:c r="O729" s="26" t="str">
        <x:v>Absent from named inventory</x:v>
      </x:c>
      <x:c r="P729" s="26"/>
      <x:c r="Q729" s="26" t="str">
        <x:v>./results/research/utmost-inventory-20260909/inventory.json</x:v>
      </x:c>
      <x:c r="R729" s="26" t="str">
        <x:v>be35df020956807029290b9267e5779e1fce23757b6f4ea4c506b3b59f6a9fb6</x:v>
      </x:c>
      <x:c r="S729" s="26" t="str">
        <x:v>d627cf9c919bd7ca2e0f54c2153abb5ba6ac48608f9f8ab16ca347f09298cbbd</x:v>
      </x:c>
      <x:c r="T729" s="26" t="str">
        <x:v>aaca9b3b9b8a1fe89f75283697373f912974f71e2077fb7ac9b9ab29d542fb4c</x:v>
      </x:c>
    </x:row>
    <x:row r="730" ht="90" customHeight="1">
      <x:c r="A730" s="26" t="str">
        <x:v>J1736-2457</x:v>
      </x:c>
      <x:c r="B730" s="26"/>
      <x:c r="C730" s="26" t="str">
        <x:v>NOT_SEARCHED</x:v>
      </x:c>
      <x:c r="D730" s="26"/>
      <x:c r="E730" s="26" t="str">
        <x:v>No observed search</x:v>
      </x:c>
      <x:c r="F730" s="26" t="str">
        <x:v>Retain current-scope exclusion</x:v>
      </x:c>
      <x:c r="G730" s="26" t="str">
        <x:v>UTMOST EXCLUDED</x:v>
      </x:c>
      <x:c r="H730" s="27" t="n">
        <x:v>25</x:v>
      </x:c>
      <x:c r="I730" s="27" t="n">
        <x:v>22</x:v>
      </x:c>
      <x:c r="J730" s="28" t="n">
        <x:v>404.8932339153819</x:v>
      </x:c>
      <x:c r="K730" s="26" t="str">
        <x:v>INVENTORIED; NOT SELECTED</x:v>
      </x:c>
      <x:c r="L730" s="26" t="str">
        <x:v>span_below_1200_days, fewer_than_40_observing_days</x:v>
      </x:c>
      <x:c r="M730" s="26" t="str">
        <x:v>Present</x:v>
      </x:c>
      <x:c r="N730" s="26" t="str">
        <x:v>Absent from named inventory</x:v>
      </x:c>
      <x:c r="O730" s="26" t="str">
        <x:v>Absent from named inventory</x:v>
      </x:c>
      <x:c r="P730" s="26"/>
      <x:c r="Q730" s="26" t="str">
        <x:v>./results/research/utmost-inventory-20260909/inventory.json</x:v>
      </x:c>
      <x:c r="R730" s="26" t="str">
        <x:v>be35df020956807029290b9267e5779e1fce23757b6f4ea4c506b3b59f6a9fb6</x:v>
      </x:c>
      <x:c r="S730" s="26" t="str">
        <x:v>09e087573561fdaf6223d0cc78b8b55c16cd3fbeed8a40d20b00f33ac9ba8872</x:v>
      </x:c>
      <x:c r="T730" s="26" t="str">
        <x:v>dd8f9dee7268f7c8c05c1bee6c245998acdef43a66aeba0ae2bd7ff408116f91</x:v>
      </x:c>
    </x:row>
    <x:row r="731" ht="90" customHeight="1">
      <x:c r="A731" s="26" t="str">
        <x:v>J1805-1504</x:v>
      </x:c>
      <x:c r="B731" s="26"/>
      <x:c r="C731" s="26" t="str">
        <x:v>NOT_SEARCHED</x:v>
      </x:c>
      <x:c r="D731" s="26"/>
      <x:c r="E731" s="26" t="str">
        <x:v>No observed search</x:v>
      </x:c>
      <x:c r="F731" s="26" t="str">
        <x:v>Retain current-scope exclusion</x:v>
      </x:c>
      <x:c r="G731" s="26" t="str">
        <x:v>UTMOST EXCLUDED</x:v>
      </x:c>
      <x:c r="H731" s="27" t="n">
        <x:v>28</x:v>
      </x:c>
      <x:c r="I731" s="27" t="n">
        <x:v>26</x:v>
      </x:c>
      <x:c r="J731" s="28" t="n">
        <x:v>446.7726488597259</x:v>
      </x:c>
      <x:c r="K731" s="26" t="str">
        <x:v>INVENTORIED; NOT SELECTED</x:v>
      </x:c>
      <x:c r="L731" s="26" t="str">
        <x:v>span_below_1200_days, fewer_than_40_observing_days</x:v>
      </x:c>
      <x:c r="M731" s="26" t="str">
        <x:v>Present</x:v>
      </x:c>
      <x:c r="N731" s="26" t="str">
        <x:v>Absent from named inventory</x:v>
      </x:c>
      <x:c r="O731" s="26" t="str">
        <x:v>Absent from named inventory</x:v>
      </x:c>
      <x:c r="P731" s="26"/>
      <x:c r="Q731" s="26" t="str">
        <x:v>./results/research/utmost-inventory-20260909/inventory.json</x:v>
      </x:c>
      <x:c r="R731" s="26" t="str">
        <x:v>be35df020956807029290b9267e5779e1fce23757b6f4ea4c506b3b59f6a9fb6</x:v>
      </x:c>
      <x:c r="S731" s="26" t="str">
        <x:v>ba0455756144aba98bd471e8abd8f25b9788e5800fdf3509170deeed54444c30</x:v>
      </x:c>
      <x:c r="T731" s="26" t="str">
        <x:v>78e9063830ddd3c3eb4d2dcd8897fbe1e68b478bb5d5e56e4d08fdc5a9ac408e</x:v>
      </x:c>
    </x:row>
    <x:row r="732" ht="90" customHeight="1">
      <x:c r="A732" s="26" t="str">
        <x:v>J1810-5338</x:v>
      </x:c>
      <x:c r="B732" s="26" t="str">
        <x:v>B1806-53</x:v>
      </x:c>
      <x:c r="C732" s="26" t="str">
        <x:v>NOT_SEARCHED</x:v>
      </x:c>
      <x:c r="D732" s="26"/>
      <x:c r="E732" s="26" t="str">
        <x:v>No observed search</x:v>
      </x:c>
      <x:c r="F732" s="26" t="str">
        <x:v>Retain current-scope exclusion</x:v>
      </x:c>
      <x:c r="G732" s="26" t="str">
        <x:v>UTMOST EXCLUDED</x:v>
      </x:c>
      <x:c r="H732" s="27" t="n">
        <x:v>32</x:v>
      </x:c>
      <x:c r="I732" s="27" t="n">
        <x:v>28</x:v>
      </x:c>
      <x:c r="J732" s="28" t="n">
        <x:v>1054.9861266952898</x:v>
      </x:c>
      <x:c r="K732" s="26" t="str">
        <x:v>INVENTORIED; NOT SELECTED</x:v>
      </x:c>
      <x:c r="L732" s="26" t="str">
        <x:v>span_below_1200_days, fewer_than_40_observing_days</x:v>
      </x:c>
      <x:c r="M732" s="26" t="str">
        <x:v>Absent from named inventory</x:v>
      </x:c>
      <x:c r="N732" s="26" t="str">
        <x:v>Absent from named inventory</x:v>
      </x:c>
      <x:c r="O732" s="26" t="str">
        <x:v>Absent from named inventory</x:v>
      </x:c>
      <x:c r="P732" s="26"/>
      <x:c r="Q732" s="26" t="str">
        <x:v>./results/research/utmost-inventory-20260909/inventory.json</x:v>
      </x:c>
      <x:c r="R732" s="26" t="str">
        <x:v>be35df020956807029290b9267e5779e1fce23757b6f4ea4c506b3b59f6a9fb6</x:v>
      </x:c>
      <x:c r="S732" s="26" t="str">
        <x:v>9e82048e53706c2b82035d07b62baf54406ac254d17ac1f227f1794822752aac</x:v>
      </x:c>
      <x:c r="T732" s="26" t="str">
        <x:v>25079ff801837dcb881af98083cae00cff740392c77ae56067d19928219f27bc</x:v>
      </x:c>
    </x:row>
    <x:row r="733" ht="90" customHeight="1">
      <x:c r="A733" s="26" t="str">
        <x:v>J1816-2650</x:v>
      </x:c>
      <x:c r="B733" s="26" t="str">
        <x:v>B1813-26</x:v>
      </x:c>
      <x:c r="C733" s="26" t="str">
        <x:v>NOT_SEARCHED</x:v>
      </x:c>
      <x:c r="D733" s="26"/>
      <x:c r="E733" s="26" t="str">
        <x:v>No observed search</x:v>
      </x:c>
      <x:c r="F733" s="26" t="str">
        <x:v>Retain current-scope exclusion</x:v>
      </x:c>
      <x:c r="G733" s="26" t="str">
        <x:v>UTMOST EXCLUDED</x:v>
      </x:c>
      <x:c r="H733" s="27" t="n">
        <x:v>51</x:v>
      </x:c>
      <x:c r="I733" s="27" t="n">
        <x:v>49</x:v>
      </x:c>
      <x:c r="J733" s="28" t="n">
        <x:v>1191.7412326628864</x:v>
      </x:c>
      <x:c r="K733" s="26" t="str">
        <x:v>INVENTORIED; NOT SELECTED</x:v>
      </x:c>
      <x:c r="L733" s="26" t="str">
        <x:v>span_below_1200_days</x:v>
      </x:c>
      <x:c r="M733" s="26" t="str">
        <x:v>Present</x:v>
      </x:c>
      <x:c r="N733" s="26" t="str">
        <x:v>Absent from named inventory</x:v>
      </x:c>
      <x:c r="O733" s="26" t="str">
        <x:v>Absent from named inventory</x:v>
      </x:c>
      <x:c r="P733" s="26"/>
      <x:c r="Q733" s="26" t="str">
        <x:v>./results/research/utmost-inventory-20260909/inventory.json</x:v>
      </x:c>
      <x:c r="R733" s="26" t="str">
        <x:v>be35df020956807029290b9267e5779e1fce23757b6f4ea4c506b3b59f6a9fb6</x:v>
      </x:c>
      <x:c r="S733" s="26" t="str">
        <x:v>a3506887268356f2a572f0afd1a88b3bbe50b1911ed207d1ec4a8ee49de27a9d</x:v>
      </x:c>
      <x:c r="T733" s="26" t="str">
        <x:v>43d5f39953489cff63718ffb858a56f0d0f12a14778a05907c7f1ac2f192cb69</x:v>
      </x:c>
    </x:row>
    <x:row r="734" ht="90" customHeight="1">
      <x:c r="A734" s="26" t="str">
        <x:v>J1818-1422</x:v>
      </x:c>
      <x:c r="B734" s="26" t="str">
        <x:v>B1815-14</x:v>
      </x:c>
      <x:c r="C734" s="26" t="str">
        <x:v>NOT_SEARCHED</x:v>
      </x:c>
      <x:c r="D734" s="26"/>
      <x:c r="E734" s="26" t="str">
        <x:v>No observed search</x:v>
      </x:c>
      <x:c r="F734" s="26" t="str">
        <x:v>Retain current-scope exclusion</x:v>
      </x:c>
      <x:c r="G734" s="26" t="str">
        <x:v>UTMOST EXCLUDED</x:v>
      </x:c>
      <x:c r="H734" s="27" t="n">
        <x:v>51</x:v>
      </x:c>
      <x:c r="I734" s="27" t="n">
        <x:v>45</x:v>
      </x:c>
      <x:c r="J734" s="28" t="n">
        <x:v>1077.0098650001223</x:v>
      </x:c>
      <x:c r="K734" s="26" t="str">
        <x:v>INVENTORIED; NOT SELECTED</x:v>
      </x:c>
      <x:c r="L734" s="26" t="str">
        <x:v>span_below_1200_days</x:v>
      </x:c>
      <x:c r="M734" s="26" t="str">
        <x:v>Present</x:v>
      </x:c>
      <x:c r="N734" s="26" t="str">
        <x:v>Absent from named inventory</x:v>
      </x:c>
      <x:c r="O734" s="26" t="str">
        <x:v>Absent from named inventory</x:v>
      </x:c>
      <x:c r="P734" s="26"/>
      <x:c r="Q734" s="26" t="str">
        <x:v>./results/research/utmost-inventory-20260909/inventory.json</x:v>
      </x:c>
      <x:c r="R734" s="26" t="str">
        <x:v>be35df020956807029290b9267e5779e1fce23757b6f4ea4c506b3b59f6a9fb6</x:v>
      </x:c>
      <x:c r="S734" s="26" t="str">
        <x:v>9fd4e5fb2513ba6273ec17b318ca2e116664d000c6b7bec85fbbf809d72fcd00</x:v>
      </x:c>
      <x:c r="T734" s="26" t="str">
        <x:v>3cffc48e176ac0213dfafdede16b8499b8fc018dbbc2b02e79c60853ecd99f0f</x:v>
      </x:c>
    </x:row>
    <x:row r="735" ht="90" customHeight="1">
      <x:c r="A735" s="26" t="str">
        <x:v>J1822-2256</x:v>
      </x:c>
      <x:c r="B735" s="26" t="str">
        <x:v>B1819-22</x:v>
      </x:c>
      <x:c r="C735" s="26" t="str">
        <x:v>NOT_SEARCHED</x:v>
      </x:c>
      <x:c r="D735" s="26"/>
      <x:c r="E735" s="26" t="str">
        <x:v>No observed search</x:v>
      </x:c>
      <x:c r="F735" s="26" t="str">
        <x:v>Retain current-scope exclusion</x:v>
      </x:c>
      <x:c r="G735" s="26" t="str">
        <x:v>UTMOST EXCLUDED</x:v>
      </x:c>
      <x:c r="H735" s="27" t="n">
        <x:v>57</x:v>
      </x:c>
      <x:c r="I735" s="27" t="n">
        <x:v>56</x:v>
      </x:c>
      <x:c r="J735" s="28" t="n">
        <x:v>1185.740866084784</x:v>
      </x:c>
      <x:c r="K735" s="26" t="str">
        <x:v>INVENTORIED; NOT SELECTED</x:v>
      </x:c>
      <x:c r="L735" s="26" t="str">
        <x:v>span_below_1200_days</x:v>
      </x:c>
      <x:c r="M735" s="26" t="str">
        <x:v>Present</x:v>
      </x:c>
      <x:c r="N735" s="26" t="str">
        <x:v>Absent from named inventory</x:v>
      </x:c>
      <x:c r="O735" s="26" t="str">
        <x:v>Absent from named inventory</x:v>
      </x:c>
      <x:c r="P735" s="26"/>
      <x:c r="Q735" s="26" t="str">
        <x:v>./results/research/utmost-inventory-20260909/inventory.json</x:v>
      </x:c>
      <x:c r="R735" s="26" t="str">
        <x:v>be35df020956807029290b9267e5779e1fce23757b6f4ea4c506b3b59f6a9fb6</x:v>
      </x:c>
      <x:c r="S735" s="26" t="str">
        <x:v>ba43f4f601f82e14d3736375de450cdcfbd9a755875068e4d338bb33a7adfdda</x:v>
      </x:c>
      <x:c r="T735" s="26" t="str">
        <x:v>acfb1cd14842299ee214517ef066860ff235816ff9eb9a47fe33ec81a0ad1975</x:v>
      </x:c>
    </x:row>
    <x:row r="736" ht="90" customHeight="1">
      <x:c r="A736" s="26" t="str">
        <x:v>J1823-1115</x:v>
      </x:c>
      <x:c r="B736" s="26" t="str">
        <x:v>B1820-11</x:v>
      </x:c>
      <x:c r="C736" s="26" t="str">
        <x:v>NOT_SEARCHED</x:v>
      </x:c>
      <x:c r="D736" s="26"/>
      <x:c r="E736" s="26" t="str">
        <x:v>No observed search</x:v>
      </x:c>
      <x:c r="F736" s="26" t="str">
        <x:v>Retain current-scope exclusion</x:v>
      </x:c>
      <x:c r="G736" s="26" t="str">
        <x:v>UTMOST EXCLUDED</x:v>
      </x:c>
      <x:c r="H736" s="27" t="n">
        <x:v>53</x:v>
      </x:c>
      <x:c r="I736" s="27" t="n">
        <x:v>50</x:v>
      </x:c>
      <x:c r="J736" s="28" t="n">
        <x:v>1136.768838503886</x:v>
      </x:c>
      <x:c r="K736" s="26" t="str">
        <x:v>INVENTORIED; NOT SELECTED</x:v>
      </x:c>
      <x:c r="L736" s="26" t="str">
        <x:v>known_binary_or_wide_companion, span_below_1200_days</x:v>
      </x:c>
      <x:c r="M736" s="26" t="str">
        <x:v>Present</x:v>
      </x:c>
      <x:c r="N736" s="26" t="str">
        <x:v>Absent from named inventory</x:v>
      </x:c>
      <x:c r="O736" s="26" t="str">
        <x:v>Absent from named inventory</x:v>
      </x:c>
      <x:c r="P736" s="26"/>
      <x:c r="Q736" s="26" t="str">
        <x:v>./results/research/utmost-inventory-20260909/inventory.json</x:v>
      </x:c>
      <x:c r="R736" s="26" t="str">
        <x:v>be35df020956807029290b9267e5779e1fce23757b6f4ea4c506b3b59f6a9fb6</x:v>
      </x:c>
      <x:c r="S736" s="26" t="str">
        <x:v>ae07defb7463e979174fcce62721263e2ee0f24e2ad7e8ef60b4dc0fb4bcfc3f</x:v>
      </x:c>
      <x:c r="T736" s="26" t="str">
        <x:v>3e66dcbf6e1dbb61ac79b243280eae9a9be1ac09430d271122c9fc0a7ff6ca98</x:v>
      </x:c>
    </x:row>
    <x:row r="737" ht="90" customHeight="1">
      <x:c r="A737" s="26" t="str">
        <x:v>J1830-1135</x:v>
      </x:c>
      <x:c r="B737" s="26"/>
      <x:c r="C737" s="26" t="str">
        <x:v>NOT_SEARCHED</x:v>
      </x:c>
      <x:c r="D737" s="26"/>
      <x:c r="E737" s="26" t="str">
        <x:v>No observed search</x:v>
      </x:c>
      <x:c r="F737" s="26" t="str">
        <x:v>Retain current-scope exclusion</x:v>
      </x:c>
      <x:c r="G737" s="26" t="str">
        <x:v>UTMOST EXCLUDED</x:v>
      </x:c>
      <x:c r="H737" s="27" t="n">
        <x:v>40</x:v>
      </x:c>
      <x:c r="I737" s="27" t="n">
        <x:v>39</x:v>
      </x:c>
      <x:c r="J737" s="28" t="n">
        <x:v>1064.9855249688965</x:v>
      </x:c>
      <x:c r="K737" s="26" t="str">
        <x:v>INVENTORIED; NOT SELECTED</x:v>
      </x:c>
      <x:c r="L737" s="26" t="str">
        <x:v>span_below_1200_days, fewer_than_40_observing_days</x:v>
      </x:c>
      <x:c r="M737" s="26" t="str">
        <x:v>Present</x:v>
      </x:c>
      <x:c r="N737" s="26" t="str">
        <x:v>Absent from named inventory</x:v>
      </x:c>
      <x:c r="O737" s="26" t="str">
        <x:v>Absent from named inventory</x:v>
      </x:c>
      <x:c r="P737" s="26"/>
      <x:c r="Q737" s="26" t="str">
        <x:v>./results/research/utmost-inventory-20260909/inventory.json</x:v>
      </x:c>
      <x:c r="R737" s="26" t="str">
        <x:v>be35df020956807029290b9267e5779e1fce23757b6f4ea4c506b3b59f6a9fb6</x:v>
      </x:c>
      <x:c r="S737" s="26" t="str">
        <x:v>d67d31c360f748220901fb3a2e7516e97a2448d8d6a6b9c41e79e21e20660769</x:v>
      </x:c>
      <x:c r="T737" s="26" t="str">
        <x:v>f3c7e38cec9aedd56f362db708c8fd81cce7fba81db148b9a457e68bf81bef95</x:v>
      </x:c>
    </x:row>
    <x:row r="738" ht="90" customHeight="1">
      <x:c r="A738" s="26" t="str">
        <x:v>J1841-0425</x:v>
      </x:c>
      <x:c r="B738" s="26" t="str">
        <x:v>B1838-04</x:v>
      </x:c>
      <x:c r="C738" s="26" t="str">
        <x:v>NOT_SEARCHED</x:v>
      </x:c>
      <x:c r="D738" s="26"/>
      <x:c r="E738" s="26" t="str">
        <x:v>No observed search</x:v>
      </x:c>
      <x:c r="F738" s="26" t="str">
        <x:v>Retain current-scope exclusion</x:v>
      </x:c>
      <x:c r="G738" s="26" t="str">
        <x:v>UTMOST EXCLUDED</x:v>
      </x:c>
      <x:c r="H738" s="27" t="n">
        <x:v>31</x:v>
      </x:c>
      <x:c r="I738" s="27" t="n">
        <x:v>30</x:v>
      </x:c>
      <x:c r="J738" s="28" t="n">
        <x:v>798.9135944549936</x:v>
      </x:c>
      <x:c r="K738" s="26" t="str">
        <x:v>INVENTORIED; NOT SELECTED</x:v>
      </x:c>
      <x:c r="L738" s="26" t="str">
        <x:v>span_below_1200_days, fewer_than_40_observing_days</x:v>
      </x:c>
      <x:c r="M738" s="26" t="str">
        <x:v>Present</x:v>
      </x:c>
      <x:c r="N738" s="26" t="str">
        <x:v>Absent from named inventory</x:v>
      </x:c>
      <x:c r="O738" s="26" t="str">
        <x:v>Absent from named inventory</x:v>
      </x:c>
      <x:c r="P738" s="26"/>
      <x:c r="Q738" s="26" t="str">
        <x:v>./results/research/utmost-inventory-20260909/inventory.json</x:v>
      </x:c>
      <x:c r="R738" s="26" t="str">
        <x:v>be35df020956807029290b9267e5779e1fce23757b6f4ea4c506b3b59f6a9fb6</x:v>
      </x:c>
      <x:c r="S738" s="26" t="str">
        <x:v>1245dde6a7af870589b84d08d73fd924d2238b9dc2e9d855b4917c5dd8c37b7e</x:v>
      </x:c>
      <x:c r="T738" s="26" t="str">
        <x:v>984701708f511f6bc322652b56874432159887ad49c077db7b9767fd095e11fc</x:v>
      </x:c>
    </x:row>
    <x:row r="739" ht="90" customHeight="1">
      <x:c r="A739" s="26" t="str">
        <x:v>J1902+0556</x:v>
      </x:c>
      <x:c r="B739" s="26" t="str">
        <x:v>B1900+05</x:v>
      </x:c>
      <x:c r="C739" s="26" t="str">
        <x:v>NOT_SEARCHED</x:v>
      </x:c>
      <x:c r="D739" s="26"/>
      <x:c r="E739" s="26" t="str">
        <x:v>No observed search</x:v>
      </x:c>
      <x:c r="F739" s="26" t="str">
        <x:v>Retain current-scope exclusion</x:v>
      </x:c>
      <x:c r="G739" s="26" t="str">
        <x:v>UTMOST EXCLUDED</x:v>
      </x:c>
      <x:c r="H739" s="27" t="n">
        <x:v>32</x:v>
      </x:c>
      <x:c r="I739" s="27" t="n">
        <x:v>30</x:v>
      </x:c>
      <x:c r="J739" s="28" t="n">
        <x:v>867.6081011301732</x:v>
      </x:c>
      <x:c r="K739" s="26" t="str">
        <x:v>INVENTORIED; NOT SELECTED</x:v>
      </x:c>
      <x:c r="L739" s="26" t="str">
        <x:v>span_below_1200_days, fewer_than_40_observing_days</x:v>
      </x:c>
      <x:c r="M739" s="26" t="str">
        <x:v>Present</x:v>
      </x:c>
      <x:c r="N739" s="26" t="str">
        <x:v>Absent from named inventory</x:v>
      </x:c>
      <x:c r="O739" s="26" t="str">
        <x:v>Absent from named inventory</x:v>
      </x:c>
      <x:c r="P739" s="26"/>
      <x:c r="Q739" s="26" t="str">
        <x:v>./results/research/utmost-inventory-20260909/inventory.json</x:v>
      </x:c>
      <x:c r="R739" s="26" t="str">
        <x:v>be35df020956807029290b9267e5779e1fce23757b6f4ea4c506b3b59f6a9fb6</x:v>
      </x:c>
      <x:c r="S739" s="26" t="str">
        <x:v>10a32f342bf1994a484720e8dcea888e68f30cb263d8caf67c7ed715bca664d3</x:v>
      </x:c>
      <x:c r="T739" s="26" t="str">
        <x:v>2c5bfdb476907b3d1676f124c61f33f4471b26b1a341058fc6bbec52b5b7b1b2</x:v>
      </x:c>
    </x:row>
    <x:row r="740" ht="90" customHeight="1">
      <x:c r="A740" s="26" t="str">
        <x:v>J1903-0632</x:v>
      </x:c>
      <x:c r="B740" s="26" t="str">
        <x:v>B1900-06</x:v>
      </x:c>
      <x:c r="C740" s="26" t="str">
        <x:v>NOT_SEARCHED</x:v>
      </x:c>
      <x:c r="D740" s="26"/>
      <x:c r="E740" s="26" t="str">
        <x:v>No observed search</x:v>
      </x:c>
      <x:c r="F740" s="26" t="str">
        <x:v>Retain current-scope exclusion</x:v>
      </x:c>
      <x:c r="G740" s="26" t="str">
        <x:v>UTMOST EXCLUDED</x:v>
      </x:c>
      <x:c r="H740" s="27" t="n">
        <x:v>69</x:v>
      </x:c>
      <x:c r="I740" s="27" t="n">
        <x:v>62</x:v>
      </x:c>
      <x:c r="J740" s="28" t="n">
        <x:v>1116.9188479924503</x:v>
      </x:c>
      <x:c r="K740" s="26" t="str">
        <x:v>INVENTORIED; NOT SELECTED</x:v>
      </x:c>
      <x:c r="L740" s="26" t="str">
        <x:v>span_below_1200_days</x:v>
      </x:c>
      <x:c r="M740" s="26" t="str">
        <x:v>Present</x:v>
      </x:c>
      <x:c r="N740" s="26" t="str">
        <x:v>Absent from named inventory</x:v>
      </x:c>
      <x:c r="O740" s="26" t="str">
        <x:v>Absent from named inventory</x:v>
      </x:c>
      <x:c r="P740" s="26"/>
      <x:c r="Q740" s="26" t="str">
        <x:v>./results/research/utmost-inventory-20260909/inventory.json</x:v>
      </x:c>
      <x:c r="R740" s="26" t="str">
        <x:v>be35df020956807029290b9267e5779e1fce23757b6f4ea4c506b3b59f6a9fb6</x:v>
      </x:c>
      <x:c r="S740" s="26" t="str">
        <x:v>416c8d2869b4dfb79fb9c2a284595ef73ec9b50b3c93a9bc55cd8ec4b7fe9877</x:v>
      </x:c>
      <x:c r="T740" s="26" t="str">
        <x:v>8a75e397f8abc1f9747dd9aa6c1dc631bbab3d3905ca758f43ca8a1363ecedd1</x:v>
      </x:c>
    </x:row>
    <x:row r="741" ht="90" customHeight="1">
      <x:c r="A741" s="26" t="str">
        <x:v>J1926+0431</x:v>
      </x:c>
      <x:c r="B741" s="26" t="str">
        <x:v>B1923+04</x:v>
      </x:c>
      <x:c r="C741" s="26" t="str">
        <x:v>NOT_SEARCHED</x:v>
      </x:c>
      <x:c r="D741" s="26"/>
      <x:c r="E741" s="26" t="str">
        <x:v>No observed search</x:v>
      </x:c>
      <x:c r="F741" s="26" t="str">
        <x:v>Retain current-scope exclusion</x:v>
      </x:c>
      <x:c r="G741" s="26" t="str">
        <x:v>UTMOST EXCLUDED</x:v>
      </x:c>
      <x:c r="H741" s="27" t="n">
        <x:v>130</x:v>
      </x:c>
      <x:c r="I741" s="27" t="n">
        <x:v>126</x:v>
      </x:c>
      <x:c r="J741" s="28" t="n">
        <x:v>1133.7635227252078</x:v>
      </x:c>
      <x:c r="K741" s="26" t="str">
        <x:v>INVENTORIED; NOT SELECTED</x:v>
      </x:c>
      <x:c r="L741" s="26" t="str">
        <x:v>span_below_1200_days</x:v>
      </x:c>
      <x:c r="M741" s="26" t="str">
        <x:v>Present</x:v>
      </x:c>
      <x:c r="N741" s="26" t="str">
        <x:v>Absent from named inventory</x:v>
      </x:c>
      <x:c r="O741" s="26" t="str">
        <x:v>Absent from named inventory</x:v>
      </x:c>
      <x:c r="P741" s="26"/>
      <x:c r="Q741" s="26" t="str">
        <x:v>./results/research/utmost-inventory-20260909/inventory.json</x:v>
      </x:c>
      <x:c r="R741" s="26" t="str">
        <x:v>be35df020956807029290b9267e5779e1fce23757b6f4ea4c506b3b59f6a9fb6</x:v>
      </x:c>
      <x:c r="S741" s="26" t="str">
        <x:v>6a564041b10e5fe52e86428a511de74a560b97f7b135025c1126598186b49c5b</x:v>
      </x:c>
      <x:c r="T741" s="26" t="str">
        <x:v>f66632046f32173aecc4723ee617335e479660488a70e55dd8f1e00453b1255d</x:v>
      </x:c>
    </x:row>
    <x:row r="742" ht="90" customHeight="1">
      <x:c r="A742" s="26" t="str">
        <x:v>J2033+0042</x:v>
      </x:c>
      <x:c r="B742" s="26"/>
      <x:c r="C742" s="26" t="str">
        <x:v>NOT_SEARCHED</x:v>
      </x:c>
      <x:c r="D742" s="26"/>
      <x:c r="E742" s="26" t="str">
        <x:v>No observed search</x:v>
      </x:c>
      <x:c r="F742" s="26" t="str">
        <x:v>Retain current-scope exclusion</x:v>
      </x:c>
      <x:c r="G742" s="26" t="str">
        <x:v>UTMOST EXCLUDED</x:v>
      </x:c>
      <x:c r="H742" s="27" t="n">
        <x:v>129</x:v>
      </x:c>
      <x:c r="I742" s="27" t="n">
        <x:v>123</x:v>
      </x:c>
      <x:c r="J742" s="28" t="n">
        <x:v>1168.7026725284325</x:v>
      </x:c>
      <x:c r="K742" s="26" t="str">
        <x:v>INVENTORIED; NOT SELECTED</x:v>
      </x:c>
      <x:c r="L742" s="26" t="str">
        <x:v>span_below_1200_days</x:v>
      </x:c>
      <x:c r="M742" s="26" t="str">
        <x:v>Absent from named inventory</x:v>
      </x:c>
      <x:c r="N742" s="26" t="str">
        <x:v>Absent from named inventory</x:v>
      </x:c>
      <x:c r="O742" s="26" t="str">
        <x:v>Absent from named inventory</x:v>
      </x:c>
      <x:c r="P742" s="26"/>
      <x:c r="Q742" s="26" t="str">
        <x:v>./results/research/utmost-inventory-20260909/inventory.json</x:v>
      </x:c>
      <x:c r="R742" s="26" t="str">
        <x:v>be35df020956807029290b9267e5779e1fce23757b6f4ea4c506b3b59f6a9fb6</x:v>
      </x:c>
      <x:c r="S742" s="26" t="str">
        <x:v>5e98fa4d17281369986e102d86417b20adf7449e4e04838f156c0c178c1881f4</x:v>
      </x:c>
      <x:c r="T742" s="26" t="str">
        <x:v>e4ecea3ad0eb93a7a54a08c6b95f047e52c774b1b5ca8af788f9d92060974856</x:v>
      </x:c>
    </x:row>
    <x:row r="743" ht="90" customHeight="1">
      <x:c r="A743" s="26" t="str">
        <x:v>J2051-0827</x:v>
      </x:c>
      <x:c r="B743" s="26"/>
      <x:c r="C743" s="26" t="str">
        <x:v>NOT_SEARCHED</x:v>
      </x:c>
      <x:c r="D743" s="26"/>
      <x:c r="E743" s="26" t="str">
        <x:v>No observed search</x:v>
      </x:c>
      <x:c r="F743" s="26" t="str">
        <x:v>Retain current-scope exclusion</x:v>
      </x:c>
      <x:c r="G743" s="26" t="str">
        <x:v>UTMOST EXCLUDED</x:v>
      </x:c>
      <x:c r="H743" s="27" t="n">
        <x:v>193</x:v>
      </x:c>
      <x:c r="I743" s="27" t="n">
        <x:v>186</x:v>
      </x:c>
      <x:c r="J743" s="28" t="n">
        <x:v>1151.8585237712523</x:v>
      </x:c>
      <x:c r="K743" s="26" t="str">
        <x:v>INVENTORIED; NOT SELECTED</x:v>
      </x:c>
      <x:c r="L743" s="26" t="str">
        <x:v>known_binary_or_wide_companion, span_below_1200_days</x:v>
      </x:c>
      <x:c r="M743" s="26" t="str">
        <x:v>Present</x:v>
      </x:c>
      <x:c r="N743" s="26" t="str">
        <x:v>Absent from named inventory</x:v>
      </x:c>
      <x:c r="O743" s="26" t="str">
        <x:v>Absent from named inventory</x:v>
      </x:c>
      <x:c r="P743" s="26"/>
      <x:c r="Q743" s="26" t="str">
        <x:v>./results/research/utmost-inventory-20260909/inventory.json</x:v>
      </x:c>
      <x:c r="R743" s="26" t="str">
        <x:v>be35df020956807029290b9267e5779e1fce23757b6f4ea4c506b3b59f6a9fb6</x:v>
      </x:c>
      <x:c r="S743" s="26" t="str">
        <x:v>37ecefc45565241a6932c2a86f4a3552002981b1ce156c789df69b289066dac2</x:v>
      </x:c>
      <x:c r="T743" s="26" t="str">
        <x:v>694d09b3af96e68da35d0a7e7c0c1c32c3fe296ef324910032da10ccfe246c28</x:v>
      </x:c>
    </x:row>
    <x:row r="744" ht="90" customHeight="1">
      <x:c r="A744" s="26" t="str">
        <x:v>J2144-3933</x:v>
      </x:c>
      <x:c r="B744" s="26"/>
      <x:c r="C744" s="26" t="str">
        <x:v>NOT_SEARCHED</x:v>
      </x:c>
      <x:c r="D744" s="26"/>
      <x:c r="E744" s="26" t="str">
        <x:v>No observed search</x:v>
      </x:c>
      <x:c r="F744" s="26" t="str">
        <x:v>Retain current-scope exclusion</x:v>
      </x:c>
      <x:c r="G744" s="26" t="str">
        <x:v>UTMOST EXCLUDED</x:v>
      </x:c>
      <x:c r="H744" s="27" t="n">
        <x:v>95</x:v>
      </x:c>
      <x:c r="I744" s="27" t="n">
        <x:v>94</x:v>
      </x:c>
      <x:c r="J744" s="28" t="n">
        <x:v>1140.785705812086</x:v>
      </x:c>
      <x:c r="K744" s="26" t="str">
        <x:v>INVENTORIED; NOT SELECTED</x:v>
      </x:c>
      <x:c r="L744" s="26" t="str">
        <x:v>span_below_1200_days</x:v>
      </x:c>
      <x:c r="M744" s="26" t="str">
        <x:v>Absent from named inventory</x:v>
      </x:c>
      <x:c r="N744" s="26" t="str">
        <x:v>Absent from named inventory</x:v>
      </x:c>
      <x:c r="O744" s="26" t="str">
        <x:v>Absent from named inventory</x:v>
      </x:c>
      <x:c r="P744" s="26"/>
      <x:c r="Q744" s="26" t="str">
        <x:v>./results/research/utmost-inventory-20260909/inventory.json</x:v>
      </x:c>
      <x:c r="R744" s="26" t="str">
        <x:v>be35df020956807029290b9267e5779e1fce23757b6f4ea4c506b3b59f6a9fb6</x:v>
      </x:c>
      <x:c r="S744" s="26" t="str">
        <x:v>6f6426ff25461630ea0bd3cea61c1a0b572b524558909adf7ffd27390fcf07e4</x:v>
      </x:c>
      <x:c r="T744" s="26" t="str">
        <x:v>8696c69b91b886a8387d377477a6216e2446b4db03da3b7a9262ef4ea8689d85</x:v>
      </x:c>
    </x:row>
    <x:row r="745" ht="90" customHeight="1">
      <x:c r="A745" s="26" t="str">
        <x:v>J0534+2200</x:v>
      </x:c>
      <x:c r="B745" s="26" t="str">
        <x:v>B0531+21</x:v>
      </x:c>
      <x:c r="C745" s="26" t="str">
        <x:v>NOT_SEARCHED</x:v>
      </x:c>
      <x:c r="D745" s="26"/>
      <x:c r="E745" s="26" t="str">
        <x:v>No observed search</x:v>
      </x:c>
      <x:c r="F745" s="26" t="str">
        <x:v>Obtain timing inputs; assess combined coverage</x:v>
      </x:c>
      <x:c r="G745" s="26" t="str">
        <x:v>UTMOST-NS INPUTS PENDING</x:v>
      </x:c>
      <x:c r="H745" s="26"/>
      <x:c r="I745" s="26"/>
      <x:c r="J745" s="28" t="n">
        <x:v>812.7747222222222</x:v>
      </x:c>
      <x:c r="K745" s="26" t="str">
        <x:v>NOT SELECTED</x:v>
      </x:c>
      <x:c r="L745" s="26" t="str">
        <x:v>EXCLUDED_SPAN_BELOW_1200_DAYS</x:v>
      </x:c>
      <x:c r="M745" s="26"/>
      <x:c r="N745" s="26"/>
      <x:c r="O745" s="26"/>
      <x:c r="P745" s="26"/>
      <x:c r="Q745" s="26" t="str">
        <x:v>./results/research/utmost-ns-inventory-20260909/inventory.json</x:v>
      </x:c>
      <x:c r="R745" s="26" t="str">
        <x:v>50d520839b0bc15d2179c674301f734b12a6a8484dc552d90841e8084ecd65eb</x:v>
      </x:c>
      <x:c r="S745" s="26"/>
      <x:c r="T745" s="26"/>
    </x:row>
    <x:row r="746" ht="90" customHeight="1">
      <x:c r="A746" s="26" t="str">
        <x:v>J0543+2329</x:v>
      </x:c>
      <x:c r="B746" s="26" t="str">
        <x:v>B0540+23</x:v>
      </x:c>
      <x:c r="C746" s="26" t="str">
        <x:v>NOT_SEARCHED</x:v>
      </x:c>
      <x:c r="D746" s="26"/>
      <x:c r="E746" s="26" t="str">
        <x:v>No observed search</x:v>
      </x:c>
      <x:c r="F746" s="26" t="str">
        <x:v>Obtain timing inputs; assess combined coverage</x:v>
      </x:c>
      <x:c r="G746" s="26" t="str">
        <x:v>UTMOST-NS INPUTS PENDING</x:v>
      </x:c>
      <x:c r="H746" s="26"/>
      <x:c r="I746" s="26"/>
      <x:c r="J746" s="28" t="n">
        <x:v>777.8691782407408</x:v>
      </x:c>
      <x:c r="K746" s="26" t="str">
        <x:v>NOT SELECTED</x:v>
      </x:c>
      <x:c r="L746" s="26" t="str">
        <x:v>EXCLUDED_SPAN_BELOW_1200_DAYS</x:v>
      </x:c>
      <x:c r="M746" s="26"/>
      <x:c r="N746" s="26"/>
      <x:c r="O746" s="26"/>
      <x:c r="P746" s="26"/>
      <x:c r="Q746" s="26" t="str">
        <x:v>./results/research/utmost-ns-inventory-20260909/inventory.json</x:v>
      </x:c>
      <x:c r="R746" s="26" t="str">
        <x:v>50d520839b0bc15d2179c674301f734b12a6a8484dc552d90841e8084ecd65eb</x:v>
      </x:c>
      <x:c r="S746" s="26"/>
      <x:c r="T746" s="26"/>
    </x:row>
    <x:row r="747" ht="90" customHeight="1">
      <x:c r="A747" s="26" t="str">
        <x:v>J0629+2415</x:v>
      </x:c>
      <x:c r="B747" s="26" t="str">
        <x:v>B0626+24</x:v>
      </x:c>
      <x:c r="C747" s="26" t="str">
        <x:v>NOT_SEARCHED</x:v>
      </x:c>
      <x:c r="D747" s="26"/>
      <x:c r="E747" s="26" t="str">
        <x:v>No observed search</x:v>
      </x:c>
      <x:c r="F747" s="26" t="str">
        <x:v>Obtain timing inputs; assess combined coverage</x:v>
      </x:c>
      <x:c r="G747" s="26" t="str">
        <x:v>UTMOST-NS INPUTS PENDING</x:v>
      </x:c>
      <x:c r="H747" s="26"/>
      <x:c r="I747" s="26"/>
      <x:c r="J747" s="28" t="n">
        <x:v>751.9393518518518</x:v>
      </x:c>
      <x:c r="K747" s="26" t="str">
        <x:v>NOT SELECTED</x:v>
      </x:c>
      <x:c r="L747" s="26" t="str">
        <x:v>EXCLUDED_SPAN_BELOW_1200_DAYS</x:v>
      </x:c>
      <x:c r="M747" s="26"/>
      <x:c r="N747" s="26"/>
      <x:c r="O747" s="26"/>
      <x:c r="P747" s="26"/>
      <x:c r="Q747" s="26" t="str">
        <x:v>./results/research/utmost-ns-inventory-20260909/inventory.json</x:v>
      </x:c>
      <x:c r="R747" s="26" t="str">
        <x:v>50d520839b0bc15d2179c674301f734b12a6a8484dc552d90841e8084ecd65eb</x:v>
      </x:c>
      <x:c r="S747" s="26"/>
      <x:c r="T747" s="26"/>
    </x:row>
    <x:row r="748" ht="90" customHeight="1">
      <x:c r="A748" s="26" t="str">
        <x:v>J0823+0159</x:v>
      </x:c>
      <x:c r="B748" s="26" t="str">
        <x:v>B0820+02</x:v>
      </x:c>
      <x:c r="C748" s="26" t="str">
        <x:v>NOT_SEARCHED</x:v>
      </x:c>
      <x:c r="D748" s="26"/>
      <x:c r="E748" s="26" t="str">
        <x:v>No observed search</x:v>
      </x:c>
      <x:c r="F748" s="26" t="str">
        <x:v>Obtain timing inputs; assess combined coverage</x:v>
      </x:c>
      <x:c r="G748" s="26" t="str">
        <x:v>UTMOST-NS INPUTS PENDING</x:v>
      </x:c>
      <x:c r="H748" s="26"/>
      <x:c r="I748" s="26"/>
      <x:c r="J748" s="28" t="n">
        <x:v>749.9441898148148</x:v>
      </x:c>
      <x:c r="K748" s="26" t="str">
        <x:v>NOT SELECTED</x:v>
      </x:c>
      <x:c r="L748" s="26" t="str">
        <x:v>EXCLUDED_BINARY</x:v>
      </x:c>
      <x:c r="M748" s="26"/>
      <x:c r="N748" s="26"/>
      <x:c r="O748" s="26"/>
      <x:c r="P748" s="26"/>
      <x:c r="Q748" s="26" t="str">
        <x:v>./results/research/utmost-ns-inventory-20260909/inventory.json</x:v>
      </x:c>
      <x:c r="R748" s="26" t="str">
        <x:v>50d520839b0bc15d2179c674301f734b12a6a8484dc552d90841e8084ecd65eb</x:v>
      </x:c>
      <x:c r="S748" s="26"/>
      <x:c r="T748" s="26"/>
    </x:row>
    <x:row r="749" ht="90" customHeight="1">
      <x:c r="A749" s="26" t="str">
        <x:v>J0828-3417</x:v>
      </x:c>
      <x:c r="B749" s="26" t="str">
        <x:v>B0826-34</x:v>
      </x:c>
      <x:c r="C749" s="26" t="str">
        <x:v>NOT_SEARCHED</x:v>
      </x:c>
      <x:c r="D749" s="26"/>
      <x:c r="E749" s="26" t="str">
        <x:v>No observed search</x:v>
      </x:c>
      <x:c r="F749" s="26" t="str">
        <x:v>Obtain timing inputs; assess combined coverage</x:v>
      </x:c>
      <x:c r="G749" s="26" t="str">
        <x:v>UTMOST-NS INPUTS PENDING</x:v>
      </x:c>
      <x:c r="H749" s="26"/>
      <x:c r="I749" s="26"/>
      <x:c r="J749" s="28" t="n">
        <x:v>754.9310648148148</x:v>
      </x:c>
      <x:c r="K749" s="26" t="str">
        <x:v>NOT SELECTED</x:v>
      </x:c>
      <x:c r="L749" s="26" t="str">
        <x:v>EXCLUDED_SPAN_BELOW_1200_DAYS</x:v>
      </x:c>
      <x:c r="M749" s="26"/>
      <x:c r="N749" s="26"/>
      <x:c r="O749" s="26"/>
      <x:c r="P749" s="26"/>
      <x:c r="Q749" s="26" t="str">
        <x:v>./results/research/utmost-ns-inventory-20260909/inventory.json</x:v>
      </x:c>
      <x:c r="R749" s="26" t="str">
        <x:v>50d520839b0bc15d2179c674301f734b12a6a8484dc552d90841e8084ecd65eb</x:v>
      </x:c>
      <x:c r="S749" s="26"/>
      <x:c r="T749" s="26"/>
    </x:row>
    <x:row r="750" ht="90" customHeight="1">
      <x:c r="A750" s="26" t="str">
        <x:v>J1239+2453</x:v>
      </x:c>
      <x:c r="B750" s="26" t="str">
        <x:v>B1237+25</x:v>
      </x:c>
      <x:c r="C750" s="26" t="str">
        <x:v>NOT_SEARCHED</x:v>
      </x:c>
      <x:c r="D750" s="26"/>
      <x:c r="E750" s="26" t="str">
        <x:v>No observed search</x:v>
      </x:c>
      <x:c r="F750" s="26" t="str">
        <x:v>Obtain timing inputs; assess combined coverage</x:v>
      </x:c>
      <x:c r="G750" s="26" t="str">
        <x:v>UTMOST-NS INPUTS PENDING</x:v>
      </x:c>
      <x:c r="H750" s="26"/>
      <x:c r="I750" s="26"/>
      <x:c r="J750" s="28" t="n">
        <x:v>748.9478240740741</x:v>
      </x:c>
      <x:c r="K750" s="26" t="str">
        <x:v>NOT SELECTED</x:v>
      </x:c>
      <x:c r="L750" s="26" t="str">
        <x:v>EXCLUDED_SPAN_BELOW_1200_DAYS</x:v>
      </x:c>
      <x:c r="M750" s="26"/>
      <x:c r="N750" s="26"/>
      <x:c r="O750" s="26"/>
      <x:c r="P750" s="26"/>
      <x:c r="Q750" s="26" t="str">
        <x:v>./results/research/utmost-ns-inventory-20260909/inventory.json</x:v>
      </x:c>
      <x:c r="R750" s="26" t="str">
        <x:v>50d520839b0bc15d2179c674301f734b12a6a8484dc552d90841e8084ecd65eb</x:v>
      </x:c>
      <x:c r="S750" s="26"/>
      <x:c r="T750" s="26"/>
    </x:row>
    <x:row r="751" ht="90" customHeight="1">
      <x:c r="A751" s="26" t="str">
        <x:v>J1440-6344</x:v>
      </x:c>
      <x:c r="B751" s="26" t="str">
        <x:v>B1436-63</x:v>
      </x:c>
      <x:c r="C751" s="26" t="str">
        <x:v>NOT_SEARCHED</x:v>
      </x:c>
      <x:c r="D751" s="26"/>
      <x:c r="E751" s="26" t="str">
        <x:v>No observed search</x:v>
      </x:c>
      <x:c r="F751" s="26" t="str">
        <x:v>Obtain timing inputs; assess combined coverage</x:v>
      </x:c>
      <x:c r="G751" s="26" t="str">
        <x:v>UTMOST-NS INPUTS PENDING</x:v>
      </x:c>
      <x:c r="H751" s="26"/>
      <x:c r="I751" s="26"/>
      <x:c r="J751" s="28" t="n">
        <x:v>755.9302546296296</x:v>
      </x:c>
      <x:c r="K751" s="26" t="str">
        <x:v>NOT SELECTED</x:v>
      </x:c>
      <x:c r="L751" s="26" t="str">
        <x:v>EXCLUDED_SPAN_BELOW_1200_DAYS</x:v>
      </x:c>
      <x:c r="M751" s="26"/>
      <x:c r="N751" s="26"/>
      <x:c r="O751" s="26"/>
      <x:c r="P751" s="26"/>
      <x:c r="Q751" s="26" t="str">
        <x:v>./results/research/utmost-ns-inventory-20260909/inventory.json</x:v>
      </x:c>
      <x:c r="R751" s="26" t="str">
        <x:v>50d520839b0bc15d2179c674301f734b12a6a8484dc552d90841e8084ecd65eb</x:v>
      </x:c>
      <x:c r="S751" s="26"/>
      <x:c r="T751" s="26"/>
    </x:row>
    <x:row r="752" ht="90" customHeight="1">
      <x:c r="A752" s="26" t="str">
        <x:v>J1630-4733</x:v>
      </x:c>
      <x:c r="B752" s="26" t="str">
        <x:v>B1626-47</x:v>
      </x:c>
      <x:c r="C752" s="26" t="str">
        <x:v>NOT_SEARCHED</x:v>
      </x:c>
      <x:c r="D752" s="26"/>
      <x:c r="E752" s="26" t="str">
        <x:v>No observed search</x:v>
      </x:c>
      <x:c r="F752" s="26" t="str">
        <x:v>Obtain timing inputs; assess combined coverage</x:v>
      </x:c>
      <x:c r="G752" s="26" t="str">
        <x:v>UTMOST-NS INPUTS PENDING</x:v>
      </x:c>
      <x:c r="H752" s="26"/>
      <x:c r="I752" s="26"/>
      <x:c r="J752" s="28" t="n">
        <x:v>102.71811342592592</x:v>
      </x:c>
      <x:c r="K752" s="26" t="str">
        <x:v>NOT SELECTED</x:v>
      </x:c>
      <x:c r="L752" s="26" t="str">
        <x:v>EXCLUDED_SPAN_BELOW_1200_DAYS</x:v>
      </x:c>
      <x:c r="M752" s="26"/>
      <x:c r="N752" s="26"/>
      <x:c r="O752" s="26"/>
      <x:c r="P752" s="26"/>
      <x:c r="Q752" s="26" t="str">
        <x:v>./results/research/utmost-ns-inventory-20260909/inventory.json</x:v>
      </x:c>
      <x:c r="R752" s="26" t="str">
        <x:v>50d520839b0bc15d2179c674301f734b12a6a8484dc552d90841e8084ecd65eb</x:v>
      </x:c>
      <x:c r="S752" s="26"/>
      <x:c r="T752" s="26"/>
    </x:row>
    <x:row r="753" ht="90" customHeight="1">
      <x:c r="A753" s="26" t="str">
        <x:v>J1809-1943</x:v>
      </x:c>
      <x:c r="B753" s="26"/>
      <x:c r="C753" s="26" t="str">
        <x:v>NOT_SEARCHED</x:v>
      </x:c>
      <x:c r="D753" s="26"/>
      <x:c r="E753" s="26" t="str">
        <x:v>No observed search</x:v>
      </x:c>
      <x:c r="F753" s="26" t="str">
        <x:v>Obtain timing inputs; assess combined coverage</x:v>
      </x:c>
      <x:c r="G753" s="26" t="str">
        <x:v>UTMOST-NS INPUTS PENDING</x:v>
      </x:c>
      <x:c r="H753" s="26"/>
      <x:c r="I753" s="26"/>
      <x:c r="J753" s="28" t="n">
        <x:v>492.6514467592593</x:v>
      </x:c>
      <x:c r="K753" s="26" t="str">
        <x:v>NOT SELECTED</x:v>
      </x:c>
      <x:c r="L753" s="26" t="str">
        <x:v>EXCLUDED_SPAN_BELOW_1200_DAYS</x:v>
      </x:c>
      <x:c r="M753" s="26"/>
      <x:c r="N753" s="26"/>
      <x:c r="O753" s="26"/>
      <x:c r="P753" s="26"/>
      <x:c r="Q753" s="26" t="str">
        <x:v>./results/research/utmost-ns-inventory-20260909/inventory.json</x:v>
      </x:c>
      <x:c r="R753" s="26" t="str">
        <x:v>50d520839b0bc15d2179c674301f734b12a6a8484dc552d90841e8084ecd65eb</x:v>
      </x:c>
      <x:c r="S753" s="26"/>
      <x:c r="T753" s="26"/>
    </x:row>
    <x:row r="754" ht="90" customHeight="1">
      <x:c r="A754" s="26" t="str">
        <x:v>J1844+00</x:v>
      </x:c>
      <x:c r="B754" s="26"/>
      <x:c r="C754" s="26" t="str">
        <x:v>NOT_SEARCHED</x:v>
      </x:c>
      <x:c r="D754" s="26"/>
      <x:c r="E754" s="26" t="str">
        <x:v>No observed search</x:v>
      </x:c>
      <x:c r="F754" s="26" t="str">
        <x:v>Obtain timing inputs; assess combined coverage</x:v>
      </x:c>
      <x:c r="G754" s="26" t="str">
        <x:v>UTMOST-NS INPUTS PENDING</x:v>
      </x:c>
      <x:c r="H754" s="26"/>
      <x:c r="I754" s="26"/>
      <x:c r="J754" s="28" t="n">
        <x:v>696.0940625</x:v>
      </x:c>
      <x:c r="K754" s="26" t="str">
        <x:v>NOT SELECTED</x:v>
      </x:c>
      <x:c r="L754" s="26" t="str">
        <x:v>EXCLUDED_SPAN_BELOW_1200_DAYS</x:v>
      </x:c>
      <x:c r="M754" s="26"/>
      <x:c r="N754" s="26"/>
      <x:c r="O754" s="26"/>
      <x:c r="P754" s="26"/>
      <x:c r="Q754" s="26" t="str">
        <x:v>./results/research/utmost-ns-inventory-20260909/inventory.json</x:v>
      </x:c>
      <x:c r="R754" s="26" t="str">
        <x:v>50d520839b0bc15d2179c674301f734b12a6a8484dc552d90841e8084ecd65eb</x:v>
      </x:c>
      <x:c r="S754" s="26"/>
      <x:c r="T754" s="26"/>
    </x:row>
    <x:row r="755" ht="90" customHeight="1">
      <x:c r="A755" s="26" t="str">
        <x:v>J1921+2153</x:v>
      </x:c>
      <x:c r="B755" s="26" t="str">
        <x:v>B1919+21</x:v>
      </x:c>
      <x:c r="C755" s="26" t="str">
        <x:v>NOT_SEARCHED</x:v>
      </x:c>
      <x:c r="D755" s="26"/>
      <x:c r="E755" s="26" t="str">
        <x:v>No observed search</x:v>
      </x:c>
      <x:c r="F755" s="26" t="str">
        <x:v>Obtain timing inputs; assess combined coverage</x:v>
      </x:c>
      <x:c r="G755" s="26" t="str">
        <x:v>UTMOST-NS INPUTS PENDING</x:v>
      </x:c>
      <x:c r="H755" s="26"/>
      <x:c r="I755" s="26"/>
      <x:c r="J755" s="28" t="n">
        <x:v>725.0137962962963</x:v>
      </x:c>
      <x:c r="K755" s="26" t="str">
        <x:v>NOT SELECTED</x:v>
      </x:c>
      <x:c r="L755" s="26" t="str">
        <x:v>EXCLUDED_SPAN_BELOW_1200_DAYS</x:v>
      </x:c>
      <x:c r="M755" s="26"/>
      <x:c r="N755" s="26"/>
      <x:c r="O755" s="26"/>
      <x:c r="P755" s="26"/>
      <x:c r="Q755" s="26" t="str">
        <x:v>./results/research/utmost-ns-inventory-20260909/inventory.json</x:v>
      </x:c>
      <x:c r="R755" s="26" t="str">
        <x:v>50d520839b0bc15d2179c674301f734b12a6a8484dc552d90841e8084ecd65eb</x:v>
      </x:c>
      <x:c r="S755" s="26"/>
      <x:c r="T755" s="26"/>
    </x:row>
  </x:sheetData>
  <x:conditionalFormatting sqref="C2:C89">
    <x:cfRule type="containsText" dxfId="0" priority="1" operator="containsText" text="DATA_GAP"/>
    <x:cfRule type="containsText" dxfId="1" priority="2" operator="containsText" text="OPEN"/>
    <x:cfRule type="containsText" dxfId="2" priority="3" operator="containsText" text="FAIL_PRESERVED"/>
    <x:cfRule type="containsText" dxfId="3" priority="4" operator="containsText" text="RETAINED_FIT_BOUNDARY"/>
  </x:conditionalFormatting>
  <x:conditionalFormatting sqref="A2:A89">
    <x:cfRule type="duplicateValues" dxfId="12" priority="5"/>
  </x:conditionalFormatting>
  <x:pageMargins left="0.7" right="0.7" top="0.75" bottom="0.75" header="0.3" footer="0.3"/>
  <x:tableParts count="1">
    <x:tablePart xmlns:r="http://schemas.openxmlformats.org/officeDocument/2006/relationships" r:id="R12ed3cc75e0149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0" hidden="0" customWidth="1"/>
    <x:col min="2" max="2" width="19" hidden="0" customWidth="1"/>
    <x:col min="3" max="3" width="44" hidden="0" customWidth="1"/>
    <x:col min="4" max="4" width="34" hidden="0" customWidth="1"/>
    <x:col min="5" max="5" width="18" hidden="0" customWidth="1"/>
    <x:col min="6" max="6" width="46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4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22" hidden="0" customWidth="1"/>
    <x:col min="17" max="17" width="85" hidden="0" customWidth="1"/>
    <x:col min="18" max="18" width="28" hidden="0" customWidth="1"/>
    <x:col min="19" max="19" width="52" hidden="0" customWidth="1"/>
    <x:col min="20" max="20" width="85" hidden="0" customWidth="1"/>
    <x:col min="21" max="21" width="68" hidden="0" customWidth="1"/>
    <x:col min="22" max="22" width="100" hidden="0" customWidth="1"/>
  </x:cols>
  <x:sheetData>
    <x:row r="1" ht="42" customHeight="1">
      <x:c r="A1" s="6" t="str">
        <x:v>Record ID</x:v>
      </x:c>
      <x:c r="B1" s="6" t="str">
        <x:v>Target ID</x:v>
      </x:c>
      <x:c r="C1" s="6" t="str">
        <x:v>Data / method</x:v>
      </x:c>
      <x:c r="D1" s="6" t="str">
        <x:v>Result</x:v>
      </x:c>
      <x:c r="E1" s="6" t="str">
        <x:v>Period (days)</x:v>
      </x:c>
      <x:c r="F1" s="6" t="str">
        <x:v>Period meaning</x:v>
      </x:c>
      <x:c r="G1" s="6" t="str">
        <x:v>Amplitude (µs)</x:v>
      </x:c>
      <x:c r="H1" s="6" t="str">
        <x:v>Peak statistic</x:v>
      </x:c>
      <x:c r="I1" s="6" t="str">
        <x:v>Threshold</x:v>
      </x:c>
      <x:c r="J1" s="6" t="str">
        <x:v>TOAs used</x:v>
      </x:c>
      <x:c r="K1" s="6" t="str">
        <x:v>Epochs</x:v>
      </x:c>
      <x:c r="L1" s="6" t="str">
        <x:v>Search min (days)</x:v>
      </x:c>
      <x:c r="M1" s="6" t="str">
        <x:v>Search max (days)</x:v>
      </x:c>
      <x:c r="N1" s="6" t="str">
        <x:v>Grid cells</x:v>
      </x:c>
      <x:c r="O1" s="6" t="str">
        <x:v>Masked cells</x:v>
      </x:c>
      <x:c r="P1" s="6" t="str">
        <x:v>Median 95% amplitude (µs)</x:v>
      </x:c>
      <x:c r="Q1" s="6" t="str">
        <x:v>Disposition detail</x:v>
      </x:c>
      <x:c r="R1" s="6" t="str">
        <x:v>Previous record</x:v>
      </x:c>
      <x:c r="S1" s="6" t="str">
        <x:v>Repeat rule</x:v>
      </x:c>
      <x:c r="T1" s="6" t="str">
        <x:v>Evidence file</x:v>
      </x:c>
      <x:c r="U1" s="6" t="str">
        <x:v>Evidence SHA-256</x:v>
      </x:c>
      <x:c r="V1" s="6" t="str">
        <x:v>Input / calibration binding</x:v>
      </x:c>
    </x:row>
    <x:row r="2" ht="24" hidden="0" customHeight="1">
      <x:c r="A2" s="3" t="str">
        <x:v>MPTA01-J1629-6902-run01</x:v>
      </x:c>
      <x:c r="B2" s="3" t="str">
        <x:v>J1629-6902</x:v>
      </x:c>
      <x:c r="C2" s="3" t="str">
        <x:v>MPTA 4.5 yr; original circular search</x:v>
      </x:c>
      <x:c r="D2" s="3" t="str">
        <x:v>NO_TRIGGER</x:v>
      </x:c>
      <x:c r="E2" s="10" t="n">
        <x:v>41.77223075350435</x:v>
      </x:c>
      <x:c r="F2" s="3" t="str">
        <x:v>Strongest eligible grid peak; not a detected orbit</x:v>
      </x:c>
      <x:c r="G2" s="11" t="n">
        <x:v>0.452045759709574</x:v>
      </x:c>
      <x:c r="H2" s="11" t="n">
        <x:v>7.3486370740413225</x:v>
      </x:c>
      <x:c r="I2" s="11" t="n">
        <x:v>24.85041635089369</x:v>
      </x:c>
      <x:c r="J2" s="7" t="n">
        <x:v>3106</x:v>
      </x:c>
      <x:c r="K2" s="7" t="n">
        <x:v>102</x:v>
      </x:c>
      <x:c r="L2" s="11" t="n">
        <x:v>30</x:v>
      </x:c>
      <x:c r="M2" s="11" t="n">
        <x:v>400</x:v>
      </x:c>
      <x:c r="N2" s="7" t="n">
        <x:v>249</x:v>
      </x:c>
      <x:c r="O2" s="7" t="n">
        <x:v>9</x:v>
      </x:c>
      <x:c r="P2" s="11" t="n">
        <x:v>1.0724008099312663</x:v>
      </x:c>
      <x:c r="Q2" s="3" t="str">
        <x:v>Fixed published noise + epoch DM. 1% batch allowance for 10 fixed grids. Sensitivity: circular on-grid, worst phase, 95% detection probability; not an upper limit.</x:v>
      </x:c>
      <x:c r="R2" s="3"/>
      <x:c r="S2" s="3" t="str">
        <x:v>Preserve consumed record; new data/scope requires a new ID</x:v>
      </x:c>
      <x:c r="T2" s="3" t="str">
        <x:v>../Project Recherche Data/mpta-batch01-20260908/J1629-6902/run01/result.json</x:v>
      </x:c>
      <x:c r="U2" s="3" t="str">
        <x:v>8c93b5c7666df9bf87c4229eb2c32533d7c3ac0301f3d647b91af8ee2a6ff0bc</x:v>
      </x:c>
      <x:c r="V2" s="3" t="str">
        <x:v>observed=2f74a28391313db17cc6d7ba1bc79c0717824e9d38c62d6aebcf349601c51af4; calibration=ee140438d87331a2d6c7ccc55438414aacde35a7ddcae638a971e4406a4d6a90</x:v>
      </x:c>
    </x:row>
    <x:row r="3" ht="24" hidden="0" customHeight="1">
      <x:c r="A3" s="3" t="str">
        <x:v>MPTA01-J0711-6830-run01</x:v>
      </x:c>
      <x:c r="B3" s="3" t="str">
        <x:v>J0711-6830</x:v>
      </x:c>
      <x:c r="C3" s="3" t="str">
        <x:v>MPTA 4.5 yr; original circular search</x:v>
      </x:c>
      <x:c r="D3" s="3" t="str">
        <x:v>NO_TRIGGER</x:v>
      </x:c>
      <x:c r="E3" s="10" t="n">
        <x:v>47.59245302837718</x:v>
      </x:c>
      <x:c r="F3" s="3" t="str">
        <x:v>Strongest eligible grid peak; not a detected orbit</x:v>
      </x:c>
      <x:c r="G3" s="11" t="n">
        <x:v>0.5818574834188445</x:v>
      </x:c>
      <x:c r="H3" s="11" t="n">
        <x:v>19.287273649005233</x:v>
      </x:c>
      <x:c r="I3" s="11" t="n">
        <x:v>24.801633444645372</x:v>
      </x:c>
      <x:c r="J3" s="7" t="n">
        <x:v>2830</x:v>
      </x:c>
      <x:c r="K3" s="7" t="n">
        <x:v>100</x:v>
      </x:c>
      <x:c r="L3" s="11" t="n">
        <x:v>30</x:v>
      </x:c>
      <x:c r="M3" s="11" t="n">
        <x:v>400</x:v>
      </x:c>
      <x:c r="N3" s="7" t="n">
        <x:v>243</x:v>
      </x:c>
      <x:c r="O3" s="7" t="n">
        <x:v>6</x:v>
      </x:c>
      <x:c r="P3" s="11" t="n">
        <x:v>1.2171654764080877</x:v>
      </x:c>
      <x:c r="Q3" s="3" t="str">
        <x:v>Fixed published noise + epoch DM. 1% batch allowance for 10 fixed grids. Sensitivity: circular on-grid, worst phase, 95% detection probability; not an upper limit.</x:v>
      </x:c>
      <x:c r="R3" s="3"/>
      <x:c r="S3" s="3" t="str">
        <x:v>Preserve consumed record; new data/scope requires a new ID</x:v>
      </x:c>
      <x:c r="T3" s="3" t="str">
        <x:v>../Project Recherche Data/mpta-batch01-20260908/J0711-6830/run01/result.json</x:v>
      </x:c>
      <x:c r="U3" s="3" t="str">
        <x:v>9bc628876a25c0c41cb732650e6b0abf3452d291c4de08cf24a4d391f5732c2c</x:v>
      </x:c>
      <x:c r="V3" s="3" t="str">
        <x:v>observed=5c47d0e4190f04526ce7dada6122f481c5109e9b2cfb532faeb0eccafbc405f3; calibration=2bb84d98d79e37788c9b9466dfe44786cc3c7139ab777d764b25c76fb32f6e49</x:v>
      </x:c>
    </x:row>
    <x:row r="4" ht="24" hidden="0" customHeight="1">
      <x:c r="A4" s="3" t="str">
        <x:v>MPTA01-J1658-5324-run01</x:v>
      </x:c>
      <x:c r="B4" s="3" t="str">
        <x:v>J1658-5324</x:v>
      </x:c>
      <x:c r="C4" s="3" t="str">
        <x:v>MPTA 4.5 yr; original circular search</x:v>
      </x:c>
      <x:c r="D4" s="3" t="str">
        <x:v>NO_TRIGGER</x:v>
      </x:c>
      <x:c r="E4" s="10" t="n">
        <x:v>35.19732979897198</x:v>
      </x:c>
      <x:c r="F4" s="3" t="str">
        <x:v>Strongest eligible grid peak; not a detected orbit</x:v>
      </x:c>
      <x:c r="G4" s="11" t="n">
        <x:v>1.419108126003064</x:v>
      </x:c>
      <x:c r="H4" s="11" t="n">
        <x:v>12.652573023835265</x:v>
      </x:c>
      <x:c r="I4" s="11" t="n">
        <x:v>24.691669175810667</x:v>
      </x:c>
      <x:c r="J4" s="7" t="n">
        <x:v>1161</x:v>
      </x:c>
      <x:c r="K4" s="7" t="n">
        <x:v>71</x:v>
      </x:c>
      <x:c r="L4" s="11" t="n">
        <x:v>30</x:v>
      </x:c>
      <x:c r="M4" s="11" t="n">
        <x:v>400</x:v>
      </x:c>
      <x:c r="N4" s="7" t="n">
        <x:v>230</x:v>
      </x:c>
      <x:c r="O4" s="7" t="n">
        <x:v>12</x:v>
      </x:c>
      <x:c r="P4" s="11" t="n">
        <x:v>2.6251908759439058</x:v>
      </x:c>
      <x:c r="Q4" s="3" t="str">
        <x:v>Fixed published noise + epoch DM. 1% batch allowance for 10 fixed grids. Sensitivity: circular on-grid, worst phase, 95% detection probability; not an upper limit.</x:v>
      </x:c>
      <x:c r="R4" s="3"/>
      <x:c r="S4" s="3" t="str">
        <x:v>Preserve consumed record; new data/scope requires a new ID</x:v>
      </x:c>
      <x:c r="T4" s="3" t="str">
        <x:v>../Project Recherche Data/mpta-batch01-20260908/J1658-5324/run01/result.json</x:v>
      </x:c>
      <x:c r="U4" s="3" t="str">
        <x:v>095ed096acba4dc0eaf1940f092841061bc754461ccdec3ea241507920c7821d</x:v>
      </x:c>
      <x:c r="V4" s="3" t="str">
        <x:v>observed=a8e59f20454635979f0e32070bf73595421680591be7a575220df7db39286940; calibration=e360892b756c90ebb15f150dc9355ca821a3ca4ad0bba0cfd9ed51e6b4d260d8</x:v>
      </x:c>
    </x:row>
    <x:row r="5" ht="24" hidden="0" customHeight="1">
      <x:c r="A5" s="3" t="str">
        <x:v>MPTA01-J0636-3044-run01</x:v>
      </x:c>
      <x:c r="B5" s="3" t="str">
        <x:v>J0636-3044</x:v>
      </x:c>
      <x:c r="C5" s="3" t="str">
        <x:v>MPTA 4.5 yr; original circular search</x:v>
      </x:c>
      <x:c r="D5" s="3" t="str">
        <x:v>NO_TRIGGER</x:v>
      </x:c>
      <x:c r="E5" s="10" t="n">
        <x:v>31.636408715942956</x:v>
      </x:c>
      <x:c r="F5" s="3" t="str">
        <x:v>Strongest eligible grid peak; not a detected orbit</x:v>
      </x:c>
      <x:c r="G5" s="11" t="n">
        <x:v>0.9751345838759792</x:v>
      </x:c>
      <x:c r="H5" s="11" t="n">
        <x:v>9.006608888686948</x:v>
      </x:c>
      <x:c r="I5" s="11" t="n">
        <x:v>24.768437661827296</x:v>
      </x:c>
      <x:c r="J5" s="7" t="n">
        <x:v>2217</x:v>
      </x:c>
      <x:c r="K5" s="7" t="n">
        <x:v>80</x:v>
      </x:c>
      <x:c r="L5" s="11" t="n">
        <x:v>30</x:v>
      </x:c>
      <x:c r="M5" s="11" t="n">
        <x:v>400</x:v>
      </x:c>
      <x:c r="N5" s="7" t="n">
        <x:v>239</x:v>
      </x:c>
      <x:c r="O5" s="7" t="n">
        <x:v>11</x:v>
      </x:c>
      <x:c r="P5" s="11" t="n">
        <x:v>2.6864647466953824</x:v>
      </x:c>
      <x:c r="Q5" s="3" t="str">
        <x:v>Fixed published noise + epoch DM. 1% batch allowance for 10 fixed grids. Sensitivity: circular on-grid, worst phase, 95% detection probability; not an upper limit.</x:v>
      </x:c>
      <x:c r="R5" s="3"/>
      <x:c r="S5" s="3" t="str">
        <x:v>Preserve consumed record; new data/scope requires a new ID</x:v>
      </x:c>
      <x:c r="T5" s="3" t="str">
        <x:v>../Project Recherche Data/mpta-batch01-20260908/J0636-3044/run01/result.json</x:v>
      </x:c>
      <x:c r="U5" s="3" t="str">
        <x:v>aedc4263af752648ba35575d3f2c083deceeba10a4527db23311b3f1fcccfa2d</x:v>
      </x:c>
      <x:c r="V5" s="3" t="str">
        <x:v>observed=c69adbe812b6af8fe29f804f1c37e1bbdb21a4769bd9963e5f504c5b22cd3c68; calibration=c2677b9fd0c0dbff90d31900d3faf9eb11e70eeb13bf5bf1f7f0512dd7573d65</x:v>
      </x:c>
    </x:row>
    <x:row r="6" ht="24" hidden="0" customHeight="1">
      <x:c r="A6" s="3" t="str">
        <x:v>MPTA01-J1843-1448-run01</x:v>
      </x:c>
      <x:c r="B6" s="3" t="str">
        <x:v>J1843-1448</x:v>
      </x:c>
      <x:c r="C6" s="3" t="str">
        <x:v>MPTA 4.5 yr; original circular search</x:v>
      </x:c>
      <x:c r="D6" s="3" t="str">
        <x:v>NO_TRIGGER</x:v>
      </x:c>
      <x:c r="E6" s="10" t="n">
        <x:v>202.14261051209667</x:v>
      </x:c>
      <x:c r="F6" s="3" t="str">
        <x:v>Strongest eligible grid peak; not a detected orbit</x:v>
      </x:c>
      <x:c r="G6" s="11" t="n">
        <x:v>5.680880238226855</x:v>
      </x:c>
      <x:c r="H6" s="11" t="n">
        <x:v>12.752492074222038</x:v>
      </x:c>
      <x:c r="I6" s="11" t="n">
        <x:v>24.785104424945583</x:v>
      </x:c>
      <x:c r="J6" s="7" t="n">
        <x:v>1969</x:v>
      </x:c>
      <x:c r="K6" s="7" t="n">
        <x:v>62</x:v>
      </x:c>
      <x:c r="L6" s="11" t="n">
        <x:v>30</x:v>
      </x:c>
      <x:c r="M6" s="11" t="n">
        <x:v>400</x:v>
      </x:c>
      <x:c r="N6" s="7" t="n">
        <x:v>241</x:v>
      </x:c>
      <x:c r="O6" s="7" t="n">
        <x:v>7</x:v>
      </x:c>
      <x:c r="P6" s="11" t="n">
        <x:v>10.514133093882371</x:v>
      </x:c>
      <x:c r="Q6" s="3" t="str">
        <x:v>Fixed published noise + epoch DM. 1% batch allowance for 10 fixed grids. Sensitivity: circular on-grid, worst phase, 95% detection probability; not an upper limit.</x:v>
      </x:c>
      <x:c r="R6" s="3"/>
      <x:c r="S6" s="3" t="str">
        <x:v>Preserve consumed record; new data/scope requires a new ID</x:v>
      </x:c>
      <x:c r="T6" s="3" t="str">
        <x:v>../Project Recherche Data/mpta-batch01-20260908/J1843-1448/run01/result.json</x:v>
      </x:c>
      <x:c r="U6" s="3" t="str">
        <x:v>2a0a602476dc0153b87bb797cf41071bd63b75f83f5bd837835f19c2d8556a46</x:v>
      </x:c>
      <x:c r="V6" s="3" t="str">
        <x:v>observed=6ae62a96fd7c63f2172ce2bd562d7d641fee9ab039663d7e8bd38ab8a2282a33; calibration=a6958aca32a76066fb3bca37fc8b157e0d707cb9cb236ed3dbe4fc70599f3f33</x:v>
      </x:c>
    </x:row>
    <x:row r="7" ht="24" hidden="0" customHeight="1">
      <x:c r="A7" s="3" t="str">
        <x:v>MPTA01-J1843-1113-run01</x:v>
      </x:c>
      <x:c r="B7" s="3" t="str">
        <x:v>J1843-1113</x:v>
      </x:c>
      <x:c r="C7" s="3" t="str">
        <x:v>MPTA 4.5 yr; original circular search</x:v>
      </x:c>
      <x:c r="D7" s="3" t="str">
        <x:v>NO_TRIGGER</x:v>
      </x:c>
      <x:c r="E7" s="10" t="n">
        <x:v>90.11999295512251</x:v>
      </x:c>
      <x:c r="F7" s="3" t="str">
        <x:v>Strongest eligible grid peak; not a detected orbit</x:v>
      </x:c>
      <x:c r="G7" s="11" t="n">
        <x:v>0.3479169097705975</x:v>
      </x:c>
      <x:c r="H7" s="11" t="n">
        <x:v>9.941674769616512</x:v>
      </x:c>
      <x:c r="I7" s="11" t="n">
        <x:v>24.793386010277647</x:v>
      </x:c>
      <x:c r="J7" s="7" t="n">
        <x:v>2886</x:v>
      </x:c>
      <x:c r="K7" s="7" t="n">
        <x:v>96</x:v>
      </x:c>
      <x:c r="L7" s="11" t="n">
        <x:v>30</x:v>
      </x:c>
      <x:c r="M7" s="11" t="n">
        <x:v>400</x:v>
      </x:c>
      <x:c r="N7" s="7" t="n">
        <x:v>242</x:v>
      </x:c>
      <x:c r="O7" s="7" t="n">
        <x:v>9</x:v>
      </x:c>
      <x:c r="P7" s="11" t="n">
        <x:v>0.8070758697319527</x:v>
      </x:c>
      <x:c r="Q7" s="3" t="str">
        <x:v>Fixed published noise + epoch DM. 1% batch allowance for 10 fixed grids. Sensitivity: circular on-grid, worst phase, 95% detection probability; not an upper limit.</x:v>
      </x:c>
      <x:c r="R7" s="3"/>
      <x:c r="S7" s="3" t="str">
        <x:v>Preserve consumed record; new data/scope requires a new ID</x:v>
      </x:c>
      <x:c r="T7" s="3" t="str">
        <x:v>../Project Recherche Data/mpta-batch01-20260908/J1843-1113/run01/result.json</x:v>
      </x:c>
      <x:c r="U7" s="3" t="str">
        <x:v>b6f3e52b5c172697df0a4a0212e0f34105a5d4d8b02a9b1d3da6a4088257cc6b</x:v>
      </x:c>
      <x:c r="V7" s="3" t="str">
        <x:v>observed=cd7e7de7af0404ee1e93db64fba42a4321adbadf9af880f352d3414855aa6cfa; calibration=079437050f29b7389365fb3fad8cb754f09efb6ee4fb726d9c6d94d1531ca6d3</x:v>
      </x:c>
    </x:row>
    <x:row r="8" ht="24" hidden="0" customHeight="1">
      <x:c r="A8" s="3" t="str">
        <x:v>MPTA01-J1730-2304-run01</x:v>
      </x:c>
      <x:c r="B8" s="3" t="str">
        <x:v>J1730-2304</x:v>
      </x:c>
      <x:c r="C8" s="3" t="str">
        <x:v>MPTA 4.5 yr; original circular search</x:v>
      </x:c>
      <x:c r="D8" s="3" t="str">
        <x:v>NO_TRIGGER</x:v>
      </x:c>
      <x:c r="E8" s="10" t="n">
        <x:v>36.851306274440844</x:v>
      </x:c>
      <x:c r="F8" s="3" t="str">
        <x:v>Strongest eligible grid peak; not a detected orbit</x:v>
      </x:c>
      <x:c r="G8" s="11" t="n">
        <x:v>0.39570479278450205</x:v>
      </x:c>
      <x:c r="H8" s="11" t="n">
        <x:v>7.280493300051796</x:v>
      </x:c>
      <x:c r="I8" s="11" t="n">
        <x:v>24.793386010277647</x:v>
      </x:c>
      <x:c r="J8" s="7" t="n">
        <x:v>3030</x:v>
      </x:c>
      <x:c r="K8" s="7" t="n">
        <x:v>96</x:v>
      </x:c>
      <x:c r="L8" s="11" t="n">
        <x:v>30</x:v>
      </x:c>
      <x:c r="M8" s="11" t="n">
        <x:v>400</x:v>
      </x:c>
      <x:c r="N8" s="7" t="n">
        <x:v>242</x:v>
      </x:c>
      <x:c r="O8" s="7" t="n">
        <x:v>9</x:v>
      </x:c>
      <x:c r="P8" s="11" t="n">
        <x:v>0.9544466887973586</x:v>
      </x:c>
      <x:c r="Q8" s="3" t="str">
        <x:v>Fixed published noise + epoch DM. 1% batch allowance for 10 fixed grids. Sensitivity: circular on-grid, worst phase, 95% detection probability; not an upper limit.</x:v>
      </x:c>
      <x:c r="R8" s="3"/>
      <x:c r="S8" s="3" t="str">
        <x:v>Preserve consumed record; new data/scope requires a new ID</x:v>
      </x:c>
      <x:c r="T8" s="3" t="str">
        <x:v>../Project Recherche Data/mpta-batch01-20260908/J1730-2304/run01/result.json</x:v>
      </x:c>
      <x:c r="U8" s="3" t="str">
        <x:v>84292ecf2773afd514c321d943e50b21081cf727fae1e28b1c557640d9fa8ebc</x:v>
      </x:c>
      <x:c r="V8" s="3" t="str">
        <x:v>observed=d288ad80cc80d165e185dfa100a89a6ae643df9e6d8ba28bd6ebea0cead5bde7; calibration=8d90d439451d71cac9077e721f35890c3cc20657386e05a9d337058453d3c3cc</x:v>
      </x:c>
    </x:row>
    <x:row r="9" ht="24" hidden="0" customHeight="1">
      <x:c r="A9" s="3" t="str">
        <x:v>MPTA01-J2010-1323-run01</x:v>
      </x:c>
      <x:c r="B9" s="3" t="str">
        <x:v>J2010-1323</x:v>
      </x:c>
      <x:c r="C9" s="3" t="str">
        <x:v>MPTA 4.5 yr; original circular search</x:v>
      </x:c>
      <x:c r="D9" s="3" t="str">
        <x:v>NO_TRIGGER</x:v>
      </x:c>
      <x:c r="E9" s="10" t="n">
        <x:v>82.27616109785494</x:v>
      </x:c>
      <x:c r="F9" s="3" t="str">
        <x:v>Strongest eligible grid peak; not a detected orbit</x:v>
      </x:c>
      <x:c r="G9" s="11" t="n">
        <x:v>0.5479197055259494</x:v>
      </x:c>
      <x:c r="H9" s="11" t="n">
        <x:v>11.404739055328113</x:v>
      </x:c>
      <x:c r="I9" s="11" t="n">
        <x:v>24.785104424945583</x:v>
      </x:c>
      <x:c r="J9" s="7" t="n">
        <x:v>3121</x:v>
      </x:c>
      <x:c r="K9" s="7" t="n">
        <x:v>101</x:v>
      </x:c>
      <x:c r="L9" s="11" t="n">
        <x:v>30</x:v>
      </x:c>
      <x:c r="M9" s="11" t="n">
        <x:v>400</x:v>
      </x:c>
      <x:c r="N9" s="7" t="n">
        <x:v>241</x:v>
      </x:c>
      <x:c r="O9" s="7" t="n">
        <x:v>9</x:v>
      </x:c>
      <x:c r="P9" s="11" t="n">
        <x:v>1.0803979075501364</x:v>
      </x:c>
      <x:c r="Q9" s="3" t="str">
        <x:v>Fixed published noise + epoch DM. 1% batch allowance for 10 fixed grids. Sensitivity: circular on-grid, worst phase, 95% detection probability; not an upper limit.</x:v>
      </x:c>
      <x:c r="R9" s="3"/>
      <x:c r="S9" s="3" t="str">
        <x:v>Preserve consumed record; new data/scope requires a new ID</x:v>
      </x:c>
      <x:c r="T9" s="3" t="str">
        <x:v>../Project Recherche Data/mpta-batch01-20260908/J2010-1323/run01/result.json</x:v>
      </x:c>
      <x:c r="U9" s="3" t="str">
        <x:v>a00a412b41110ae4f346ef9bd0077d0af7a6dc331a4b4d86bf20ab8983b41d93</x:v>
      </x:c>
      <x:c r="V9" s="3" t="str">
        <x:v>observed=c4b3ff079eae3e9ee118736200b0adbfef81db64f8edfcc427196e703fe599c6; calibration=b9368e92d95abe4a5b3071522d2271d9f37f8b3969c6aea98669d3647d2d1308</x:v>
      </x:c>
    </x:row>
    <x:row r="10" ht="24" hidden="0" customHeight="1">
      <x:c r="A10" s="3" t="str">
        <x:v>MPTA01-J2124-3358-run01</x:v>
      </x:c>
      <x:c r="B10" s="3" t="str">
        <x:v>J2124-3358</x:v>
      </x:c>
      <x:c r="C10" s="3" t="str">
        <x:v>MPTA 4.5 yr; original circular search</x:v>
      </x:c>
      <x:c r="D10" s="3" t="str">
        <x:v>NO_TRIGGER</x:v>
      </x:c>
      <x:c r="E10" s="10" t="n">
        <x:v>89.89379521742207</x:v>
      </x:c>
      <x:c r="F10" s="3" t="str">
        <x:v>Strongest eligible grid peak; not a detected orbit</x:v>
      </x:c>
      <x:c r="G10" s="11" t="n">
        <x:v>0.5895786147159945</x:v>
      </x:c>
      <x:c r="H10" s="11" t="n">
        <x:v>12.472068529288206</x:v>
      </x:c>
      <x:c r="I10" s="11" t="n">
        <x:v>24.785104424945583</x:v>
      </x:c>
      <x:c r="J10" s="7" t="n">
        <x:v>3138</x:v>
      </x:c>
      <x:c r="K10" s="7" t="n">
        <x:v>99</x:v>
      </x:c>
      <x:c r="L10" s="11" t="n">
        <x:v>30</x:v>
      </x:c>
      <x:c r="M10" s="11" t="n">
        <x:v>400</x:v>
      </x:c>
      <x:c r="N10" s="7" t="n">
        <x:v>241</x:v>
      </x:c>
      <x:c r="O10" s="7" t="n">
        <x:v>9</x:v>
      </x:c>
      <x:c r="P10" s="11" t="n">
        <x:v>1.3394642977274962</x:v>
      </x:c>
      <x:c r="Q10" s="3" t="str">
        <x:v>Fixed published noise + epoch DM. 1% batch allowance for 10 fixed grids. Sensitivity: circular on-grid, worst phase, 95% detection probability; not an upper limit.</x:v>
      </x:c>
      <x:c r="R10" s="3"/>
      <x:c r="S10" s="3" t="str">
        <x:v>Preserve consumed record; new data/scope requires a new ID</x:v>
      </x:c>
      <x:c r="T10" s="3" t="str">
        <x:v>../Project Recherche Data/mpta-batch01-20260908/J2124-3358/run01/result.json</x:v>
      </x:c>
      <x:c r="U10" s="3" t="str">
        <x:v>51ba9096f12910d6a8743d7d4ca897c4ca562f61eaebc85acbf7e298292e0518</x:v>
      </x:c>
      <x:c r="V10" s="3" t="str">
        <x:v>observed=7230a0e791fd3ff873a0235f2c1b6c46aeac56b7287973ff87f8ee154690792e; calibration=b61f27ab4a479818d2bf01971affe46fffe82d14908412b10d881b7958f394f4</x:v>
      </x:c>
    </x:row>
    <x:row r="11" ht="24" hidden="0" customHeight="1">
      <x:c r="A11" s="3" t="str">
        <x:v>MPTA01-J0931-1902-run01</x:v>
      </x:c>
      <x:c r="B11" s="3" t="str">
        <x:v>J0931-1902</x:v>
      </x:c>
      <x:c r="C11" s="3" t="str">
        <x:v>MPTA 4.5 yr; original circular search</x:v>
      </x:c>
      <x:c r="D11" s="3" t="str">
        <x:v>NO_TRIGGER</x:v>
      </x:c>
      <x:c r="E11" s="10" t="n">
        <x:v>52.07547308575475</x:v>
      </x:c>
      <x:c r="F11" s="3" t="str">
        <x:v>Strongest eligible grid peak; not a detected orbit</x:v>
      </x:c>
      <x:c r="G11" s="11" t="n">
        <x:v>0.7811683393833586</x:v>
      </x:c>
      <x:c r="H11" s="11" t="n">
        <x:v>6.970934654075743</x:v>
      </x:c>
      <x:c r="I11" s="11" t="n">
        <x:v>24.647711362373116</x:v>
      </x:c>
      <x:c r="J11" s="7" t="n">
        <x:v>1903</x:v>
      </x:c>
      <x:c r="K11" s="7" t="n">
        <x:v>81</x:v>
      </x:c>
      <x:c r="L11" s="11" t="n">
        <x:v>30</x:v>
      </x:c>
      <x:c r="M11" s="11" t="n">
        <x:v>400</x:v>
      </x:c>
      <x:c r="N11" s="7" t="n">
        <x:v>225</x:v>
      </x:c>
      <x:c r="O11" s="7" t="n">
        <x:v>10</x:v>
      </x:c>
      <x:c r="P11" s="11" t="n">
        <x:v>2.1355109122337437</x:v>
      </x:c>
      <x:c r="Q11" s="3" t="str">
        <x:v>Fixed published noise + epoch DM. 1% batch allowance for 10 fixed grids. Sensitivity: circular on-grid, worst phase, 95% detection probability; not an upper limit.</x:v>
      </x:c>
      <x:c r="R11" s="3"/>
      <x:c r="S11" s="3" t="str">
        <x:v>Preserve consumed record; new data/scope requires a new ID</x:v>
      </x:c>
      <x:c r="T11" s="3" t="str">
        <x:v>../Project Recherche Data/mpta-batch01-20260908/J0931-1902/run01/result.json</x:v>
      </x:c>
      <x:c r="U11" s="3" t="str">
        <x:v>1306dfdd0249a8398a99b68bc67e2b01b4e5d7ceaac8b5d5eb5086c9627c9ead</x:v>
      </x:c>
      <x:c r="V11" s="3" t="str">
        <x:v>observed=cc49263ac592c7ff5b8138131f2e028c229fbcd4197b4f4cffe4022352952924; calibration=986b73c4896c059d4d19d5696cdfa45b3b50516142d50edd7c0c4faf3acb34b6</x:v>
      </x:c>
    </x:row>
    <x:row r="12" ht="36" hidden="0" customHeight="1">
      <x:c r="A12" s="3" t="str">
        <x:v>COMPANION-J1719-1438-run01</x:v>
      </x:c>
      <x:c r="B12" s="3" t="str">
        <x:v>J1719-1438</x:v>
      </x:c>
      <x:c r="C12" s="3" t="str">
        <x:v>MPTA 4.5 yr; model-assisted known companion</x:v>
      </x:c>
      <x:c r="D12" s="3" t="str">
        <x:v>KNOWN_COMPANION_RECOVERED</x:v>
      </x:c>
      <x:c r="E12" s="10" t="n">
        <x:v>0.09070628521682597</x:v>
      </x:c>
      <x:c r="F12" s="3" t="str">
        <x:v>Refined circular period (TDB)</x:v>
      </x:c>
      <x:c r="G12" s="11" t="n">
        <x:v>1821.2079464342985</x:v>
      </x:c>
      <x:c r="H12" s="11" t="n">
        <x:v>26872619.144596413</x:v>
      </x:c>
      <x:c r="I12" s="11" t="n">
        <x:v>24.11049951159118</x:v>
      </x:c>
      <x:c r="J12" s="7" t="n">
        <x:v>2659</x:v>
      </x:c>
      <x:c r="K12" s="7" t="n">
        <x:v>100</x:v>
      </x:c>
      <x:c r="L12" s="11" t="n">
        <x:v>0.08979922082740861</x:v>
      </x:c>
      <x:c r="M12" s="11" t="n">
        <x:v>0.0916133465006896</x:v>
      </x:c>
      <x:c r="N12" s="7" t="n">
        <x:v>1720</x:v>
      </x:c>
      <x:c r="O12" s="7" t="n">
        <x:v>0</x:v>
      </x:c>
      <x:c r="P12" s="11" t="n">
        <x:v>2.5435226310044174</x:v>
      </x:c>
      <x:c r="Q12" s="3" t="str">
        <x:v>Published pulse connection and ±1% period window; conditional recovery, not blind rediscovery. Companion classification is not established by this timing recovery.</x:v>
      </x:c>
      <x:c r="R12" s="3"/>
      <x:c r="S12" s="3" t="str">
        <x:v>Preserve consumed record; new data/scope requires a new ID</x:v>
      </x:c>
      <x:c r="T12" s="3" t="str">
        <x:v>../Project Recherche Data/five-companion-benchmark-20260908/J1719-1438/run01/result.json</x:v>
      </x:c>
      <x:c r="U12" s="3" t="str">
        <x:v>5755d312887ed25508631a2c9bf42ef5650ef23837e25620a05fbc89827856ff</x:v>
      </x:c>
      <x:c r="V12" s="3" t="str">
        <x:v>observed=aba4c4d144316d0b11d0134b296d0b051c7091fef19f86722e94870f579a9a6e; profile=c982ef996f63fcecd0a315cc502b21ab641433308560aa1f86f470e3e3c9538c; calibration=8d0d5dd578e0a460b7b8ff63d18c15bfaab8eb5630fce219b01e6a6c2816d367</x:v>
      </x:c>
    </x:row>
    <x:row r="13" ht="36" hidden="0" customHeight="1">
      <x:c r="A13" s="3" t="str">
        <x:v>COMPANION-J2322-2650-run01</x:v>
      </x:c>
      <x:c r="B13" s="3" t="str">
        <x:v>J2322-2650</x:v>
      </x:c>
      <x:c r="C13" s="3" t="str">
        <x:v>MPTA 4.5 yr; model-assisted known companion</x:v>
      </x:c>
      <x:c r="D13" s="3" t="str">
        <x:v>KNOWN_COMPANION_RECOVERED</x:v>
      </x:c>
      <x:c r="E13" s="10" t="n">
        <x:v>0.32296399970885326</x:v>
      </x:c>
      <x:c r="F13" s="3" t="str">
        <x:v>Refined circular period (TDB)</x:v>
      </x:c>
      <x:c r="G13" s="11" t="n">
        <x:v>2783.9802456219977</x:v>
      </x:c>
      <x:c r="H13" s="11" t="n">
        <x:v>59270181.69032054</x:v>
      </x:c>
      <x:c r="I13" s="11" t="n">
        <x:v>21.356429440176992</x:v>
      </x:c>
      <x:c r="J13" s="7" t="n">
        <x:v>1967</x:v>
      </x:c>
      <x:c r="K13" s="7" t="n">
        <x:v>76</x:v>
      </x:c>
      <x:c r="L13" s="11" t="n">
        <x:v>0.31973435553550883</x:v>
      </x:c>
      <x:c r="M13" s="11" t="n">
        <x:v>0.32619363544531704</x:v>
      </x:c>
      <x:c r="N13" s="7" t="n">
        <x:v>434</x:v>
      </x:c>
      <x:c r="O13" s="7" t="n">
        <x:v>0</x:v>
      </x:c>
      <x:c r="P13" s="11" t="n">
        <x:v>2.230221165005706</x:v>
      </x:c>
      <x:c r="Q13" s="3" t="str">
        <x:v>Published pulse connection and ±1% period window; conditional recovery, not blind rediscovery. Companion classification is not established by this timing recovery.</x:v>
      </x:c>
      <x:c r="R13" s="3"/>
      <x:c r="S13" s="3" t="str">
        <x:v>Preserve consumed record; new data/scope requires a new ID</x:v>
      </x:c>
      <x:c r="T13" s="3" t="str">
        <x:v>../Project Recherche Data/five-companion-benchmark-20260908/J2322-2650/run01/result.json</x:v>
      </x:c>
      <x:c r="U13" s="3" t="str">
        <x:v>2cf4126aa6b97bf0d52e8da9e2e18bde0de2ae71a6394b7a6b342e10ed36561c</x:v>
      </x:c>
      <x:c r="V13" s="3" t="str">
        <x:v>observed=f8f73bdbc556910a565632209697e13f62f17d1b9aa4a0d9d9bcba89689d13d6; profile=53c5b097c737cb278447d791f6a7213d7c70d903e80a1f13a3d35378712ddf35; calibration=1ff16f77cc8133b0877d89862c79167037298d7575c790319330be14b493e93a</x:v>
      </x:c>
    </x:row>
    <x:row r="14" ht="36" hidden="0" customHeight="1">
      <x:c r="A14" s="3" t="str">
        <x:v>COMPANION-J1544+4937-run01</x:v>
      </x:c>
      <x:c r="B14" s="3" t="str">
        <x:v>J1544+4937</x:v>
      </x:c>
      <x:c r="C14" s="3" t="str">
        <x:v>LOFAR; model-assisted known companion</x:v>
      </x:c>
      <x:c r="D14" s="3" t="str">
        <x:v>KNOWN_COMPANION_RECOVERED</x:v>
      </x:c>
      <x:c r="E14" s="10" t="n">
        <x:v>0.12077298942005754</x:v>
      </x:c>
      <x:c r="F14" s="3" t="str">
        <x:v>Refined circular period (TDB)</x:v>
      </x:c>
      <x:c r="G14" s="11" t="n">
        <x:v>32855.177569941734</x:v>
      </x:c>
      <x:c r="H14" s="11" t="n">
        <x:v>987279.8706652302</x:v>
      </x:c>
      <x:c r="I14" s="11" t="n">
        <x:v>24.08945899024282</x:v>
      </x:c>
      <x:c r="J14" s="7" t="n">
        <x:v>245</x:v>
      </x:c>
      <x:c r="K14" s="7" t="n">
        <x:v>51</x:v>
      </x:c>
      <x:c r="L14" s="11" t="n">
        <x:v>0.1195652595441843</x:v>
      </x:c>
      <x:c r="M14" s="11" t="n">
        <x:v>0.12198071933295569</x:v>
      </x:c>
      <x:c r="N14" s="7" t="n">
        <x:v>1702</x:v>
      </x:c>
      <x:c r="O14" s="7" t="n">
        <x:v>0</x:v>
      </x:c>
      <x:c r="P14" s="11" t="n">
        <x:v>190.40644546180903</x:v>
      </x:c>
      <x:c r="Q14" s="3" t="str">
        <x:v>Published pulse connection and ±1% period window; conditional recovery, not blind rediscovery. 245 of 330 TOAs retained by uncertainty cut; black-widow companion.</x:v>
      </x:c>
      <x:c r="R14" s="3"/>
      <x:c r="S14" s="3" t="str">
        <x:v>Preserve consumed record; new data/scope requires a new ID</x:v>
      </x:c>
      <x:c r="T14" s="3" t="str">
        <x:v>../Project Recherche Data/five-companion-benchmark-20260908/J1544+4937/run01/result.json</x:v>
      </x:c>
      <x:c r="U14" s="3" t="str">
        <x:v>c7850158c54d2942a1dfdd734256e859511daeb3a8f7bd595290646fcbbe2b12</x:v>
      </x:c>
      <x:c r="V14" s="3" t="str">
        <x:v>observed=f05faa768bb9207a767bd1f589d1ead9f9400e12c6c2caad05fa4a99f66e94a6; profile=f6d6009b0fcaf62032d1a91605ed6ef5651880276a9fa5d6091505030b723e3a; calibration=5ac71096b715be1f41daa1c9a8ad993b60f2489c6872d1bc1e6edd3f04552c13</x:v>
      </x:c>
    </x:row>
    <x:row r="15" ht="24" hidden="0" customHeight="1">
      <x:c r="A15" s="3" t="str">
        <x:v>B1937-20260908-01</x:v>
      </x:c>
      <x:c r="B15" s="3" t="str">
        <x:v>J1939+2134</x:v>
      </x:c>
      <x:c r="C15" s="3" t="str">
        <x:v>NANOGrav 15 yr v2.1.0 wideband; original search</x:v>
      </x:c>
      <x:c r="D15" s="3" t="str">
        <x:v>NO_TRIGGER</x:v>
      </x:c>
      <x:c r="E15" s="10" t="n">
        <x:v>138.38134846979844</x:v>
      </x:c>
      <x:c r="F15" s="3" t="str">
        <x:v>Strongest eligible grid peak; not a detected orbit</x:v>
      </x:c>
      <x:c r="G15" s="11"/>
      <x:c r="H15" s="11" t="n">
        <x:v>12.756696672532273</x:v>
      </x:c>
      <x:c r="I15" s="11" t="n">
        <x:v>22.485020743823544</x:v>
      </x:c>
      <x:c r="J15" s="7" t="n">
        <x:v>660</x:v>
      </x:c>
      <x:c r="K15" s="7"/>
      <x:c r="L15" s="11" t="n">
        <x:v>30</x:v>
      </x:c>
      <x:c r="M15" s="11" t="n">
        <x:v>2000</x:v>
      </x:c>
      <x:c r="N15" s="7" t="n">
        <x:v>953</x:v>
      </x:c>
      <x:c r="O15" s="7" t="n">
        <x:v>1</x:v>
      </x:c>
      <x:c r="P15" s="11"/>
      <x:c r="Q15" s="3" t="str">
        <x:v>Original qualification-02 annual mask and threshold. Later automatic calibration does not replace this search.</x:v>
      </x:c>
      <x:c r="R15" s="3"/>
      <x:c r="S15" s="3" t="str">
        <x:v>Preserve consumed record; new data/scope requires a new ID</x:v>
      </x:c>
      <x:c r="T15" s="3" t="str">
        <x:v>../Project Recherche Data/operational-20260908/observed-runs/pilot2-ioc-observed-b1937-20260908-01/result.json</x:v>
      </x:c>
      <x:c r="U15" s="3" t="str">
        <x:v>bca91e1a88ed79625b34a34e19f4063516ac1e49d46d17cad4e5e232c449978d</x:v>
      </x:c>
      <x:c r="V15" s="3" t="str">
        <x:v>observed=72617de6ab3b39954b4ddbe3e60d9797a39287a9aa6b579e5d87abdc79b21131; package=9d739084cee43fd98a45fda67e254c647361b994c2d306f37378312d6388edb3</x:v>
      </x:c>
    </x:row>
    <x:row r="16" ht="15" hidden="0" customHeight="1">
      <x:c r="A16" s="3" t="str">
        <x:v>B1257-run01</x:v>
      </x:c>
      <x:c r="B16" s="3" t="str">
        <x:v>J1300+1240</x:v>
      </x:c>
      <x:c r="C16" s="3" t="str">
        <x:v>I-LOFAR; initial known-system search</x:v>
      </x:c>
      <x:c r="D16" s="3" t="str">
        <x:v>RETAINED_FIT_BOUNDARY</x:v>
      </x:c>
      <x:c r="E16" s="10"/>
      <x:c r="F16" s="3"/>
      <x:c r="G16" s="11"/>
      <x:c r="H16" s="11"/>
      <x:c r="I16" s="11" t="n">
        <x:v>23.179773012212713</x:v>
      </x:c>
      <x:c r="J16" s="7" t="n">
        <x:v>310</x:v>
      </x:c>
      <x:c r="K16" s="7" t="n">
        <x:v>37</x:v>
      </x:c>
      <x:c r="L16" s="11" t="n">
        <x:v>10</x:v>
      </x:c>
      <x:c r="M16" s="11" t="n">
        <x:v>400</x:v>
      </x:c>
      <x:c r="N16" s="7" t="n">
        <x:v>360</x:v>
      </x:c>
      <x:c r="O16" s="7" t="n">
        <x:v>16</x:v>
      </x:c>
      <x:c r="P16" s="11"/>
      <x:c r="Q16" s="3" t="str">
        <x:v>Original two detections retained. Joint refinement reached its bound; superseded by refinement01. Not a new dataset.</x:v>
      </x:c>
      <x:c r="R16" s="3"/>
      <x:c r="S16" s="3" t="str">
        <x:v>Preserve consumed record; new data/scope requires a new ID</x:v>
      </x:c>
      <x:c r="T16" s="3" t="str">
        <x:v>../Project Recherche Data/b1257-benchmark-20260908/run01/result.json</x:v>
      </x:c>
      <x:c r="U16" s="3" t="str">
        <x:v>757070982c6d815fb8d0cc6b235073edb7f90b18d221859bd6a63d8bc8b0b39b</x:v>
      </x:c>
      <x:c r="V16" s="3" t="str">
        <x:v>8e86c6b55a2461332b72754b7f44392e9e4d0e1f1baf1073199e7dbd061772be</x:v>
      </x:c>
    </x:row>
    <x:row r="17" ht="24" hidden="0" customHeight="1">
      <x:c r="A17" s="3" t="str">
        <x:v>B1257-refinement01</x:v>
      </x:c>
      <x:c r="B17" s="3" t="str">
        <x:v>J1300+1240</x:v>
      </x:c>
      <x:c r="C17" s="3" t="str">
        <x:v>I-LOFAR; joint refinement of original detections</x:v>
      </x:c>
      <x:c r="D17" s="3" t="str">
        <x:v>TWO_KNOWN_PLANETS_RECOVERED</x:v>
      </x:c>
      <x:c r="E17" s="10"/>
      <x:c r="F17" s="3"/>
      <x:c r="G17" s="11"/>
      <x:c r="H17" s="11"/>
      <x:c r="I17" s="11" t="n">
        <x:v>23.179773012212713</x:v>
      </x:c>
      <x:c r="J17" s="7" t="n">
        <x:v>310</x:v>
      </x:c>
      <x:c r="K17" s="7" t="n">
        <x:v>37</x:v>
      </x:c>
      <x:c r="L17" s="11" t="n">
        <x:v>10</x:v>
      </x:c>
      <x:c r="M17" s="11" t="n">
        <x:v>400</x:v>
      </x:c>
      <x:c r="N17" s="7" t="n">
        <x:v>360</x:v>
      </x:c>
      <x:c r="O17" s="7" t="n">
        <x:v>16</x:v>
      </x:c>
      <x:c r="P17" s="11"/>
      <x:c r="Q17" s="3" t="str">
        <x:v>c: 66.621826 d, 1311.196 µs. d: 98.055801 d, 1389.134 µs. Inner b not recovered. Independent Keplerian approximation; conditional errors.</x:v>
      </x:c>
      <x:c r="R17" s="3" t="str">
        <x:v>B1257-run01</x:v>
      </x:c>
      <x:c r="S17" s="3" t="str">
        <x:v>Preserve consumed record; new data/scope requires a new ID</x:v>
      </x:c>
      <x:c r="T17" s="3" t="str">
        <x:v>../Project Recherche Data/b1257-benchmark-20260908/refinement01/result.json</x:v>
      </x:c>
      <x:c r="U17" s="3" t="str">
        <x:v>f30a2938425df6edc9984920db38037c798821f31c7073e69ff3da55a66f3854</x:v>
      </x:c>
      <x:c r="V17" s="3" t="str">
        <x:v>8e86c6b55a2461332b72754b7f44392e9e4d0e1f1baf1073199e7dbd061772be</x:v>
      </x:c>
    </x:row>
    <x:row r="18" ht="15" hidden="0" customHeight="1">
      <x:c r="A18" t="str">
        <x:v>mpta-batch02-20260908-J2322+2057-run01</x:v>
      </x:c>
      <x:c r="B18" t="str">
        <x:v>J2322+2057</x:v>
      </x:c>
      <x:c r="C18" t="str">
        <x:v>MPTA 4.5 yr; original circular search</x:v>
      </x:c>
      <x:c r="D18" t="str">
        <x:v>NO_TRIGGER</x:v>
      </x:c>
      <x:c r="E18" s="23" t="n">
        <x:v>147.97864261699087</x:v>
      </x:c>
      <x:c r="F18" t="str">
        <x:v>Strongest eligible grid peak; candidate status is separate</x:v>
      </x:c>
      <x:c r="G18" s="24" t="n">
        <x:v>0.9501791161438708</x:v>
      </x:c>
      <x:c r="H18" s="24" t="n">
        <x:v>6.5802561076668145</x:v>
      </x:c>
      <x:c r="I18" s="24" t="n">
        <x:v>22.696101643559988</x:v>
      </x:c>
      <x:c r="J18" s="25" t="n">
        <x:v>1756</x:v>
      </x:c>
      <x:c r="K18" s="25" t="n">
        <x:v>79</x:v>
      </x:c>
      <x:c r="L18" s="24" t="n">
        <x:v>30</x:v>
      </x:c>
      <x:c r="M18" s="24" t="n">
        <x:v>400</x:v>
      </x:c>
      <x:c r="N18" s="25" t="n">
        <x:v>212</x:v>
      </x:c>
      <x:c r="O18" s="25" t="n">
        <x:v>10</x:v>
      </x:c>
      <x:c r="P18" s="24" t="n">
        <x:v>2.39626040721767</x:v>
      </x:c>
      <x:c r="Q18" t="str">
        <x:v>Fixed published noise and epoch DM. Conditional Gaussian fixed covariance/design; 1.0% union-bound allowance for at most 4 fixed grids. 95% detection probability; circular on-grid signal; fixed published noise; not a posterior upper limit</x:v>
      </x:c>
      <x:c r="R18"/>
      <x:c r="S18" t="str">
        <x:v>Preserve consumed record; new data/scope requires a new ID</x:v>
      </x:c>
      <x:c r="T18" t="str">
        <x:v>../Project Recherche Data/mpta-batch02-20260908/J2322+2057/run01/result.json</x:v>
      </x:c>
      <x:c r="U18" t="str">
        <x:v>9708871d9d64ae5989ffb9affc7b36a2483af29a538ec4878c5f5b4b0773b578</x:v>
      </x:c>
      <x:c r="V18" t="str">
        <x:v>observed=5dc82e7e51d68c0ebb658ed4d39f75c16bc0095fae48a9eecfeb8d7dc0f50b56; calibration=0d7858789753d0aa9bde011f25fcba5ba854e2bbc98828258c85a5b5f9cb9d7f</x:v>
      </x:c>
    </x:row>
    <x:row r="19" ht="15" hidden="0" customHeight="1">
      <x:c r="A19" t="str">
        <x:v>mpta-batch02-20260908-J1801-1417-run01</x:v>
      </x:c>
      <x:c r="B19" t="str">
        <x:v>J1801-1417</x:v>
      </x:c>
      <x:c r="C19" t="str">
        <x:v>MPTA 4.5 yr; original circular search</x:v>
      </x:c>
      <x:c r="D19" t="str">
        <x:v>NO_TRIGGER</x:v>
      </x:c>
      <x:c r="E19" s="23" t="n">
        <x:v>119.01640945659742</x:v>
      </x:c>
      <x:c r="F19" t="str">
        <x:v>Strongest eligible grid peak; candidate status is separate</x:v>
      </x:c>
      <x:c r="G19" s="24" t="n">
        <x:v>0.8840289434471289</x:v>
      </x:c>
      <x:c r="H19" s="24" t="n">
        <x:v>10.14821338776223</x:v>
      </x:c>
      <x:c r="I19" s="24" t="n">
        <x:v>22.960804546529335</x:v>
      </x:c>
      <x:c r="J19" s="25" t="n">
        <x:v>3069</x:v>
      </x:c>
      <x:c r="K19" s="25" t="n">
        <x:v>96</x:v>
      </x:c>
      <x:c r="L19" s="24" t="n">
        <x:v>30</x:v>
      </x:c>
      <x:c r="M19" s="24" t="n">
        <x:v>400</x:v>
      </x:c>
      <x:c r="N19" s="25" t="n">
        <x:v>242</x:v>
      </x:c>
      <x:c r="O19" s="25" t="n">
        <x:v>9</x:v>
      </x:c>
      <x:c r="P19" s="24" t="n">
        <x:v>1.7550180505875863</x:v>
      </x:c>
      <x:c r="Q19" t="str">
        <x:v>Fixed published noise and epoch DM. Conditional Gaussian fixed covariance/design; 1.0% union-bound allowance for at most 4 fixed grids. 95% detection probability; circular on-grid signal; fixed published noise; not a posterior upper limit</x:v>
      </x:c>
      <x:c r="R19"/>
      <x:c r="S19" t="str">
        <x:v>Preserve consumed record; new data/scope requires a new ID</x:v>
      </x:c>
      <x:c r="T19" t="str">
        <x:v>../Project Recherche Data/mpta-batch02-20260908/J1801-1417/run01/result.json</x:v>
      </x:c>
      <x:c r="U19" t="str">
        <x:v>d9f0848e9efd9c345399fbb0849b3fc71ca9fce36586a2d23072d3e6134e0f83</x:v>
      </x:c>
      <x:c r="V19" t="str">
        <x:v>observed=79571daad113fff9c498687bca6e91651fb1d8b5ef8475d17440e2d492111176; calibration=ceb81b33511dcec9e8ff64375c4ccbf97e5685643da0360aee47de63bcd33cf7</x:v>
      </x:c>
    </x:row>
    <x:row r="20" ht="15" hidden="0" customHeight="1">
      <x:c r="A20" t="str">
        <x:v>mpta-batch02-20260908-J1744-1134-run01</x:v>
      </x:c>
      <x:c r="B20" t="str">
        <x:v>J1744-1134</x:v>
      </x:c>
      <x:c r="C20" t="str">
        <x:v>MPTA 4.5 yr; original circular search</x:v>
      </x:c>
      <x:c r="D20" t="str">
        <x:v>NO_TRIGGER</x:v>
      </x:c>
      <x:c r="E20" s="23" t="n">
        <x:v>167.66245160356397</x:v>
      </x:c>
      <x:c r="F20" t="str">
        <x:v>Strongest eligible grid peak; candidate status is separate</x:v>
      </x:c>
      <x:c r="G20" s="24" t="n">
        <x:v>0.23669804085264223</x:v>
      </x:c>
      <x:c r="H20" s="24" t="n">
        <x:v>12.527061987358843</x:v>
      </x:c>
      <x:c r="I20" s="24" t="n">
        <x:v>22.960804546529335</x:v>
      </x:c>
      <x:c r="J20" s="25" t="n">
        <x:v>2957</x:v>
      </x:c>
      <x:c r="K20" s="25" t="n">
        <x:v>99</x:v>
      </x:c>
      <x:c r="L20" s="24" t="n">
        <x:v>30</x:v>
      </x:c>
      <x:c r="M20" s="24" t="n">
        <x:v>400</x:v>
      </x:c>
      <x:c r="N20" s="25" t="n">
        <x:v>242</x:v>
      </x:c>
      <x:c r="O20" s="25" t="n">
        <x:v>9</x:v>
      </x:c>
      <x:c r="P20" s="24" t="n">
        <x:v>0.40128376007208494</x:v>
      </x:c>
      <x:c r="Q20" t="str">
        <x:v>Fixed published noise and epoch DM. Conditional Gaussian fixed covariance/design; 1.0% union-bound allowance for at most 4 fixed grids. 95% detection probability; circular on-grid signal; fixed published noise; not a posterior upper limit</x:v>
      </x:c>
      <x:c r="R20"/>
      <x:c r="S20" t="str">
        <x:v>Preserve consumed record; new data/scope requires a new ID</x:v>
      </x:c>
      <x:c r="T20" t="str">
        <x:v>../Project Recherche Data/mpta-batch02-20260908/J1744-1134/run01/result.json</x:v>
      </x:c>
      <x:c r="U20" t="str">
        <x:v>7fc60f8115d6fbcf8b1e7e99d7f2ad5e36a1abc478285f36a5aa9f8546f10a9b</x:v>
      </x:c>
      <x:c r="V20" t="str">
        <x:v>observed=8353b1b8b7c53516d0ba844cb61373358c82dfb4119b24657e942df50e3dfa0b; calibration=e89a183a31f674f828fbe098397d2facc6acd2b3fdc12d5ccc14e46f924834a8</x:v>
      </x:c>
    </x:row>
    <x:row r="21" ht="15" hidden="0" customHeight="1">
      <x:c r="A21" t="str">
        <x:v>mpta-batch02-20260908-J0030+0451-run01</x:v>
      </x:c>
      <x:c r="B21" t="str">
        <x:v>J0030+0451</x:v>
      </x:c>
      <x:c r="C21" t="str">
        <x:v>MPTA 4.5 yr; original circular search</x:v>
      </x:c>
      <x:c r="D21" t="str">
        <x:v>NO_TRIGGER</x:v>
      </x:c>
      <x:c r="E21" s="23" t="n">
        <x:v>94.5624519162628</x:v>
      </x:c>
      <x:c r="F21" t="str">
        <x:v>Strongest eligible grid peak; candidate status is separate</x:v>
      </x:c>
      <x:c r="G21" s="24" t="n">
        <x:v>1.100232473569244</x:v>
      </x:c>
      <x:c r="H21" s="24" t="n">
        <x:v>13.714674323394055</x:v>
      </x:c>
      <x:c r="I21" s="24" t="n">
        <x:v>22.696101643559988</x:v>
      </x:c>
      <x:c r="J21" s="25" t="n">
        <x:v>2880</x:v>
      </x:c>
      <x:c r="K21" s="25" t="n">
        <x:v>93</x:v>
      </x:c>
      <x:c r="L21" s="24" t="n">
        <x:v>30</x:v>
      </x:c>
      <x:c r="M21" s="24" t="n">
        <x:v>400</x:v>
      </x:c>
      <x:c r="N21" s="25" t="n">
        <x:v>212</x:v>
      </x:c>
      <x:c r="O21" s="25" t="n">
        <x:v>8</x:v>
      </x:c>
      <x:c r="P21" s="24" t="n">
        <x:v>1.9686696022948922</x:v>
      </x:c>
      <x:c r="Q21" t="str">
        <x:v>Fixed published noise and epoch DM. Conditional Gaussian fixed covariance/design; 1.0% union-bound allowance for at most 4 fixed grids. 95% detection probability; circular on-grid signal; fixed published noise; not a posterior upper limit</x:v>
      </x:c>
      <x:c r="R21"/>
      <x:c r="S21" t="str">
        <x:v>Preserve consumed record; new data/scope requires a new ID</x:v>
      </x:c>
      <x:c r="T21" t="str">
        <x:v>../Project Recherche Data/mpta-batch02-20260908/J0030+0451/run01/result.json</x:v>
      </x:c>
      <x:c r="U21" t="str">
        <x:v>d6b5b9ff59c53c44844569104613f6c5a70009c27a7db57dce1c50f2562f11af</x:v>
      </x:c>
      <x:c r="V21" t="str">
        <x:v>observed=5820c15d92bb9a35787a96dcc78c3784d2971d9bb7172b3b49a04eb33d2950f8; calibration=2f507511988b7ada9022ea99dfb07c2f21efa09763e0f1d71ebf29a6207e2c4b</x:v>
      </x:c>
    </x:row>
    <x:row r="22" ht="15" hidden="0" customHeight="1">
      <x:c r="A22" t="str">
        <x:v>chromatic-support-20260908-J1721-2457-run01</x:v>
      </x:c>
      <x:c r="B22" t="str">
        <x:v>J1721-2457</x:v>
      </x:c>
      <x:c r="C22" t="str">
        <x:v>MPTA 4.5 yr; original circular search</x:v>
      </x:c>
      <x:c r="D22" t="str">
        <x:v>NO_TRIGGER</x:v>
      </x:c>
      <x:c r="E22" s="23" t="n">
        <x:v>52.886886659067024</x:v>
      </x:c>
      <x:c r="F22" t="str">
        <x:v>Strongest eligible grid peak; candidate status is separate</x:v>
      </x:c>
      <x:c r="G22" s="24" t="n">
        <x:v>2.0688058058192493</x:v>
      </x:c>
      <x:c r="H22" s="24" t="n">
        <x:v>17.443304344266643</x:v>
      </x:c>
      <x:c r="I22" s="24" t="n">
        <x:v>22.455813019875862</x:v>
      </x:c>
      <x:c r="J22" s="25" t="n">
        <x:v>2112</x:v>
      </x:c>
      <x:c r="K22" s="25" t="n">
        <x:v>66</x:v>
      </x:c>
      <x:c r="L22" s="24" t="n">
        <x:v>30</x:v>
      </x:c>
      <x:c r="M22" s="24" t="n">
        <x:v>400</x:v>
      </x:c>
      <x:c r="N22" s="25" t="n">
        <x:v>188</x:v>
      </x:c>
      <x:c r="O22" s="25" t="n">
        <x:v>7</x:v>
      </x:c>
      <x:c r="P22" s="24" t="n">
        <x:v>3.1549219268248274</x:v>
      </x:c>
      <x:c r="Q22" t="str">
        <x:v>Fixed published noise, epoch DM and chromatic support. Conditional Gaussian fixed covariance/design; 1.0% union-bound allowance for at most 4 fixed grids. 95% detection probability; circular on-grid signal; fixed published noise; not a posterior upper limit</x:v>
      </x:c>
      <x:c r="R22"/>
      <x:c r="S22" t="str">
        <x:v>Preserve consumed record; new data/scope requires a new ID</x:v>
      </x:c>
      <x:c r="T22" t="str">
        <x:v>../Project Recherche Data/chromatic-support-20260908/J1721-2457/run01/result.json</x:v>
      </x:c>
      <x:c r="U22" t="str">
        <x:v>454473481f37b94936d31313b20616722c557db21716d47079c2ea25ea168813</x:v>
      </x:c>
      <x:c r="V22" t="str">
        <x:v>observed=ce36952511808b35c870b8057dc0ee4e305985b34c812135765ff4cdbe0e0a66; calibration=1143f3165e16e321f99f74ff9528073d4b336df3e01dea3ed78628619a98c88b</x:v>
      </x:c>
    </x:row>
    <x:row r="23" ht="15" hidden="0" customHeight="1">
      <x:c r="A23" t="str">
        <x:v>chromatic-support-20260908-J1832-0836-run01</x:v>
      </x:c>
      <x:c r="B23" t="str">
        <x:v>J1832-0836</x:v>
      </x:c>
      <x:c r="C23" t="str">
        <x:v>MPTA 4.5 yr; original circular search</x:v>
      </x:c>
      <x:c r="D23" t="str">
        <x:v>NO_TRIGGER</x:v>
      </x:c>
      <x:c r="E23" s="23" t="n">
        <x:v>131.3711197625584</x:v>
      </x:c>
      <x:c r="F23" t="str">
        <x:v>Strongest eligible grid peak; candidate status is separate</x:v>
      </x:c>
      <x:c r="G23" s="24" t="n">
        <x:v>0.34107805883390835</x:v>
      </x:c>
      <x:c r="H23" s="24" t="n">
        <x:v>6.436816181532527</x:v>
      </x:c>
      <x:c r="I23" s="24" t="n">
        <x:v>22.96905198089706</x:v>
      </x:c>
      <x:c r="J23" s="25" t="n">
        <x:v>1949</x:v>
      </x:c>
      <x:c r="K23" s="25" t="n">
        <x:v>76</x:v>
      </x:c>
      <x:c r="L23" s="24" t="n">
        <x:v>30</x:v>
      </x:c>
      <x:c r="M23" s="24" t="n">
        <x:v>400</x:v>
      </x:c>
      <x:c r="N23" s="25" t="n">
        <x:v>243</x:v>
      </x:c>
      <x:c r="O23" s="25" t="n">
        <x:v>11</x:v>
      </x:c>
      <x:c r="P23" s="24" t="n">
        <x:v>0.9183331225305384</x:v>
      </x:c>
      <x:c r="Q23" t="str">
        <x:v>Fixed published noise, epoch DM and chromatic support. Conditional Gaussian fixed covariance/design; 1.0% union-bound allowance for at most 4 fixed grids. 95% detection probability; circular on-grid signal; fixed published noise; not a posterior upper limit</x:v>
      </x:c>
      <x:c r="R23"/>
      <x:c r="S23" t="str">
        <x:v>Preserve consumed record; new data/scope requires a new ID</x:v>
      </x:c>
      <x:c r="T23" t="str">
        <x:v>../Project Recherche Data/chromatic-support-20260908/J1832-0836/run01/result.json</x:v>
      </x:c>
      <x:c r="U23" t="str">
        <x:v>5240d02fb1dc06b67d14e0b74b35108e2c8c85330544605bbad8805b5ffc9755</x:v>
      </x:c>
      <x:c r="V23" t="str">
        <x:v>observed=91ed944947bd72d0a0c6414144951f39c722152e53aa682b6baf5c13ce67f018; calibration=b8898e7567f16374127bcf42fe4a17d32eb04d009d14c5c100316530b2e27925</x:v>
      </x:c>
    </x:row>
    <x:row r="24" ht="15" hidden="0" customHeight="1">
      <x:c r="A24" t="str">
        <x:v>chromatic-support-20260908-J1747-4036-run01</x:v>
      </x:c>
      <x:c r="B24" t="str">
        <x:v>J1747-4036</x:v>
      </x:c>
      <x:c r="C24" t="str">
        <x:v>MPTA 4.5 yr; original circular search</x:v>
      </x:c>
      <x:c r="D24" t="str">
        <x:v>NO_TRIGGER</x:v>
      </x:c>
      <x:c r="E24" s="23" t="n">
        <x:v>124.90156907024125</x:v>
      </x:c>
      <x:c r="F24" t="str">
        <x:v>Strongest eligible grid peak; candidate status is separate</x:v>
      </x:c>
      <x:c r="G24" s="24" t="n">
        <x:v>1.1451044856787234</x:v>
      </x:c>
      <x:c r="H24" s="24" t="n">
        <x:v>18.86730448219704</x:v>
      </x:c>
      <x:c r="I24" s="24" t="n">
        <x:v>22.86776451525955</x:v>
      </x:c>
      <x:c r="J24" s="25" t="n">
        <x:v>3098</x:v>
      </x:c>
      <x:c r="K24" s="25" t="n">
        <x:v>97</x:v>
      </x:c>
      <x:c r="L24" s="24" t="n">
        <x:v>30</x:v>
      </x:c>
      <x:c r="M24" s="24" t="n">
        <x:v>400</x:v>
      </x:c>
      <x:c r="N24" s="25" t="n">
        <x:v>231</x:v>
      </x:c>
      <x:c r="O24" s="25" t="n">
        <x:v>6</x:v>
      </x:c>
      <x:c r="P24" s="24" t="n">
        <x:v>1.5688837153355084</x:v>
      </x:c>
      <x:c r="Q24" t="str">
        <x:v>Fixed published noise, epoch DM and chromatic support. Conditional Gaussian fixed covariance/design; 1.0% union-bound allowance for at most 4 fixed grids. 95% detection probability; circular on-grid signal; fixed published noise; not a posterior upper limit</x:v>
      </x:c>
      <x:c r="R24"/>
      <x:c r="S24" t="str">
        <x:v>Preserve consumed record; new data/scope requires a new ID</x:v>
      </x:c>
      <x:c r="T24" t="str">
        <x:v>../Project Recherche Data/chromatic-support-20260908/J1747-4036/run01/result.json</x:v>
      </x:c>
      <x:c r="U24" t="str">
        <x:v>55e18d498951f5769aa195a7c4b93d07eb9c395b8e7982587464223e4a1d6a3f</x:v>
      </x:c>
      <x:c r="V24" t="str">
        <x:v>observed=0e936d55f1943b2b73a2bfec47f332ec4e6aa5b3974726229dc5220ddfd96507; calibration=4bb96ffc47cada4a1e92d11735cfc604e107337d34b1d7c76084619d3009a8e3</x:v>
      </x:c>
    </x:row>
    <x:row r="25" ht="15" hidden="0" customHeight="1">
      <x:c r="A25" t="str">
        <x:v>chromatic-support-20260908-J1804-2858-run01</x:v>
      </x:c>
      <x:c r="B25" t="str">
        <x:v>J1804-2858</x:v>
      </x:c>
      <x:c r="C25" t="str">
        <x:v>MPTA 4.5 yr; original circular search</x:v>
      </x:c>
      <x:c r="D25" t="str">
        <x:v>NO_TRIGGER</x:v>
      </x:c>
      <x:c r="E25" s="23" t="n">
        <x:v>160.47110971458378</x:v>
      </x:c>
      <x:c r="F25" t="str">
        <x:v>Strongest eligible grid peak; candidate status is separate</x:v>
      </x:c>
      <x:c r="G25" s="24" t="n">
        <x:v>5.733742214113994</x:v>
      </x:c>
      <x:c r="H25" s="24" t="n">
        <x:v>19.938810928019688</x:v>
      </x:c>
      <x:c r="I25" s="24" t="n">
        <x:v>22.815129898624804</x:v>
      </x:c>
      <x:c r="J25" s="25" t="n">
        <x:v>2167</x:v>
      </x:c>
      <x:c r="K25" s="25" t="n">
        <x:v>68</x:v>
      </x:c>
      <x:c r="L25" s="24" t="n">
        <x:v>30</x:v>
      </x:c>
      <x:c r="M25" s="24" t="n">
        <x:v>400</x:v>
      </x:c>
      <x:c r="N25" s="25" t="n">
        <x:v>225</x:v>
      </x:c>
      <x:c r="O25" s="25" t="n">
        <x:v>7</x:v>
      </x:c>
      <x:c r="P25" s="24" t="n">
        <x:v>4.878278251033581</x:v>
      </x:c>
      <x:c r="Q25" t="str">
        <x:v>Fixed published noise, epoch DM and chromatic support. Conditional Gaussian fixed covariance/design; 1.0% union-bound allowance for at most 4 fixed grids. 95% detection probability; circular on-grid signal; fixed published noise; not a posterior upper limit</x:v>
      </x:c>
      <x:c r="R25"/>
      <x:c r="S25" t="str">
        <x:v>Preserve consumed record; new data/scope requires a new ID</x:v>
      </x:c>
      <x:c r="T25" t="str">
        <x:v>../Project Recherche Data/chromatic-support-20260908/J1804-2858/run01/result.json</x:v>
      </x:c>
      <x:c r="U25" t="str">
        <x:v>b65c8a51b12514259ea30a3070457a8531e601f6744735e1bce9071413fb6ca8</x:v>
      </x:c>
      <x:c r="V25" t="str">
        <x:v>observed=a78e723b0888ddd0092373b2b8a5f92b519a75220fb47ba35bf47377ba429e44; calibration=24895705923b02829c81e6767c7401e51ffb6cec4c18e3f6e470bb97a7411392</x:v>
      </x:c>
    </x:row>
    <x:row r="26" ht="15" hidden="0" customHeight="1">
      <x:c r="A26" t="str">
        <x:v>tpa-batch01-20260908-J1709-4429-run01</x:v>
      </x:c>
      <x:c r="B26" t="str">
        <x:v>J1709-4429</x:v>
      </x:c>
      <x:c r="C26" t="str">
        <x:v>TPA DR1; original circular search</x:v>
      </x:c>
      <x:c r="D26" t="str">
        <x:v>NO_TRIGGER</x:v>
      </x:c>
      <x:c r="E26" s="23" t="n">
        <x:v>73.29879842753766</x:v>
      </x:c>
      <x:c r="F26" t="str">
        <x:v>Strongest eligible grid peak; candidate status is separate</x:v>
      </x:c>
      <x:c r="G26" s="24" t="n">
        <x:v>10.376083444852757</x:v>
      </x:c>
      <x:c r="H26" s="24" t="n">
        <x:v>10.096421598472377</x:v>
      </x:c>
      <x:c r="I26" s="24" t="n">
        <x:v>23.31405161788797</x:v>
      </x:c>
      <x:c r="J26" s="25" t="n">
        <x:v>1095</x:v>
      </x:c>
      <x:c r="K26" s="25" t="n">
        <x:v>137</x:v>
      </x:c>
      <x:c r="L26" s="24" t="n">
        <x:v>30</x:v>
      </x:c>
      <x:c r="M26" s="24" t="n">
        <x:v>400</x:v>
      </x:c>
      <x:c r="N26" s="25" t="n">
        <x:v>231</x:v>
      </x:c>
      <x:c r="O26" s="25" t="n">
        <x:v>8</x:v>
      </x:c>
      <x:c r="P26" s="24" t="n">
        <x:v>22.201889874919647</x:v>
      </x:c>
      <x:c r="Q26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26"/>
      <x:c r="S26" t="str">
        <x:v>Preserve consumed record; new data/scope requires a new ID</x:v>
      </x:c>
      <x:c r="T26" t="str">
        <x:v>../Project Recherche Data/tpa-batch01-20260908/J1709-4429/run01/result.json</x:v>
      </x:c>
      <x:c r="U26" t="str">
        <x:v>dd1d45a916e5b5c4bf3a365ac7b52fc3dfb936a8d8ffd72a6519d417772dc8d3</x:v>
      </x:c>
      <x:c r="V26" t="str">
        <x:v>observed=824da0261837e4b3d267c81b92b3323a510dfe9d6ed902e5e36e048224f6125b; calibration=a112ed3d3ab1aaad678cc50367b0eb0ba1c60485cfdac72209651fbf7d238968</x:v>
      </x:c>
    </x:row>
    <x:row r="27" ht="15" hidden="0" customHeight="1">
      <x:c r="A27" t="str">
        <x:v>tpa-batch01-20260908-J1410-7404-run01</x:v>
      </x:c>
      <x:c r="B27" t="str">
        <x:v>J1410-7404</x:v>
      </x:c>
      <x:c r="C27" t="str">
        <x:v>TPA DR1; original circular search</x:v>
      </x:c>
      <x:c r="D27" t="str">
        <x:v>NO_TRIGGER</x:v>
      </x:c>
      <x:c r="E27" s="23" t="n">
        <x:v>30.416691602713875</x:v>
      </x:c>
      <x:c r="F27" t="str">
        <x:v>Strongest eligible grid peak; candidate status is separate</x:v>
      </x:c>
      <x:c r="G27" s="24" t="n">
        <x:v>19.359502127001935</x:v>
      </x:c>
      <x:c r="H27" s="24" t="n">
        <x:v>15.986035533878397</x:v>
      </x:c>
      <x:c r="I27" s="24" t="n">
        <x:v>23.025850929940457</x:v>
      </x:c>
      <x:c r="J27" s="25" t="n">
        <x:v>420</x:v>
      </x:c>
      <x:c r="K27" s="25" t="n">
        <x:v>53</x:v>
      </x:c>
      <x:c r="L27" s="24" t="n">
        <x:v>30</x:v>
      </x:c>
      <x:c r="M27" s="24" t="n">
        <x:v>400</x:v>
      </x:c>
      <x:c r="N27" s="25" t="n">
        <x:v>200</x:v>
      </x:c>
      <x:c r="O27" s="25" t="n">
        <x:v>4</x:v>
      </x:c>
      <x:c r="P27" s="24" t="n">
        <x:v>29.357395191373</x:v>
      </x:c>
      <x:c r="Q27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27"/>
      <x:c r="S27" t="str">
        <x:v>Preserve consumed record; new data/scope requires a new ID</x:v>
      </x:c>
      <x:c r="T27" t="str">
        <x:v>../Project Recherche Data/tpa-batch01-20260908/J1410-7404/run01/result.json</x:v>
      </x:c>
      <x:c r="U27" t="str">
        <x:v>b9037d5df7cb6a501d9b4b00afeff8695df204619cf6369dbdbd7b6545c10363</x:v>
      </x:c>
      <x:c r="V27" t="str">
        <x:v>observed=bafcb72696d62d9a0a115f75b28bc2c4e932706a9b3f9a712052752f1fdf9ad9; calibration=df435ec213965c736822dd25000649eefec4e0628487a03b48acd1689cc63daa</x:v>
      </x:c>
    </x:row>
    <x:row r="28" ht="15" hidden="0" customHeight="1">
      <x:c r="A28" t="str">
        <x:v>tpa-batch01-20260908-J1359-6038-run01</x:v>
      </x:c>
      <x:c r="B28" t="str">
        <x:v>J1359-6038</x:v>
      </x:c>
      <x:c r="C28" t="str">
        <x:v>TPA DR1; original circular search</x:v>
      </x:c>
      <x:c r="D28" t="str">
        <x:v>NO_TRIGGER</x:v>
      </x:c>
      <x:c r="E28" s="23" t="n">
        <x:v>165.6278749429995</x:v>
      </x:c>
      <x:c r="F28" t="str">
        <x:v>Strongest eligible grid peak; candidate status is separate</x:v>
      </x:c>
      <x:c r="G28" s="24" t="n">
        <x:v>53.249860205577406</x:v>
      </x:c>
      <x:c r="H28" s="24" t="n">
        <x:v>6.647849983738535</x:v>
      </x:c>
      <x:c r="I28" s="24" t="n">
        <x:v>23.287907454753267</x:v>
      </x:c>
      <x:c r="J28" s="25" t="n">
        <x:v>432</x:v>
      </x:c>
      <x:c r="K28" s="25" t="n">
        <x:v>54</x:v>
      </x:c>
      <x:c r="L28" s="24" t="n">
        <x:v>30</x:v>
      </x:c>
      <x:c r="M28" s="24" t="n">
        <x:v>400</x:v>
      </x:c>
      <x:c r="N28" s="25" t="n">
        <x:v>228</x:v>
      </x:c>
      <x:c r="O28" s="25" t="n">
        <x:v>19</x:v>
      </x:c>
      <x:c r="P28" s="24" t="n">
        <x:v>28.94483002332965</x:v>
      </x:c>
      <x:c r="Q28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28"/>
      <x:c r="S28" t="str">
        <x:v>Preserve consumed record; new data/scope requires a new ID</x:v>
      </x:c>
      <x:c r="T28" t="str">
        <x:v>../Project Recherche Data/tpa-batch01-20260908/J1359-6038/run01/result.json</x:v>
      </x:c>
      <x:c r="U28" t="str">
        <x:v>e12b34b1987b2472ff463415e10ad024e849235a50642c2ffa35f2265ec1fb25</x:v>
      </x:c>
      <x:c r="V28" t="str">
        <x:v>observed=bd9a9c203ff4b293be957cc6df1f05377fb0d3e50b6a1f402563cd96604d965c; calibration=40c56930bf0e4afaf524c49c174ac95af5aae7c68521ea626708c563bafadb0e</x:v>
      </x:c>
    </x:row>
    <x:row r="29" ht="15" hidden="0" customHeight="1">
      <x:c r="A29" t="str">
        <x:v>tpa-batch01-20260908-J1057-5226-run01</x:v>
      </x:c>
      <x:c r="B29" t="str">
        <x:v>J1057-5226</x:v>
      </x:c>
      <x:c r="C29" t="str">
        <x:v>TPA DR1; original circular search</x:v>
      </x:c>
      <x:c r="D29" t="str">
        <x:v>NO_TRIGGER</x:v>
      </x:c>
      <x:c r="E29" s="23" t="n">
        <x:v>30.833321172800424</x:v>
      </x:c>
      <x:c r="F29" t="str">
        <x:v>Strongest eligible grid peak; candidate status is separate</x:v>
      </x:c>
      <x:c r="G29" s="24" t="n">
        <x:v>22.23930976954683</x:v>
      </x:c>
      <x:c r="H29" s="24" t="n">
        <x:v>11.360908948126406</x:v>
      </x:c>
      <x:c r="I29" s="24" t="n">
        <x:v>23.287907454753267</x:v>
      </x:c>
      <x:c r="J29" s="25" t="n">
        <x:v>464</x:v>
      </x:c>
      <x:c r="K29" s="25" t="n">
        <x:v>58</x:v>
      </x:c>
      <x:c r="L29" s="24" t="n">
        <x:v>30</x:v>
      </x:c>
      <x:c r="M29" s="24" t="n">
        <x:v>400</x:v>
      </x:c>
      <x:c r="N29" s="25" t="n">
        <x:v>228</x:v>
      </x:c>
      <x:c r="O29" s="25" t="n">
        <x:v>10</x:v>
      </x:c>
      <x:c r="P29" s="24" t="n">
        <x:v>47.39322703409539</x:v>
      </x:c>
      <x:c r="Q29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29"/>
      <x:c r="S29" t="str">
        <x:v>Preserve consumed record; new data/scope requires a new ID</x:v>
      </x:c>
      <x:c r="T29" t="str">
        <x:v>../Project Recherche Data/tpa-batch01-20260908/J1057-5226/run01/result.json</x:v>
      </x:c>
      <x:c r="U29" t="str">
        <x:v>75a09be491dbe1474699cd30e7ed3c2fc1c33f3e5ac2154dda99580e1ac8f50a</x:v>
      </x:c>
      <x:c r="V29" t="str">
        <x:v>observed=368d4b47a209f7e17275db4af4e19bef13ee8c05a41e9a3bb64ade22aa6239ee; calibration=be4d5ca71a41c909779cb79f2268ba29d209cab271e1e5ddf620176853376a72</x:v>
      </x:c>
    </x:row>
    <x:row r="30" ht="15" hidden="0" customHeight="1">
      <x:c r="A30" t="str">
        <x:v>tpa-batch01-20260908-J1829-1751-run01</x:v>
      </x:c>
      <x:c r="B30" t="str">
        <x:v>J1829-1751</x:v>
      </x:c>
      <x:c r="C30" t="str">
        <x:v>TPA DR1; original circular search</x:v>
      </x:c>
      <x:c r="D30" t="str">
        <x:v>NO_TRIGGER</x:v>
      </x:c>
      <x:c r="E30" s="23" t="n">
        <x:v>76.2606096620182</x:v>
      </x:c>
      <x:c r="F30" t="str">
        <x:v>Strongest eligible grid peak; candidate status is separate</x:v>
      </x:c>
      <x:c r="G30" s="24" t="n">
        <x:v>18.403228200088616</x:v>
      </x:c>
      <x:c r="H30" s="24" t="n">
        <x:v>9.9676182352902</x:v>
      </x:c>
      <x:c r="I30" s="24" t="n">
        <x:v>23.31405161788797</x:v>
      </x:c>
      <x:c r="J30" s="25" t="n">
        <x:v>400</x:v>
      </x:c>
      <x:c r="K30" s="25" t="n">
        <x:v>50</x:v>
      </x:c>
      <x:c r="L30" s="24" t="n">
        <x:v>30</x:v>
      </x:c>
      <x:c r="M30" s="24" t="n">
        <x:v>400</x:v>
      </x:c>
      <x:c r="N30" s="25" t="n">
        <x:v>231</x:v>
      </x:c>
      <x:c r="O30" s="25" t="n">
        <x:v>20</x:v>
      </x:c>
      <x:c r="P30" s="24" t="n">
        <x:v>49.70546710261213</x:v>
      </x:c>
      <x:c r="Q30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0"/>
      <x:c r="S30" t="str">
        <x:v>Preserve consumed record; new data/scope requires a new ID</x:v>
      </x:c>
      <x:c r="T30" t="str">
        <x:v>../Project Recherche Data/tpa-batch01-20260908/J1829-1751/run01/result.json</x:v>
      </x:c>
      <x:c r="U30" t="str">
        <x:v>76bd5ff7af0a68b3044f58a0c4e9159559df53d9b7dd45aedf904bbc6f23ddc6</x:v>
      </x:c>
      <x:c r="V30" t="str">
        <x:v>observed=449d34087d15402b019784305c5135d5a91acb6507eed39f05d52a68ef8245a8; calibration=7e29bd5f33fba1bbbcccca4fba793718b8639d9be3d26f1beb17476a5ececac9</x:v>
      </x:c>
    </x:row>
    <x:row r="31" ht="15" hidden="0" customHeight="1">
      <x:c r="A31" t="str">
        <x:v>tpa-batch02-20260908-J1645-0317-run01</x:v>
      </x:c>
      <x:c r="B31" t="str">
        <x:v>J1645-0317</x:v>
      </x:c>
      <x:c r="C31" t="str">
        <x:v>TPA DR1; original circular search</x:v>
      </x:c>
      <x:c r="D31" t="str">
        <x:v>NO_TRIGGER</x:v>
      </x:c>
      <x:c r="E31" s="23" t="n">
        <x:v>58.94792050592177</x:v>
      </x:c>
      <x:c r="F31" t="str">
        <x:v>Strongest eligible grid peak; candidate status is separate</x:v>
      </x:c>
      <x:c r="G31" s="24" t="n">
        <x:v>34.46999519927063</x:v>
      </x:c>
      <x:c r="H31" s="24" t="n">
        <x:v>11.191772126345017</x:v>
      </x:c>
      <x:c r="I31" s="24" t="n">
        <x:v>22.975215313971876</x:v>
      </x:c>
      <x:c r="J31" s="25" t="n">
        <x:v>408</x:v>
      </x:c>
      <x:c r="K31" s="25" t="n">
        <x:v>51</x:v>
      </x:c>
      <x:c r="L31" s="24" t="n">
        <x:v>30</x:v>
      </x:c>
      <x:c r="M31" s="24" t="n">
        <x:v>400</x:v>
      </x:c>
      <x:c r="N31" s="25" t="n">
        <x:v>195</x:v>
      </x:c>
      <x:c r="O31" s="25" t="n">
        <x:v>6</x:v>
      </x:c>
      <x:c r="P31" s="24" t="n">
        <x:v>70.3331172500256</x:v>
      </x:c>
      <x:c r="Q31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1"/>
      <x:c r="S31" t="str">
        <x:v>Preserve consumed record; new data/scope requires a new ID</x:v>
      </x:c>
      <x:c r="T31" t="str">
        <x:v>../Project Recherche Data/tpa-batch02-20260908/J1645-0317/run01/result.json</x:v>
      </x:c>
      <x:c r="U31" t="str">
        <x:v>e1fb1ea8c68d62c6c0ad86dd105600c9be98c9671b9c3d61473addad5f72db6c</x:v>
      </x:c>
      <x:c r="V31" t="str">
        <x:v>observed=cb63d794a9003468bde1ea7709f66636c59f7ece907019b943edc0a5038b895a; calibration=bbb0303f0c9b5d3d1b0c153f21a30ce602c55249ad5a4a8f5f291ed129c5343d</x:v>
      </x:c>
    </x:row>
    <x:row r="32" ht="15" hidden="0" customHeight="1">
      <x:c r="A32" t="str">
        <x:v>tpa-batch02-20260908-J1013-5934-run01</x:v>
      </x:c>
      <x:c r="B32" t="str">
        <x:v>J1013-5934</x:v>
      </x:c>
      <x:c r="C32" t="str">
        <x:v>TPA DR1; original circular search</x:v>
      </x:c>
      <x:c r="D32" t="str">
        <x:v>NO_TRIGGER</x:v>
      </x:c>
      <x:c r="E32" s="23" t="n">
        <x:v>85.89734464992983</x:v>
      </x:c>
      <x:c r="F32" t="str">
        <x:v>Strongest eligible grid peak; candidate status is separate</x:v>
      </x:c>
      <x:c r="G32" s="24" t="n">
        <x:v>42.79985341209721</x:v>
      </x:c>
      <x:c r="H32" s="24" t="n">
        <x:v>17.775539738717278</x:v>
      </x:c>
      <x:c r="I32" s="24" t="n">
        <x:v>23.025850929940457</x:v>
      </x:c>
      <x:c r="J32" s="25" t="n">
        <x:v>423</x:v>
      </x:c>
      <x:c r="K32" s="25" t="n">
        <x:v>53</x:v>
      </x:c>
      <x:c r="L32" s="24" t="n">
        <x:v>30</x:v>
      </x:c>
      <x:c r="M32" s="24" t="n">
        <x:v>400</x:v>
      </x:c>
      <x:c r="N32" s="25" t="n">
        <x:v>200</x:v>
      </x:c>
      <x:c r="O32" s="25" t="n">
        <x:v>4</x:v>
      </x:c>
      <x:c r="P32" s="24" t="n">
        <x:v>67.49119163189494</x:v>
      </x:c>
      <x:c r="Q32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2"/>
      <x:c r="S32" t="str">
        <x:v>Preserve consumed record; new data/scope requires a new ID</x:v>
      </x:c>
      <x:c r="T32" t="str">
        <x:v>../Project Recherche Data/tpa-batch02-20260908/J1013-5934/run01/result.json</x:v>
      </x:c>
      <x:c r="U32" t="str">
        <x:v>2b64f3d9de8abe8ed7b88a4a0ae18b3dc9d4e5da1f4f41921b055ff9f4fe015f</x:v>
      </x:c>
      <x:c r="V32" t="str">
        <x:v>observed=9e1b41861115112552e021aa781ca0dc4030878a7cb6e9c6e27f21156aadd1e4; calibration=4267d84ef592680be2072b722ce14f7aca937d94c3439c85d8898920553fbda9</x:v>
      </x:c>
    </x:row>
    <x:row r="33" ht="15" hidden="0" customHeight="1">
      <x:c r="A33" t="str">
        <x:v>tpa-batch02-20260908-J1609-4616-run01</x:v>
      </x:c>
      <x:c r="B33" t="str">
        <x:v>J1609-4616</x:v>
      </x:c>
      <x:c r="C33" t="str">
        <x:v>TPA DR1; original circular search</x:v>
      </x:c>
      <x:c r="D33" t="str">
        <x:v>NO_TRIGGER</x:v>
      </x:c>
      <x:c r="E33" s="23" t="n">
        <x:v>59.7268296682738</x:v>
      </x:c>
      <x:c r="F33" t="str">
        <x:v>Strongest eligible grid peak; candidate status is separate</x:v>
      </x:c>
      <x:c r="G33" s="24" t="n">
        <x:v>32.91540156324951</x:v>
      </x:c>
      <x:c r="H33" s="24" t="n">
        <x:v>9.055532617183891</x:v>
      </x:c>
      <x:c r="I33" s="24" t="n">
        <x:v>23.179773012212713</x:v>
      </x:c>
      <x:c r="J33" s="25" t="n">
        <x:v>440</x:v>
      </x:c>
      <x:c r="K33" s="25" t="n">
        <x:v>55</x:v>
      </x:c>
      <x:c r="L33" s="24" t="n">
        <x:v>30</x:v>
      </x:c>
      <x:c r="M33" s="24" t="n">
        <x:v>400</x:v>
      </x:c>
      <x:c r="N33" s="25" t="n">
        <x:v>216</x:v>
      </x:c>
      <x:c r="O33" s="25" t="n">
        <x:v>3</x:v>
      </x:c>
      <x:c r="P33" s="24" t="n">
        <x:v>63.75517138687827</x:v>
      </x:c>
      <x:c r="Q33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3"/>
      <x:c r="S33" t="str">
        <x:v>Preserve consumed record; new data/scope requires a new ID</x:v>
      </x:c>
      <x:c r="T33" t="str">
        <x:v>../Project Recherche Data/tpa-batch02-20260908/J1609-4616/run01/result.json</x:v>
      </x:c>
      <x:c r="U33" t="str">
        <x:v>f5270d917e1e82f3cd80436893b42b1cb21b195578bf29dddc1a4162fc5be46c</x:v>
      </x:c>
      <x:c r="V33" t="str">
        <x:v>observed=9ad597aa0f72b885139a362133046b316754ce31693f1e8d1fe4c03e914b61df; calibration=e30ff753e14c5e055cc5877ab4de0e8c85b932ad03e944a1e68e8a3e4850a16b</x:v>
      </x:c>
    </x:row>
    <x:row r="34" ht="15" hidden="0" customHeight="1">
      <x:c r="A34" t="str">
        <x:v>tpa-batch02-20260908-J1600-5044-run01</x:v>
      </x:c>
      <x:c r="B34" t="str">
        <x:v>J1600-5044</x:v>
      </x:c>
      <x:c r="C34" t="str">
        <x:v>TPA DR1; original circular search</x:v>
      </x:c>
      <x:c r="D34" t="str">
        <x:v>NO_TRIGGER</x:v>
      </x:c>
      <x:c r="E34" s="23" t="n">
        <x:v>40.938486121994856</x:v>
      </x:c>
      <x:c r="F34" t="str">
        <x:v>Strongest eligible grid peak; candidate status is separate</x:v>
      </x:c>
      <x:c r="G34" s="24" t="n">
        <x:v>35.48913013766834</x:v>
      </x:c>
      <x:c r="H34" s="24" t="n">
        <x:v>11.002497989718618</x:v>
      </x:c>
      <x:c r="I34" s="24" t="n">
        <x:v>22.98544551530542</x:v>
      </x:c>
      <x:c r="J34" s="25" t="n">
        <x:v>408</x:v>
      </x:c>
      <x:c r="K34" s="25" t="n">
        <x:v>51</x:v>
      </x:c>
      <x:c r="L34" s="24" t="n">
        <x:v>30</x:v>
      </x:c>
      <x:c r="M34" s="24" t="n">
        <x:v>400</x:v>
      </x:c>
      <x:c r="N34" s="25" t="n">
        <x:v>196</x:v>
      </x:c>
      <x:c r="O34" s="25" t="n">
        <x:v>4</x:v>
      </x:c>
      <x:c r="P34" s="24" t="n">
        <x:v>74.46795680667894</x:v>
      </x:c>
      <x:c r="Q34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4"/>
      <x:c r="S34" t="str">
        <x:v>Preserve consumed record; new data/scope requires a new ID</x:v>
      </x:c>
      <x:c r="T34" t="str">
        <x:v>../Project Recherche Data/tpa-batch02-20260908/J1600-5044/run01/result.json</x:v>
      </x:c>
      <x:c r="U34" t="str">
        <x:v>886e6a5b1d41c9137763c66a1292aa913c857dee8d99d836b4cd11724de2c62a</x:v>
      </x:c>
      <x:c r="V34" t="str">
        <x:v>observed=51f72eecb6b5fd5d41f4c9b616adc99d4cf2883e47ca130602fb7a5fe4e967b8; calibration=ac32252548883138e445a631df6a2dd021402411ed78956bec88db01106ea80e</x:v>
      </x:c>
    </x:row>
    <x:row r="35" ht="15" hidden="0" customHeight="1">
      <x:c r="A35" t="str">
        <x:v>tpa-batch02-20260908-J1126-6054-run01</x:v>
      </x:c>
      <x:c r="B35" t="str">
        <x:v>J1126-6054</x:v>
      </x:c>
      <x:c r="C35" t="str">
        <x:v>TPA DR1; original circular search</x:v>
      </x:c>
      <x:c r="D35" t="str">
        <x:v>NO_TRIGGER</x:v>
      </x:c>
      <x:c r="E35" s="23" t="n">
        <x:v>85.89847972428795</x:v>
      </x:c>
      <x:c r="F35" t="str">
        <x:v>Strongest eligible grid peak; candidate status is separate</x:v>
      </x:c>
      <x:c r="G35" s="24" t="n">
        <x:v>32.57276025134083</x:v>
      </x:c>
      <x:c r="H35" s="24" t="n">
        <x:v>8.987763513400907</x:v>
      </x:c>
      <x:c r="I35" s="24" t="n">
        <x:v>23.025850929940457</x:v>
      </x:c>
      <x:c r="J35" s="25" t="n">
        <x:v>408</x:v>
      </x:c>
      <x:c r="K35" s="25" t="n">
        <x:v>51</x:v>
      </x:c>
      <x:c r="L35" s="24" t="n">
        <x:v>30</x:v>
      </x:c>
      <x:c r="M35" s="24" t="n">
        <x:v>400</x:v>
      </x:c>
      <x:c r="N35" s="25" t="n">
        <x:v>200</x:v>
      </x:c>
      <x:c r="O35" s="25" t="n">
        <x:v>4</x:v>
      </x:c>
      <x:c r="P35" s="24" t="n">
        <x:v>72.85627623577189</x:v>
      </x:c>
      <x:c r="Q35" t="str">
        <x:v>Fixed published noise and epoch DM. Conditional Gaussian fixed covariance/design; 1.0% union-bound allowance for at most 5 fixed grids. 95% detection probability; circular on-grid signal; fixed published noise; not a posterior upper limit</x:v>
      </x:c>
      <x:c r="R35"/>
      <x:c r="S35" t="str">
        <x:v>Preserve consumed record; new data/scope requires a new ID</x:v>
      </x:c>
      <x:c r="T35" t="str">
        <x:v>../Project Recherche Data/tpa-batch02-20260908/J1126-6054/run01/result.json</x:v>
      </x:c>
      <x:c r="U35" t="str">
        <x:v>b8b8604e46c0a1b49da133c377a3e0f60901f8a1c50d42bceed7b6a5f5c7b1a9</x:v>
      </x:c>
      <x:c r="V35" t="str">
        <x:v>observed=1c47b5a5a2de4dfefc3fd3aff713d76d18f4fc6f99dc729a38c85a827133a3bc; calibration=81bdd1fa7f32f436404823abe2da1ede5b6fa307680626db73d4d50905ecaa4d</x:v>
      </x:c>
    </x:row>
    <x:row r="36" ht="15" hidden="0" customHeight="1">
      <x:c r="A36" t="str">
        <x:v>tpa-batch03-20260908-J1514-4834-run01</x:v>
      </x:c>
      <x:c r="B36" t="str">
        <x:v>J1514-4834</x:v>
      </x:c>
      <x:c r="C36" t="str">
        <x:v>TPA DR1; original circular search</x:v>
      </x:c>
      <x:c r="D36" t="str">
        <x:v>NO_TRIGGER</x:v>
      </x:c>
      <x:c r="E36" s="23" t="n">
        <x:v>38.15110093209639</x:v>
      </x:c>
      <x:c r="F36" t="str">
        <x:v>Strongest eligible grid peak; candidate status is separate</x:v>
      </x:c>
      <x:c r="G36" s="24" t="n">
        <x:v>40.344827817179336</x:v>
      </x:c>
      <x:c r="H36" s="24" t="n">
        <x:v>8.754368021157577</x:v>
      </x:c>
      <x:c r="I36" s="24" t="n">
        <x:v>26.244726754808656</x:v>
      </x:c>
      <x:c r="J36" s="25" t="n">
        <x:v>440</x:v>
      </x:c>
      <x:c r="K36" s="25" t="n">
        <x:v>55</x:v>
      </x:c>
      <x:c r="L36" s="24" t="n">
        <x:v>30</x:v>
      </x:c>
      <x:c r="M36" s="24" t="n">
        <x:v>400</x:v>
      </x:c>
      <x:c r="N36" s="25" t="n">
        <x:v>200</x:v>
      </x:c>
      <x:c r="O36" s="25" t="n">
        <x:v>4</x:v>
      </x:c>
      <x:c r="P36" s="24" t="n">
        <x:v>91.13584926503289</x:v>
      </x:c>
      <x:c r="Q3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36"/>
      <x:c r="S36" t="str">
        <x:v>Preserve consumed record; new data/scope requires a new ID</x:v>
      </x:c>
      <x:c r="T36" t="str">
        <x:v>../Project Recherche Data/tpa-batch03-20260908/J1514-4834/run01/result.json</x:v>
      </x:c>
      <x:c r="U36" t="str">
        <x:v>21da4402927c2b71c2566199c8f38703380f2898cc192194f0a4cccf1cc5145a</x:v>
      </x:c>
      <x:c r="V36" t="str">
        <x:v>observed=84cfdec1f3613a5c2917665c2ed2b4ab8f07b76358dad297b53e050669ad618c; calibration=3a3fecabfcd9a6f1f0b4824774208e26b62b99c2e5174050f44ad0947f92a392</x:v>
      </x:c>
    </x:row>
    <x:row r="37" ht="15" hidden="0" customHeight="1">
      <x:c r="A37" t="str">
        <x:v>tpa-batch03-20260908-J0955-5304-run01</x:v>
      </x:c>
      <x:c r="B37" t="str">
        <x:v>J0955-5304</x:v>
      </x:c>
      <x:c r="C37" t="str">
        <x:v>TPA DR1; original circular search</x:v>
      </x:c>
      <x:c r="D37" t="str">
        <x:v>NO_TRIGGER</x:v>
      </x:c>
      <x:c r="E37" s="23" t="n">
        <x:v>146.23141129693948</x:v>
      </x:c>
      <x:c r="F37" t="str">
        <x:v>Strongest eligible grid peak; candidate status is separate</x:v>
      </x:c>
      <x:c r="G37" s="24" t="n">
        <x:v>36.42525921889661</x:v>
      </x:c>
      <x:c r="H37" s="24" t="n">
        <x:v>6.868362775386789</x:v>
      </x:c>
      <x:c r="I37" s="24" t="n">
        <x:v>26.244726754808656</x:v>
      </x:c>
      <x:c r="J37" s="25" t="n">
        <x:v>424</x:v>
      </x:c>
      <x:c r="K37" s="25" t="n">
        <x:v>53</x:v>
      </x:c>
      <x:c r="L37" s="24" t="n">
        <x:v>30</x:v>
      </x:c>
      <x:c r="M37" s="24" t="n">
        <x:v>400</x:v>
      </x:c>
      <x:c r="N37" s="25" t="n">
        <x:v>200</x:v>
      </x:c>
      <x:c r="O37" s="25" t="n">
        <x:v>4</x:v>
      </x:c>
      <x:c r="P37" s="24" t="n">
        <x:v>96.45152863859707</x:v>
      </x:c>
      <x:c r="Q3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37"/>
      <x:c r="S37" t="str">
        <x:v>Preserve consumed record; new data/scope requires a new ID</x:v>
      </x:c>
      <x:c r="T37" t="str">
        <x:v>../Project Recherche Data/tpa-batch03-20260908/J0955-5304/run01/result.json</x:v>
      </x:c>
      <x:c r="U37" t="str">
        <x:v>d22e7836457ce7ff0e80e1bd842c69b8f233ad6301882c4ddf373b3d73291723</x:v>
      </x:c>
      <x:c r="V37" t="str">
        <x:v>observed=a7d7d9a0f0401d6809dcddb45b93209d5dfa0e883571f8f8809de121f50fec72; calibration=56b3e83a30564b00a5eb81f010d72ad202bd5f61b7671f5003c2869ac68e7240</x:v>
      </x:c>
    </x:row>
    <x:row r="38" ht="15" hidden="0" customHeight="1">
      <x:c r="A38" t="str">
        <x:v>tpa-batch03-20260908-J0922-4949-run01</x:v>
      </x:c>
      <x:c r="B38" t="str">
        <x:v>J0922-4949</x:v>
      </x:c>
      <x:c r="C38" t="str">
        <x:v>TPA DR1; original circular search</x:v>
      </x:c>
      <x:c r="D38" t="str">
        <x:v>NO_TRIGGER</x:v>
      </x:c>
      <x:c r="E38" s="23" t="n">
        <x:v>87.90772346460705</x:v>
      </x:c>
      <x:c r="F38" t="str">
        <x:v>Strongest eligible grid peak; candidate status is separate</x:v>
      </x:c>
      <x:c r="G38" s="24" t="n">
        <x:v>45.73664126388269</x:v>
      </x:c>
      <x:c r="H38" s="24" t="n">
        <x:v>9.987149822186554</x:v>
      </x:c>
      <x:c r="I38" s="24" t="n">
        <x:v>26.204321340173617</x:v>
      </x:c>
      <x:c r="J38" s="25" t="n">
        <x:v>422</x:v>
      </x:c>
      <x:c r="K38" s="25" t="n">
        <x:v>53</x:v>
      </x:c>
      <x:c r="L38" s="24" t="n">
        <x:v>30</x:v>
      </x:c>
      <x:c r="M38" s="24" t="n">
        <x:v>400</x:v>
      </x:c>
      <x:c r="N38" s="25" t="n">
        <x:v>196</x:v>
      </x:c>
      <x:c r="O38" s="25" t="n">
        <x:v>4</x:v>
      </x:c>
      <x:c r="P38" s="24" t="n">
        <x:v>103.43262279984188</x:v>
      </x:c>
      <x:c r="Q3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38"/>
      <x:c r="S38" t="str">
        <x:v>Preserve consumed record; new data/scope requires a new ID</x:v>
      </x:c>
      <x:c r="T38" t="str">
        <x:v>../Project Recherche Data/tpa-batch03-20260908/J0922-4949/run01/result.json</x:v>
      </x:c>
      <x:c r="U38" t="str">
        <x:v>15a749f2c17548398be08c314c35ef07a6d9e1dfc9ed4f460dade40c49d56916</x:v>
      </x:c>
      <x:c r="V38" t="str">
        <x:v>observed=3d90c91c5f4bd87b0008836958ec50bec654ca9ebdb7491389479fd691095c80; calibration=b365d5f9de6c0c3ec0054e195c9566e4f82a3f60ad4eed2f31236891123cb549</x:v>
      </x:c>
    </x:row>
    <x:row r="39" ht="15" hidden="0" customHeight="1">
      <x:c r="A39" t="str">
        <x:v>tpa-batch03-20260908-J1123-4844-run01</x:v>
      </x:c>
      <x:c r="B39" t="str">
        <x:v>J1123-4844</x:v>
      </x:c>
      <x:c r="C39" t="str">
        <x:v>TPA DR1; original circular search</x:v>
      </x:c>
      <x:c r="D39" t="str">
        <x:v>NO_TRIGGER</x:v>
      </x:c>
      <x:c r="E39" s="23" t="n">
        <x:v>178.60764838292607</x:v>
      </x:c>
      <x:c r="F39" t="str">
        <x:v>Strongest eligible grid peak; candidate status is separate</x:v>
      </x:c>
      <x:c r="G39" s="24" t="n">
        <x:v>42.40267844735707</x:v>
      </x:c>
      <x:c r="H39" s="24" t="n">
        <x:v>9.709443524048714</x:v>
      </x:c>
      <x:c r="I39" s="24" t="n">
        <x:v>26.244726754808656</x:v>
      </x:c>
      <x:c r="J39" s="25" t="n">
        <x:v>424</x:v>
      </x:c>
      <x:c r="K39" s="25" t="n">
        <x:v>53</x:v>
      </x:c>
      <x:c r="L39" s="24" t="n">
        <x:v>30</x:v>
      </x:c>
      <x:c r="M39" s="24" t="n">
        <x:v>400</x:v>
      </x:c>
      <x:c r="N39" s="25" t="n">
        <x:v>200</x:v>
      </x:c>
      <x:c r="O39" s="25" t="n">
        <x:v>4</x:v>
      </x:c>
      <x:c r="P39" s="24" t="n">
        <x:v>101.32588375455609</x:v>
      </x:c>
      <x:c r="Q3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39"/>
      <x:c r="S39" t="str">
        <x:v>Preserve consumed record; new data/scope requires a new ID</x:v>
      </x:c>
      <x:c r="T39" t="str">
        <x:v>../Project Recherche Data/tpa-batch03-20260908/J1123-4844/run01/result.json</x:v>
      </x:c>
      <x:c r="U39" t="str">
        <x:v>ad41d6ac9e7aba26da691f0b7bfbbae193629ae408033a911f108b5362fb12a3</x:v>
      </x:c>
      <x:c r="V39" t="str">
        <x:v>observed=fc3d6634b9303402882dc62f9d5706688ba23274ea4ff8947a2534c535206f7c; calibration=3e9711d125b1a5d7451719bef8bac96012e81641cede2ea2304fa4a3f7187e77</x:v>
      </x:c>
    </x:row>
    <x:row r="40" ht="15" hidden="0" customHeight="1">
      <x:c r="A40" t="str">
        <x:v>tpa-batch03-20260908-J1112-6613-run01</x:v>
      </x:c>
      <x:c r="B40" t="str">
        <x:v>J1112-6613</x:v>
      </x:c>
      <x:c r="C40" t="str">
        <x:v>TPA DR1; original circular search</x:v>
      </x:c>
      <x:c r="D40" t="str">
        <x:v>NO_TRIGGER</x:v>
      </x:c>
      <x:c r="E40" s="23" t="n">
        <x:v>44.16319107435025</x:v>
      </x:c>
      <x:c r="F40" t="str">
        <x:v>Strongest eligible grid peak; candidate status is separate</x:v>
      </x:c>
      <x:c r="G40" s="24" t="n">
        <x:v>45.42726002201202</x:v>
      </x:c>
      <x:c r="H40" s="24" t="n">
        <x:v>7.124255282703716</x:v>
      </x:c>
      <x:c r="I40" s="24" t="n">
        <x:v>26.244726754808656</x:v>
      </x:c>
      <x:c r="J40" s="25" t="n">
        <x:v>616</x:v>
      </x:c>
      <x:c r="K40" s="25" t="n">
        <x:v>77</x:v>
      </x:c>
      <x:c r="L40" s="24" t="n">
        <x:v>30</x:v>
      </x:c>
      <x:c r="M40" s="24" t="n">
        <x:v>400</x:v>
      </x:c>
      <x:c r="N40" s="25" t="n">
        <x:v>200</x:v>
      </x:c>
      <x:c r="O40" s="25" t="n">
        <x:v>4</x:v>
      </x:c>
      <x:c r="P40" s="24" t="n">
        <x:v>120.59586930754816</x:v>
      </x:c>
      <x:c r="Q4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0"/>
      <x:c r="S40" t="str">
        <x:v>Preserve consumed record; new data/scope requires a new ID</x:v>
      </x:c>
      <x:c r="T40" t="str">
        <x:v>../Project Recherche Data/tpa-batch03-20260908/J1112-6613/run01/result.json</x:v>
      </x:c>
      <x:c r="U40" t="str">
        <x:v>7e8b9ef21005c2626c10b1b091aca047a7c432bc56d6e5405a8233abb6935107</x:v>
      </x:c>
      <x:c r="V40" t="str">
        <x:v>observed=7ac10eaddb5221c18fec6809066a3511cf901af202a1c1040366a93a1d1a377d; calibration=d3d7f9ab435f212656dbe2ac6788212675d3747bf3e45d9944f939cb69a89274</x:v>
      </x:c>
    </x:row>
    <x:row r="41" ht="15" hidden="0" customHeight="1">
      <x:c r="A41" t="str">
        <x:v>tpa-batch03-20260908-J1413-6307-run01</x:v>
      </x:c>
      <x:c r="B41" t="str">
        <x:v>J1413-6307</x:v>
      </x:c>
      <x:c r="C41" t="str">
        <x:v>TPA DR1; original circular search</x:v>
      </x:c>
      <x:c r="D41" t="str">
        <x:v>NO_TRIGGER</x:v>
      </x:c>
      <x:c r="E41" s="23" t="n">
        <x:v>55.561811978607686</x:v>
      </x:c>
      <x:c r="F41" t="str">
        <x:v>Strongest eligible grid peak; candidate status is separate</x:v>
      </x:c>
      <x:c r="G41" s="24" t="n">
        <x:v>45.63385739914605</x:v>
      </x:c>
      <x:c r="H41" s="24" t="n">
        <x:v>8.199001029551296</x:v>
      </x:c>
      <x:c r="I41" s="24" t="n">
        <x:v>26.244726754808656</x:v>
      </x:c>
      <x:c r="J41" s="25" t="n">
        <x:v>416</x:v>
      </x:c>
      <x:c r="K41" s="25" t="n">
        <x:v>52</x:v>
      </x:c>
      <x:c r="L41" s="24" t="n">
        <x:v>30</x:v>
      </x:c>
      <x:c r="M41" s="24" t="n">
        <x:v>400</x:v>
      </x:c>
      <x:c r="N41" s="25" t="n">
        <x:v>200</x:v>
      </x:c>
      <x:c r="O41" s="25" t="n">
        <x:v>7</x:v>
      </x:c>
      <x:c r="P41" s="24" t="n">
        <x:v>122.05299812770859</x:v>
      </x:c>
      <x:c r="Q4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1"/>
      <x:c r="S41" t="str">
        <x:v>Preserve consumed record; new data/scope requires a new ID</x:v>
      </x:c>
      <x:c r="T41" t="str">
        <x:v>../Project Recherche Data/tpa-batch03-20260908/J1413-6307/run01/result.json</x:v>
      </x:c>
      <x:c r="U41" t="str">
        <x:v>d0307f944daae70cfb6f82e2ed6206335159ca0854d48a0c5f7606da07a02e90</x:v>
      </x:c>
      <x:c r="V41" t="str">
        <x:v>observed=5a464f0bd0ec08783a73463849fe4ca0b09b46d8efd40d0d4ebf0a08844699c7; calibration=d31cb7e6860b15e3da14748e281f7a04a163805a7bc0bc4591a9a66c1a8546f0</x:v>
      </x:c>
    </x:row>
    <x:row r="42" ht="15" hidden="0" customHeight="1">
      <x:c r="A42" t="str">
        <x:v>tpa-batch03-20260908-J1259-6741-run01</x:v>
      </x:c>
      <x:c r="B42" t="str">
        <x:v>J1259-6741</x:v>
      </x:c>
      <x:c r="C42" t="str">
        <x:v>TPA DR1; original circular search</x:v>
      </x:c>
      <x:c r="D42" t="str">
        <x:v>NO_TRIGGER</x:v>
      </x:c>
      <x:c r="E42" s="23" t="n">
        <x:v>46.41348833639193</x:v>
      </x:c>
      <x:c r="F42" t="str">
        <x:v>Strongest eligible grid peak; candidate status is separate</x:v>
      </x:c>
      <x:c r="G42" s="24" t="n">
        <x:v>52.533126376100014</x:v>
      </x:c>
      <x:c r="H42" s="24" t="n">
        <x:v>8.210833580611045</x:v>
      </x:c>
      <x:c r="I42" s="24" t="n">
        <x:v>26.120975947372482</x:v>
      </x:c>
      <x:c r="J42" s="25" t="n">
        <x:v>408</x:v>
      </x:c>
      <x:c r="K42" s="25" t="n">
        <x:v>51</x:v>
      </x:c>
      <x:c r="L42" s="24" t="n">
        <x:v>30</x:v>
      </x:c>
      <x:c r="M42" s="24" t="n">
        <x:v>400</x:v>
      </x:c>
      <x:c r="N42" s="25" t="n">
        <x:v>188</x:v>
      </x:c>
      <x:c r="O42" s="25" t="n">
        <x:v>4</x:v>
      </x:c>
      <x:c r="P42" s="24" t="n">
        <x:v>135.759114108531</x:v>
      </x:c>
      <x:c r="Q4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2"/>
      <x:c r="S42" t="str">
        <x:v>Preserve consumed record; new data/scope requires a new ID</x:v>
      </x:c>
      <x:c r="T42" t="str">
        <x:v>../Project Recherche Data/tpa-batch03-20260908/J1259-6741/run01/result.json</x:v>
      </x:c>
      <x:c r="U42" t="str">
        <x:v>49f580019315e7b9a9ad50f850439cf84c1edc3eb16f415ce81013b055d3d738</x:v>
      </x:c>
      <x:c r="V42" t="str">
        <x:v>observed=aa8f423fdb3af3d163c440f88c1c292be9f6dbb45d8d0f7fe473bcfd4a160f16; calibration=2127197d1d21ebcdcf92223acf44a1b0ee6a480f28f010b2608c1cc753558a82</x:v>
      </x:c>
    </x:row>
    <x:row r="43" ht="15" hidden="0" customHeight="1">
      <x:c r="A43" t="str">
        <x:v>tpa-batch03-20260908-J1202-5820-run01</x:v>
      </x:c>
      <x:c r="B43" t="str">
        <x:v>J1202-5820</x:v>
      </x:c>
      <x:c r="C43" t="str">
        <x:v>TPA DR1; original circular search</x:v>
      </x:c>
      <x:c r="D43" t="str">
        <x:v>NO_TRIGGER</x:v>
      </x:c>
      <x:c r="E43" s="23" t="n">
        <x:v>48.47697116740626</x:v>
      </x:c>
      <x:c r="F43" t="str">
        <x:v>Strongest eligible grid peak; candidate status is separate</x:v>
      </x:c>
      <x:c r="G43" s="24" t="n">
        <x:v>56.806842107275756</x:v>
      </x:c>
      <x:c r="H43" s="24" t="n">
        <x:v>9.412050147380592</x:v>
      </x:c>
      <x:c r="I43" s="24" t="n">
        <x:v>26.244726754808656</x:v>
      </x:c>
      <x:c r="J43" s="25" t="n">
        <x:v>415</x:v>
      </x:c>
      <x:c r="K43" s="25" t="n">
        <x:v>52</x:v>
      </x:c>
      <x:c r="L43" s="24" t="n">
        <x:v>30</x:v>
      </x:c>
      <x:c r="M43" s="24" t="n">
        <x:v>400</x:v>
      </x:c>
      <x:c r="N43" s="25" t="n">
        <x:v>200</x:v>
      </x:c>
      <x:c r="O43" s="25" t="n">
        <x:v>4</x:v>
      </x:c>
      <x:c r="P43" s="24" t="n">
        <x:v>140.62107075720218</x:v>
      </x:c>
      <x:c r="Q4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3"/>
      <x:c r="S43" t="str">
        <x:v>Preserve consumed record; new data/scope requires a new ID</x:v>
      </x:c>
      <x:c r="T43" t="str">
        <x:v>../Project Recherche Data/tpa-batch03-20260908/J1202-5820/run01/result.json</x:v>
      </x:c>
      <x:c r="U43" t="str">
        <x:v>ee1664d594a6db5fd68165941b01236bdf56fd020c1cc101b1f9bc3a4d0f18ab</x:v>
      </x:c>
      <x:c r="V43" t="str">
        <x:v>observed=b039faf850120f51e1d60ab7dd7f64970ac8662733a5b045c9db67c2ebfce47b; calibration=82f17e3d2dea1ed6a3fac9698a8d94588eac2bd1e74abdbbb2b73e131eb08930</x:v>
      </x:c>
    </x:row>
    <x:row r="44" ht="15" hidden="0" customHeight="1">
      <x:c r="A44" t="str">
        <x:v>tpa-batch03-20260908-J0908-4913-run01</x:v>
      </x:c>
      <x:c r="B44" t="str">
        <x:v>J0908-4913</x:v>
      </x:c>
      <x:c r="C44" t="str">
        <x:v>TPA DR1; original circular search</x:v>
      </x:c>
      <x:c r="D44" t="str">
        <x:v>NO_TRIGGER</x:v>
      </x:c>
      <x:c r="E44" s="23" t="n">
        <x:v>129.9685360331201</x:v>
      </x:c>
      <x:c r="F44" t="str">
        <x:v>Strongest eligible grid peak; candidate status is separate</x:v>
      </x:c>
      <x:c r="G44" s="24" t="n">
        <x:v>78.84283997198955</x:v>
      </x:c>
      <x:c r="H44" s="24" t="n">
        <x:v>6.516658721843845</x:v>
      </x:c>
      <x:c r="I44" s="24" t="n">
        <x:v>26.21449947918856</x:v>
      </x:c>
      <x:c r="J44" s="25" t="n">
        <x:v>416</x:v>
      </x:c>
      <x:c r="K44" s="25" t="n">
        <x:v>52</x:v>
      </x:c>
      <x:c r="L44" s="24" t="n">
        <x:v>30</x:v>
      </x:c>
      <x:c r="M44" s="24" t="n">
        <x:v>400</x:v>
      </x:c>
      <x:c r="N44" s="25" t="n">
        <x:v>197</x:v>
      </x:c>
      <x:c r="O44" s="25" t="n">
        <x:v>27</x:v>
      </x:c>
      <x:c r="P44" s="24" t="n">
        <x:v>45.84208067869606</x:v>
      </x:c>
      <x:c r="Q4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4"/>
      <x:c r="S44" t="str">
        <x:v>Preserve consumed record; new data/scope requires a new ID</x:v>
      </x:c>
      <x:c r="T44" t="str">
        <x:v>../Project Recherche Data/tpa-batch03-20260908/J0908-4913/run01/result.json</x:v>
      </x:c>
      <x:c r="U44" t="str">
        <x:v>87b60ffe18ad95f58cd4c224338de5deba2d073e017ccd36d6b814849680e1f6</x:v>
      </x:c>
      <x:c r="V44" t="str">
        <x:v>observed=3502309f7c6d85e14079f88f0b22a3ef126b3cc9bdc7c3390f1dc6d8977f5442; calibration=34030451584e78620859139dfb41b999498abc0efb9b64eef1d86d4c09381699</x:v>
      </x:c>
    </x:row>
    <x:row r="45" ht="15" hidden="0" customHeight="1">
      <x:c r="A45" t="str">
        <x:v>tpa-batch03-20260908-J1036-4926-run01</x:v>
      </x:c>
      <x:c r="B45" t="str">
        <x:v>J1036-4926</x:v>
      </x:c>
      <x:c r="C45" t="str">
        <x:v>TPA DR1; original circular search</x:v>
      </x:c>
      <x:c r="D45" t="str">
        <x:v>NO_TRIGGER</x:v>
      </x:c>
      <x:c r="E45" s="23" t="n">
        <x:v>52.41372468703688</x:v>
      </x:c>
      <x:c r="F45" t="str">
        <x:v>Strongest eligible grid peak; candidate status is separate</x:v>
      </x:c>
      <x:c r="G45" s="24" t="n">
        <x:v>68.50100758718165</x:v>
      </x:c>
      <x:c r="H45" s="24" t="n">
        <x:v>12.148015853080214</x:v>
      </x:c>
      <x:c r="I45" s="24" t="n">
        <x:v>26.244726754808656</x:v>
      </x:c>
      <x:c r="J45" s="25" t="n">
        <x:v>416</x:v>
      </x:c>
      <x:c r="K45" s="25" t="n">
        <x:v>52</x:v>
      </x:c>
      <x:c r="L45" s="24" t="n">
        <x:v>30</x:v>
      </x:c>
      <x:c r="M45" s="24" t="n">
        <x:v>400</x:v>
      </x:c>
      <x:c r="N45" s="25" t="n">
        <x:v>200</x:v>
      </x:c>
      <x:c r="O45" s="25" t="n">
        <x:v>4</x:v>
      </x:c>
      <x:c r="P45" s="24" t="n">
        <x:v>149.4277292238454</x:v>
      </x:c>
      <x:c r="Q4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5"/>
      <x:c r="S45" t="str">
        <x:v>Preserve consumed record; new data/scope requires a new ID</x:v>
      </x:c>
      <x:c r="T45" t="str">
        <x:v>../Project Recherche Data/tpa-batch03-20260908/J1036-4926/run01/result.json</x:v>
      </x:c>
      <x:c r="U45" t="str">
        <x:v>9d2baaa0a5fa085ee0854dbd66378975eeadfdb5e5b1df5518a16701a28845bd</x:v>
      </x:c>
      <x:c r="V45" t="str">
        <x:v>observed=d034e5e3ff8fdd187a9bbed45e812abf29adf09c258b92c1910e56360d3d8427; calibration=cbf9654bf83164ca868a03691ec15ea19b30f257ffda0991ba9b2410914b051e</x:v>
      </x:c>
    </x:row>
    <x:row r="46" ht="15" hidden="0" customHeight="1">
      <x:c r="A46" t="str">
        <x:v>tpa-batch03-20260908-J1603-5657-run01</x:v>
      </x:c>
      <x:c r="B46" t="str">
        <x:v>J1603-5657</x:v>
      </x:c>
      <x:c r="C46" t="str">
        <x:v>TPA DR1; original circular search</x:v>
      </x:c>
      <x:c r="D46" t="str">
        <x:v>NO_TRIGGER</x:v>
      </x:c>
      <x:c r="E46" s="23" t="n">
        <x:v>38.56921349615956</x:v>
      </x:c>
      <x:c r="F46" t="str">
        <x:v>Strongest eligible grid peak; candidate status is separate</x:v>
      </x:c>
      <x:c r="G46" s="24" t="n">
        <x:v>34.44766460304257</x:v>
      </x:c>
      <x:c r="H46" s="24" t="n">
        <x:v>10.428828888146837</x:v>
      </x:c>
      <x:c r="I46" s="24" t="n">
        <x:v>26.152638877805845</x:v>
      </x:c>
      <x:c r="J46" s="25" t="n">
        <x:v>431</x:v>
      </x:c>
      <x:c r="K46" s="25" t="n">
        <x:v>54</x:v>
      </x:c>
      <x:c r="L46" s="24" t="n">
        <x:v>30</x:v>
      </x:c>
      <x:c r="M46" s="24" t="n">
        <x:v>400</x:v>
      </x:c>
      <x:c r="N46" s="25" t="n">
        <x:v>191</x:v>
      </x:c>
      <x:c r="O46" s="25" t="n">
        <x:v>21</x:v>
      </x:c>
      <x:c r="P46" s="24" t="n">
        <x:v>77.03842980473584</x:v>
      </x:c>
      <x:c r="Q4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6"/>
      <x:c r="S46" t="str">
        <x:v>Preserve consumed record; new data/scope requires a new ID</x:v>
      </x:c>
      <x:c r="T46" t="str">
        <x:v>../Project Recherche Data/tpa-batch03-20260908/J1603-5657/run01/result.json</x:v>
      </x:c>
      <x:c r="U46" t="str">
        <x:v>94a86e9440a2ce36f82e2911456ec0579b5566377d71d3c6333b9c168b404fa2</x:v>
      </x:c>
      <x:c r="V46" t="str">
        <x:v>observed=7a65e86d34f1a7a843fb57c0a7afb32209b44bfacdd3bb0a543dcc386c9c9189; calibration=e30e382a96f162276467dbaf167c575dcaff5621513a8af06e7b8f0978544d31</x:v>
      </x:c>
    </x:row>
    <x:row r="47" ht="15" hidden="0" customHeight="1">
      <x:c r="A47" t="str">
        <x:v>tpa-batch03-20260908-J1908+0500-run01</x:v>
      </x:c>
      <x:c r="B47" t="str">
        <x:v>J1908+0500</x:v>
      </x:c>
      <x:c r="C47" t="str">
        <x:v>TPA DR1; original circular search</x:v>
      </x:c>
      <x:c r="D47" t="str">
        <x:v>NO_TRIGGER</x:v>
      </x:c>
      <x:c r="E47" s="23" t="n">
        <x:v>62.43314361168452</x:v>
      </x:c>
      <x:c r="F47" t="str">
        <x:v>Strongest eligible grid peak; candidate status is separate</x:v>
      </x:c>
      <x:c r="G47" s="24" t="n">
        <x:v>69.24409424193529</x:v>
      </x:c>
      <x:c r="H47" s="24" t="n">
        <x:v>6.801984634508421</x:v>
      </x:c>
      <x:c r="I47" s="24" t="n">
        <x:v>26.224626083101654</x:v>
      </x:c>
      <x:c r="J47" s="25" t="n">
        <x:v>440</x:v>
      </x:c>
      <x:c r="K47" s="25" t="n">
        <x:v>55</x:v>
      </x:c>
      <x:c r="L47" s="24" t="n">
        <x:v>30</x:v>
      </x:c>
      <x:c r="M47" s="24" t="n">
        <x:v>400</x:v>
      </x:c>
      <x:c r="N47" s="25" t="n">
        <x:v>198</x:v>
      </x:c>
      <x:c r="O47" s="25" t="n">
        <x:v>4</x:v>
      </x:c>
      <x:c r="P47" s="24" t="n">
        <x:v>150.87552083909995</x:v>
      </x:c>
      <x:c r="Q4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7"/>
      <x:c r="S47" t="str">
        <x:v>Preserve consumed record; new data/scope requires a new ID</x:v>
      </x:c>
      <x:c r="T47" t="str">
        <x:v>../Project Recherche Data/tpa-batch03-20260908/J1908+0500/run01/result.json</x:v>
      </x:c>
      <x:c r="U47" t="str">
        <x:v>70e4765b92d0a64814d3b0e316cc548c47f7e812a750d7907466349d087437c0</x:v>
      </x:c>
      <x:c r="V47" t="str">
        <x:v>observed=d1a3392ec70d8ad316f66848ff9646bcde294242e425fe08919918aba6d99bf0; calibration=96b8af1c50585f9b5d53c081a7dd05d32f18872e57e060bfab0b785e83ea9519</x:v>
      </x:c>
    </x:row>
    <x:row r="48" ht="15" hidden="0" customHeight="1">
      <x:c r="A48" t="str">
        <x:v>tpa-batch03-20260908-J1743-4212-run01</x:v>
      </x:c>
      <x:c r="B48" t="str">
        <x:v>J1743-4212</x:v>
      </x:c>
      <x:c r="C48" t="str">
        <x:v>TPA DR1; original circular search</x:v>
      </x:c>
      <x:c r="D48" t="str">
        <x:v>NO_TRIGGER</x:v>
      </x:c>
      <x:c r="E48" s="23" t="n">
        <x:v>50.00528857394039</x:v>
      </x:c>
      <x:c r="F48" t="str">
        <x:v>Strongest eligible grid peak; candidate status is separate</x:v>
      </x:c>
      <x:c r="G48" s="24" t="n">
        <x:v>65.80103806786825</x:v>
      </x:c>
      <x:c r="H48" s="24" t="n">
        <x:v>8.736512470873484</x:v>
      </x:c>
      <x:c r="I48" s="24" t="n">
        <x:v>26.254701837830737</x:v>
      </x:c>
      <x:c r="J48" s="25" t="n">
        <x:v>424</x:v>
      </x:c>
      <x:c r="K48" s="25" t="n">
        <x:v>53</x:v>
      </x:c>
      <x:c r="L48" s="24" t="n">
        <x:v>30</x:v>
      </x:c>
      <x:c r="M48" s="24" t="n">
        <x:v>400</x:v>
      </x:c>
      <x:c r="N48" s="25" t="n">
        <x:v>201</x:v>
      </x:c>
      <x:c r="O48" s="25" t="n">
        <x:v>4</x:v>
      </x:c>
      <x:c r="P48" s="24" t="n">
        <x:v>167.99321148468013</x:v>
      </x:c>
      <x:c r="Q4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8"/>
      <x:c r="S48" t="str">
        <x:v>Preserve consumed record; new data/scope requires a new ID</x:v>
      </x:c>
      <x:c r="T48" t="str">
        <x:v>../Project Recherche Data/tpa-batch03-20260908/J1743-4212/run01/result.json</x:v>
      </x:c>
      <x:c r="U48" t="str">
        <x:v>52bdd6c816cdbe4c61a7d005d6fe32a01ddf7168b7bacd2969922764921dc009</x:v>
      </x:c>
      <x:c r="V48" t="str">
        <x:v>observed=26d8c7a78d02019b4bf9f92496351068a2f19041314ebbf774e1ce615ef24109; calibration=dad77634d5a134214c09efaa7e5a12e991ed5a27f14b321da96494715f16078c</x:v>
      </x:c>
    </x:row>
    <x:row r="49" ht="15" hidden="0" customHeight="1">
      <x:c r="A49" t="str">
        <x:v>tpa-batch03-20260908-J0942-5657-run01</x:v>
      </x:c>
      <x:c r="B49" t="str">
        <x:v>J0942-5657</x:v>
      </x:c>
      <x:c r="C49" t="str">
        <x:v>TPA DR1; original circular search</x:v>
      </x:c>
      <x:c r="D49" t="str">
        <x:v>NO_TRIGGER</x:v>
      </x:c>
      <x:c r="E49" s="23" t="n">
        <x:v>31.46163373064077</x:v>
      </x:c>
      <x:c r="F49" t="str">
        <x:v>Strongest eligible grid peak; candidate status is separate</x:v>
      </x:c>
      <x:c r="G49" s="24" t="n">
        <x:v>69.09324442050583</x:v>
      </x:c>
      <x:c r="H49" s="24" t="n">
        <x:v>4.198042840273159</x:v>
      </x:c>
      <x:c r="I49" s="24" t="n">
        <x:v>26.244726754808656</x:v>
      </x:c>
      <x:c r="J49" s="25" t="n">
        <x:v>424</x:v>
      </x:c>
      <x:c r="K49" s="25" t="n">
        <x:v>53</x:v>
      </x:c>
      <x:c r="L49" s="24" t="n">
        <x:v>30</x:v>
      </x:c>
      <x:c r="M49" s="24" t="n">
        <x:v>400</x:v>
      </x:c>
      <x:c r="N49" s="25" t="n">
        <x:v>200</x:v>
      </x:c>
      <x:c r="O49" s="25" t="n">
        <x:v>4</x:v>
      </x:c>
      <x:c r="P49" s="24" t="n">
        <x:v>167.4514142113995</x:v>
      </x:c>
      <x:c r="Q4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49"/>
      <x:c r="S49" t="str">
        <x:v>Preserve consumed record; new data/scope requires a new ID</x:v>
      </x:c>
      <x:c r="T49" t="str">
        <x:v>../Project Recherche Data/tpa-batch03-20260908/J0942-5657/run01/result.json</x:v>
      </x:c>
      <x:c r="U49" t="str">
        <x:v>c19aa9aa8a436f628e12a6954108560627c136a51da02ca24e02e01e601c180f</x:v>
      </x:c>
      <x:c r="V49" t="str">
        <x:v>observed=c08c70f5af9eadf952c79c274175caeaaa3c90b8f20caad9474f897704319dc1; calibration=672bff16dcdcc39a83833281d0c619ffb749ae926231808c01aad918f5b050b3</x:v>
      </x:c>
    </x:row>
    <x:row r="50" ht="15" hidden="0" customHeight="1">
      <x:c r="A50" t="str">
        <x:v>tpa-batch03-20260908-J1943+0609-run01</x:v>
      </x:c>
      <x:c r="B50" t="str">
        <x:v>J1943+0609</x:v>
      </x:c>
      <x:c r="C50" t="str">
        <x:v>TPA DR1; original circular search</x:v>
      </x:c>
      <x:c r="D50" t="str">
        <x:v>NO_TRIGGER</x:v>
      </x:c>
      <x:c r="E50" s="23" t="n">
        <x:v>37.44772699198567</x:v>
      </x:c>
      <x:c r="F50" t="str">
        <x:v>Strongest eligible grid peak; candidate status is separate</x:v>
      </x:c>
      <x:c r="G50" s="24" t="n">
        <x:v>67.58388318009622</x:v>
      </x:c>
      <x:c r="H50" s="24" t="n">
        <x:v>7.235547170225671</x:v>
      </x:c>
      <x:c r="I50" s="24" t="n">
        <x:v>26.224626083101654</x:v>
      </x:c>
      <x:c r="J50" s="25" t="n">
        <x:v>424</x:v>
      </x:c>
      <x:c r="K50" s="25" t="n">
        <x:v>53</x:v>
      </x:c>
      <x:c r="L50" s="24" t="n">
        <x:v>30</x:v>
      </x:c>
      <x:c r="M50" s="24" t="n">
        <x:v>400</x:v>
      </x:c>
      <x:c r="N50" s="25" t="n">
        <x:v>198</x:v>
      </x:c>
      <x:c r="O50" s="25" t="n">
        <x:v>4</x:v>
      </x:c>
      <x:c r="P50" s="24" t="n">
        <x:v>168.01575592177642</x:v>
      </x:c>
      <x:c r="Q5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0"/>
      <x:c r="S50" t="str">
        <x:v>Preserve consumed record; new data/scope requires a new ID</x:v>
      </x:c>
      <x:c r="T50" t="str">
        <x:v>../Project Recherche Data/tpa-batch03-20260908/J1943+0609/run01/result.json</x:v>
      </x:c>
      <x:c r="U50" t="str">
        <x:v>f9995de97eec91ae021a30e76b960d346f0cb238d7f5768d7976bc59c740676d</x:v>
      </x:c>
      <x:c r="V50" t="str">
        <x:v>observed=f3beadc480e5980748fd8f7b3899590d2b642ae9720c06a28337c34cbba5e32f; calibration=c7e0268176613de3be1f639424d58254a8f8309e272d2818cfa958a74a976c5c</x:v>
      </x:c>
    </x:row>
    <x:row r="51" ht="15" hidden="0" customHeight="1">
      <x:c r="A51" t="str">
        <x:v>tpa-batch03-20260908-J1528-4109-run01</x:v>
      </x:c>
      <x:c r="B51" t="str">
        <x:v>J1528-4109</x:v>
      </x:c>
      <x:c r="C51" t="str">
        <x:v>TPA DR1; original circular search</x:v>
      </x:c>
      <x:c r="D51" t="str">
        <x:v>NO_TRIGGER</x:v>
      </x:c>
      <x:c r="E51" s="23" t="n">
        <x:v>32.05360457997057</x:v>
      </x:c>
      <x:c r="F51" t="str">
        <x:v>Strongest eligible grid peak; candidate status is separate</x:v>
      </x:c>
      <x:c r="G51" s="24" t="n">
        <x:v>92.88520772816838</x:v>
      </x:c>
      <x:c r="H51" s="24" t="n">
        <x:v>9.295015054875446</x:v>
      </x:c>
      <x:c r="I51" s="24" t="n">
        <x:v>26.120975947372482</x:v>
      </x:c>
      <x:c r="J51" s="25" t="n">
        <x:v>415</x:v>
      </x:c>
      <x:c r="K51" s="25" t="n">
        <x:v>52</x:v>
      </x:c>
      <x:c r="L51" s="24" t="n">
        <x:v>30</x:v>
      </x:c>
      <x:c r="M51" s="24" t="n">
        <x:v>400</x:v>
      </x:c>
      <x:c r="N51" s="25" t="n">
        <x:v>188</x:v>
      </x:c>
      <x:c r="O51" s="25" t="n">
        <x:v>4</x:v>
      </x:c>
      <x:c r="P51" s="24" t="n">
        <x:v>179.68278509676082</x:v>
      </x:c>
      <x:c r="Q5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1"/>
      <x:c r="S51" t="str">
        <x:v>Preserve consumed record; new data/scope requires a new ID</x:v>
      </x:c>
      <x:c r="T51" t="str">
        <x:v>../Project Recherche Data/tpa-batch03-20260908/J1528-4109/run01/result.json</x:v>
      </x:c>
      <x:c r="U51" t="str">
        <x:v>59acf5e96ac54ffc91ad06b153467552f2e90dbea16c362b6b3efd659bb4088d</x:v>
      </x:c>
      <x:c r="V51" t="str">
        <x:v>observed=78b912eb8183450a154dbbef898d5d6690251b353e6a8e2a1aaaa1451be055e8; calibration=004f320fca1b0c5c29f0b8467282f6cc016c6aaa2210d4ebf5aa3a8488662f73</x:v>
      </x:c>
    </x:row>
    <x:row r="52" ht="15" hidden="0" customHeight="1">
      <x:c r="A52" t="str">
        <x:v>tpa-batch03-20260908-J1047-6709-run01</x:v>
      </x:c>
      <x:c r="B52" t="str">
        <x:v>J1047-6709</x:v>
      </x:c>
      <x:c r="C52" t="str">
        <x:v>TPA DR1; original circular search</x:v>
      </x:c>
      <x:c r="D52" t="str">
        <x:v>NO_TRIGGER</x:v>
      </x:c>
      <x:c r="E52" s="23" t="n">
        <x:v>34.7376767132029</x:v>
      </x:c>
      <x:c r="F52" t="str">
        <x:v>Strongest eligible grid peak; candidate status is separate</x:v>
      </x:c>
      <x:c r="G52" s="24" t="n">
        <x:v>80.08125983242849</x:v>
      </x:c>
      <x:c r="H52" s="24" t="n">
        <x:v>7.945646184542769</x:v>
      </x:c>
      <x:c r="I52" s="24" t="n">
        <x:v>26.21449947918856</x:v>
      </x:c>
      <x:c r="J52" s="25" t="n">
        <x:v>408</x:v>
      </x:c>
      <x:c r="K52" s="25" t="n">
        <x:v>51</x:v>
      </x:c>
      <x:c r="L52" s="24" t="n">
        <x:v>30</x:v>
      </x:c>
      <x:c r="M52" s="24" t="n">
        <x:v>400</x:v>
      </x:c>
      <x:c r="N52" s="25" t="n">
        <x:v>197</x:v>
      </x:c>
      <x:c r="O52" s="25" t="n">
        <x:v>4</x:v>
      </x:c>
      <x:c r="P52" s="24" t="n">
        <x:v>186.69599458252847</x:v>
      </x:c>
      <x:c r="Q5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2"/>
      <x:c r="S52" t="str">
        <x:v>Preserve consumed record; new data/scope requires a new ID</x:v>
      </x:c>
      <x:c r="T52" t="str">
        <x:v>../Project Recherche Data/tpa-batch03-20260908/J1047-6709/run01/result.json</x:v>
      </x:c>
      <x:c r="U52" t="str">
        <x:v>5777689ba57547c788355f74797af7e0c3938fd98fbb5708ccb1fb22c425e5ed</x:v>
      </x:c>
      <x:c r="V52" t="str">
        <x:v>observed=33669de691d6c463d487995ad3313d3c5c68ef8b6d5741dbc5507970dd6ad58b; calibration=96f376978f184d192539680cb4396413c88b85054b158ec8391a966b674ba156</x:v>
      </x:c>
    </x:row>
    <x:row r="53" ht="15" hidden="0" customHeight="1">
      <x:c r="A53" t="str">
        <x:v>tpa-batch03-20260908-J1530-5327-run01</x:v>
      </x:c>
      <x:c r="B53" t="str">
        <x:v>J1530-5327</x:v>
      </x:c>
      <x:c r="C53" t="str">
        <x:v>TPA DR1; original circular search</x:v>
      </x:c>
      <x:c r="D53" t="str">
        <x:v>NO_TRIGGER</x:v>
      </x:c>
      <x:c r="E53" s="23" t="n">
        <x:v>69.0550754990013</x:v>
      </x:c>
      <x:c r="F53" t="str">
        <x:v>Strongest eligible grid peak; candidate status is separate</x:v>
      </x:c>
      <x:c r="G53" s="24" t="n">
        <x:v>90.06428027249757</x:v>
      </x:c>
      <x:c r="H53" s="24" t="n">
        <x:v>10.627401772043381</x:v>
      </x:c>
      <x:c r="I53" s="24" t="n">
        <x:v>26.16308276576815</x:v>
      </x:c>
      <x:c r="J53" s="25" t="n">
        <x:v>433</x:v>
      </x:c>
      <x:c r="K53" s="25" t="n">
        <x:v>55</x:v>
      </x:c>
      <x:c r="L53" s="24" t="n">
        <x:v>30</x:v>
      </x:c>
      <x:c r="M53" s="24" t="n">
        <x:v>400</x:v>
      </x:c>
      <x:c r="N53" s="25" t="n">
        <x:v>192</x:v>
      </x:c>
      <x:c r="O53" s="25" t="n">
        <x:v>4</x:v>
      </x:c>
      <x:c r="P53" s="24" t="n">
        <x:v>194.8306977580993</x:v>
      </x:c>
      <x:c r="Q5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3"/>
      <x:c r="S53" t="str">
        <x:v>Preserve consumed record; new data/scope requires a new ID</x:v>
      </x:c>
      <x:c r="T53" t="str">
        <x:v>../Project Recherche Data/tpa-batch03-20260908/J1530-5327/run01/result.json</x:v>
      </x:c>
      <x:c r="U53" t="str">
        <x:v>b5ba8ecb7397876e238fdb95a7e3c8fafc56968f17495baf96020b0393235956</x:v>
      </x:c>
      <x:c r="V53" t="str">
        <x:v>observed=bbb61b3a51f8adb0ebf81f3f4424ef0c168372be6d7ea173836c5101a322fef8; calibration=f9314fc6cf5ef6b42e1fad6d6ee699b0a4847643167286004f8720a829324436</x:v>
      </x:c>
    </x:row>
    <x:row r="54" ht="15" hidden="0" customHeight="1">
      <x:c r="A54" t="str">
        <x:v>tpa-batch03-20260908-J0901-4624-run01</x:v>
      </x:c>
      <x:c r="B54" t="str">
        <x:v>J0901-4624</x:v>
      </x:c>
      <x:c r="C54" t="str">
        <x:v>TPA DR1; original circular search</x:v>
      </x:c>
      <x:c r="D54" t="str">
        <x:v>NO_TRIGGER</x:v>
      </x:c>
      <x:c r="E54" s="23" t="n">
        <x:v>38.477355389410995</x:v>
      </x:c>
      <x:c r="F54" t="str">
        <x:v>Strongest eligible grid peak; candidate status is separate</x:v>
      </x:c>
      <x:c r="G54" s="24" t="n">
        <x:v>70.55840794859104</x:v>
      </x:c>
      <x:c r="H54" s="24" t="n">
        <x:v>7.364720338107629</x:v>
      </x:c>
      <x:c r="I54" s="24" t="n">
        <x:v>26.120975947372482</x:v>
      </x:c>
      <x:c r="J54" s="25" t="n">
        <x:v>420</x:v>
      </x:c>
      <x:c r="K54" s="25" t="n">
        <x:v>53</x:v>
      </x:c>
      <x:c r="L54" s="24" t="n">
        <x:v>30</x:v>
      </x:c>
      <x:c r="M54" s="24" t="n">
        <x:v>400</x:v>
      </x:c>
      <x:c r="N54" s="25" t="n">
        <x:v>188</x:v>
      </x:c>
      <x:c r="O54" s="25" t="n">
        <x:v>4</x:v>
      </x:c>
      <x:c r="P54" s="24" t="n">
        <x:v>185.07232038910308</x:v>
      </x:c>
      <x:c r="Q5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4"/>
      <x:c r="S54" t="str">
        <x:v>Preserve consumed record; new data/scope requires a new ID</x:v>
      </x:c>
      <x:c r="T54" t="str">
        <x:v>../Project Recherche Data/tpa-batch03-20260908/J0901-4624/run01/result.json</x:v>
      </x:c>
      <x:c r="U54" t="str">
        <x:v>abc2476fe4c5f8b34ddb12572ba11d0573b31f5a1d8c838e3a52d6d1e8b27f43</x:v>
      </x:c>
      <x:c r="V54" t="str">
        <x:v>observed=75e55db69d5026bf0254f45ad779b27c38718a76f0a080ba30a6e32b6ab3b56d; calibration=af701136ceb7cee342afe0ba9356fc3d75c08a626361d38bf16ba57d0e8a78c4</x:v>
      </x:c>
    </x:row>
    <x:row r="55" ht="15" hidden="0" customHeight="1">
      <x:c r="A55" t="str">
        <x:v>tpa-batch03-20260908-J1910+0728-run01</x:v>
      </x:c>
      <x:c r="B55" t="str">
        <x:v>J1910+0728</x:v>
      </x:c>
      <x:c r="C55" t="str">
        <x:v>TPA DR1; original circular search</x:v>
      </x:c>
      <x:c r="D55" t="str">
        <x:v>NO_TRIGGER</x:v>
      </x:c>
      <x:c r="E55" s="23" t="n">
        <x:v>69.22778829867204</x:v>
      </x:c>
      <x:c r="F55" t="str">
        <x:v>Strongest eligible grid peak; candidate status is separate</x:v>
      </x:c>
      <x:c r="G55" s="24" t="n">
        <x:v>85.36848890856753</x:v>
      </x:c>
      <x:c r="H55" s="24" t="n">
        <x:v>7.389146095818886</x:v>
      </x:c>
      <x:c r="I55" s="24" t="n">
        <x:v>26.224626083101654</x:v>
      </x:c>
      <x:c r="J55" s="25" t="n">
        <x:v>432</x:v>
      </x:c>
      <x:c r="K55" s="25" t="n">
        <x:v>54</x:v>
      </x:c>
      <x:c r="L55" s="24" t="n">
        <x:v>30</x:v>
      </x:c>
      <x:c r="M55" s="24" t="n">
        <x:v>400</x:v>
      </x:c>
      <x:c r="N55" s="25" t="n">
        <x:v>198</x:v>
      </x:c>
      <x:c r="O55" s="25" t="n">
        <x:v>4</x:v>
      </x:c>
      <x:c r="P55" s="24" t="n">
        <x:v>209.54515472261878</x:v>
      </x:c>
      <x:c r="Q5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5"/>
      <x:c r="S55" t="str">
        <x:v>Preserve consumed record; new data/scope requires a new ID</x:v>
      </x:c>
      <x:c r="T55" t="str">
        <x:v>../Project Recherche Data/tpa-batch03-20260908/J1910+0728/run01/result.json</x:v>
      </x:c>
      <x:c r="U55" t="str">
        <x:v>2a8629d18eed1b41812a1abcebc7570b3856f387e211a7534c12fe7ba706c1d0</x:v>
      </x:c>
      <x:c r="V55" t="str">
        <x:v>observed=b5f461e451785bb32cb6a50f9a92ee961e5b61d47cf2cadca54174dd4a73c716; calibration=5fe51dfefe5f9d3b45e0b3a332896e766317f1ca445c30d1272fa28e7f1f7d6f</x:v>
      </x:c>
    </x:row>
    <x:row r="56" ht="15" hidden="0" customHeight="1">
      <x:c r="A56" t="str">
        <x:v>tpa-batch03-20260908-J1326-6408-run01</x:v>
      </x:c>
      <x:c r="B56" t="str">
        <x:v>J1326-6408</x:v>
      </x:c>
      <x:c r="C56" t="str">
        <x:v>TPA DR1; original circular search</x:v>
      </x:c>
      <x:c r="D56" t="str">
        <x:v>NO_TRIGGER</x:v>
      </x:c>
      <x:c r="E56" s="23" t="n">
        <x:v>30.15355575593176</x:v>
      </x:c>
      <x:c r="F56" t="str">
        <x:v>Strongest eligible grid peak; candidate status is separate</x:v>
      </x:c>
      <x:c r="G56" s="24" t="n">
        <x:v>104.40183267092833</x:v>
      </x:c>
      <x:c r="H56" s="24" t="n">
        <x:v>12.83041327738194</x:v>
      </x:c>
      <x:c r="I56" s="24" t="n">
        <x:v>26.204321340173617</x:v>
      </x:c>
      <x:c r="J56" s="25" t="n">
        <x:v>416</x:v>
      </x:c>
      <x:c r="K56" s="25" t="n">
        <x:v>52</x:v>
      </x:c>
      <x:c r="L56" s="24" t="n">
        <x:v>30</x:v>
      </x:c>
      <x:c r="M56" s="24" t="n">
        <x:v>400</x:v>
      </x:c>
      <x:c r="N56" s="25" t="n">
        <x:v>196</x:v>
      </x:c>
      <x:c r="O56" s="25" t="n">
        <x:v>4</x:v>
      </x:c>
      <x:c r="P56" s="24" t="n">
        <x:v>165.29478223174308</x:v>
      </x:c>
      <x:c r="Q5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6"/>
      <x:c r="S56" t="str">
        <x:v>Preserve consumed record; new data/scope requires a new ID</x:v>
      </x:c>
      <x:c r="T56" t="str">
        <x:v>../Project Recherche Data/tpa-batch03-20260908/J1326-6408/run01/result.json</x:v>
      </x:c>
      <x:c r="U56" t="str">
        <x:v>4362d4df6af52f3b72efc2d78535e6cda74f3413a64e359ed3b82af7e0252166</x:v>
      </x:c>
      <x:c r="V56" t="str">
        <x:v>observed=f67376402d9be21fbb10b3f7a6095eeb5249eebfe8cc5b1a7c8079c8db23c0ca; calibration=7963f0d24818cc5fa8b3a892210934d0b48b4ee2cbcd519ab83ab6b106875520</x:v>
      </x:c>
    </x:row>
    <x:row r="57" ht="15" hidden="0" customHeight="1">
      <x:c r="A57" t="str">
        <x:v>tpa-batch03-20260908-J1121-5444-run01</x:v>
      </x:c>
      <x:c r="B57" t="str">
        <x:v>J1121-5444</x:v>
      </x:c>
      <x:c r="C57" t="str">
        <x:v>TPA DR1; original circular search</x:v>
      </x:c>
      <x:c r="D57" t="str">
        <x:v>NO_TRIGGER</x:v>
      </x:c>
      <x:c r="E57" s="23" t="n">
        <x:v>58.07267332724481</x:v>
      </x:c>
      <x:c r="F57" t="str">
        <x:v>Strongest eligible grid peak; candidate status is separate</x:v>
      </x:c>
      <x:c r="G57" s="24" t="n">
        <x:v>64.005286597331</x:v>
      </x:c>
      <x:c r="H57" s="24" t="n">
        <x:v>7.265586586928393</x:v>
      </x:c>
      <x:c r="I57" s="24" t="n">
        <x:v>26.244726754808656</x:v>
      </x:c>
      <x:c r="J57" s="25" t="n">
        <x:v>416</x:v>
      </x:c>
      <x:c r="K57" s="25" t="n">
        <x:v>52</x:v>
      </x:c>
      <x:c r="L57" s="24" t="n">
        <x:v>30</x:v>
      </x:c>
      <x:c r="M57" s="24" t="n">
        <x:v>400</x:v>
      </x:c>
      <x:c r="N57" s="25" t="n">
        <x:v>200</x:v>
      </x:c>
      <x:c r="O57" s="25" t="n">
        <x:v>7</x:v>
      </x:c>
      <x:c r="P57" s="24" t="n">
        <x:v>178.71651100402875</x:v>
      </x:c>
      <x:c r="Q5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7"/>
      <x:c r="S57" t="str">
        <x:v>Preserve consumed record; new data/scope requires a new ID</x:v>
      </x:c>
      <x:c r="T57" t="str">
        <x:v>../Project Recherche Data/tpa-batch03-20260908/J1121-5444/run01/result.json</x:v>
      </x:c>
      <x:c r="U57" t="str">
        <x:v>e0dbc80fc340a0e920e64ba77df9ed66658bce4118b18553c307f47fe3cd0fed</x:v>
      </x:c>
      <x:c r="V57" t="str">
        <x:v>observed=1b87ae0e65bedffa146ad02b18b1ee82c7dcb26df188a7421a5893492b679243; calibration=c5d430f19a137ae1ae0a4b563257479f16ba7d179c1c45a8522a4e285228f2b2</x:v>
      </x:c>
    </x:row>
    <x:row r="58" ht="15" hidden="0" customHeight="1">
      <x:c r="A58" t="str">
        <x:v>tpa-batch03-20260908-J1542-5034-run01</x:v>
      </x:c>
      <x:c r="B58" t="str">
        <x:v>J1542-5034</x:v>
      </x:c>
      <x:c r="C58" t="str">
        <x:v>TPA DR1; original circular search</x:v>
      </x:c>
      <x:c r="D58" t="str">
        <x:v>NO_TRIGGER</x:v>
      </x:c>
      <x:c r="E58" s="23" t="n">
        <x:v>65.83141813390984</x:v>
      </x:c>
      <x:c r="F58" t="str">
        <x:v>Strongest eligible grid peak; candidate status is separate</x:v>
      </x:c>
      <x:c r="G58" s="24" t="n">
        <x:v>82.96899657279687</x:v>
      </x:c>
      <x:c r="H58" s="24" t="n">
        <x:v>7.214375285452881</x:v>
      </x:c>
      <x:c r="I58" s="24" t="n">
        <x:v>26.480292826121424</x:v>
      </x:c>
      <x:c r="J58" s="25" t="n">
        <x:v>448</x:v>
      </x:c>
      <x:c r="K58" s="25" t="n">
        <x:v>56</x:v>
      </x:c>
      <x:c r="L58" s="24" t="n">
        <x:v>30</x:v>
      </x:c>
      <x:c r="M58" s="24" t="n">
        <x:v>400</x:v>
      </x:c>
      <x:c r="N58" s="25" t="n">
        <x:v>225</x:v>
      </x:c>
      <x:c r="O58" s="25" t="n">
        <x:v>5</x:v>
      </x:c>
      <x:c r="P58" s="24" t="n">
        <x:v>241.14466443849787</x:v>
      </x:c>
      <x:c r="Q5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8"/>
      <x:c r="S58" t="str">
        <x:v>Preserve consumed record; new data/scope requires a new ID</x:v>
      </x:c>
      <x:c r="T58" t="str">
        <x:v>../Project Recherche Data/tpa-batch03-20260908/J1542-5034/run01/result.json</x:v>
      </x:c>
      <x:c r="U58" t="str">
        <x:v>e739f401d6503dd39404b717cb72902bfd793a326145398d9da205e193fbca57</x:v>
      </x:c>
      <x:c r="V58" t="str">
        <x:v>observed=04360bb2f20cf059d91cc549903db3f29d548340e72bf6c3e4ec13cabf327172; calibration=7c649499e97bf7d11d5c3df4dad7eded0bcb6842d902edd108f7ec4f0ea36b9d</x:v>
      </x:c>
    </x:row>
    <x:row r="59" ht="15" hidden="0" customHeight="1">
      <x:c r="A59" t="str">
        <x:v>tpa-batch03-20260908-J1658-4958-run01</x:v>
      </x:c>
      <x:c r="B59" t="str">
        <x:v>J1658-4958</x:v>
      </x:c>
      <x:c r="C59" t="str">
        <x:v>TPA DR1; original circular search</x:v>
      </x:c>
      <x:c r="D59" t="str">
        <x:v>NO_TRIGGER</x:v>
      </x:c>
      <x:c r="E59" s="23" t="n">
        <x:v>60.22977029018259</x:v>
      </x:c>
      <x:c r="F59" t="str">
        <x:v>Strongest eligible grid peak; candidate status is separate</x:v>
      </x:c>
      <x:c r="G59" s="24" t="n">
        <x:v>104.47122913792231</x:v>
      </x:c>
      <x:c r="H59" s="24" t="n">
        <x:v>7.424992600227109</x:v>
      </x:c>
      <x:c r="I59" s="24" t="n">
        <x:v>26.244726754808656</x:v>
      </x:c>
      <x:c r="J59" s="25" t="n">
        <x:v>432</x:v>
      </x:c>
      <x:c r="K59" s="25" t="n">
        <x:v>54</x:v>
      </x:c>
      <x:c r="L59" s="24" t="n">
        <x:v>30</x:v>
      </x:c>
      <x:c r="M59" s="24" t="n">
        <x:v>400</x:v>
      </x:c>
      <x:c r="N59" s="25" t="n">
        <x:v>200</x:v>
      </x:c>
      <x:c r="O59" s="25" t="n">
        <x:v>4</x:v>
      </x:c>
      <x:c r="P59" s="24" t="n">
        <x:v>221.10545607736506</x:v>
      </x:c>
      <x:c r="Q5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59"/>
      <x:c r="S59" t="str">
        <x:v>Preserve consumed record; new data/scope requires a new ID</x:v>
      </x:c>
      <x:c r="T59" t="str">
        <x:v>../Project Recherche Data/tpa-batch03-20260908/J1658-4958/run01/result.json</x:v>
      </x:c>
      <x:c r="U59" t="str">
        <x:v>50d419c907088ef40fef01b6c1d346152884f250762d9c67777a4a4a3af80a40</x:v>
      </x:c>
      <x:c r="V59" t="str">
        <x:v>observed=5a03965a955a0303ece5cad8f0e8ae1cddf9a64ef6d8ebe8eda187be19373a51; calibration=a0f2b6365720717499c984822dad48e1b709c5a9dbf8cf2c750a02bf1002eb95</x:v>
      </x:c>
    </x:row>
    <x:row r="60" ht="15" hidden="0" customHeight="1">
      <x:c r="A60" t="str">
        <x:v>tpa-batch03-20260908-J1507-4352-run01</x:v>
      </x:c>
      <x:c r="B60" t="str">
        <x:v>J1507-4352</x:v>
      </x:c>
      <x:c r="C60" t="str">
        <x:v>TPA DR1; original circular search</x:v>
      </x:c>
      <x:c r="D60" t="str">
        <x:v>NO_TRIGGER</x:v>
      </x:c>
      <x:c r="E60" s="23" t="n">
        <x:v>34.66722393050731</x:v>
      </x:c>
      <x:c r="F60" t="str">
        <x:v>Strongest eligible grid peak; candidate status is separate</x:v>
      </x:c>
      <x:c r="G60" s="24" t="n">
        <x:v>63.497308914223474</x:v>
      </x:c>
      <x:c r="H60" s="24" t="n">
        <x:v>7.664224111948657</x:v>
      </x:c>
      <x:c r="I60" s="24" t="n">
        <x:v>26.244726754808656</x:v>
      </x:c>
      <x:c r="J60" s="25" t="n">
        <x:v>418</x:v>
      </x:c>
      <x:c r="K60" s="25" t="n">
        <x:v>54</x:v>
      </x:c>
      <x:c r="L60" s="24" t="n">
        <x:v>30</x:v>
      </x:c>
      <x:c r="M60" s="24" t="n">
        <x:v>400</x:v>
      </x:c>
      <x:c r="N60" s="25" t="n">
        <x:v>200</x:v>
      </x:c>
      <x:c r="O60" s="25" t="n">
        <x:v>4</x:v>
      </x:c>
      <x:c r="P60" s="24" t="n">
        <x:v>165.82076717391038</x:v>
      </x:c>
      <x:c r="Q6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0"/>
      <x:c r="S60" t="str">
        <x:v>Preserve consumed record; new data/scope requires a new ID</x:v>
      </x:c>
      <x:c r="T60" t="str">
        <x:v>../Project Recherche Data/tpa-batch03-20260908/J1507-4352/run01/result.json</x:v>
      </x:c>
      <x:c r="U60" t="str">
        <x:v>c27cf8847c8365639e399df72b177c9337e1d7604ae08252fbd5b6bd1ec912dd</x:v>
      </x:c>
      <x:c r="V60" t="str">
        <x:v>observed=5f7231f760187d69d508cef2b5159624918264516fdf68a2c37fdcc3a34dd674; calibration=dba8211360e6ccba795b0d2279546321d47d418a965d1a82bef29979833b2d86</x:v>
      </x:c>
    </x:row>
    <x:row r="61" ht="15" hidden="0" customHeight="1">
      <x:c r="A61" t="str">
        <x:v>tpa-batch04-20260908-J1922+1733-run01</x:v>
      </x:c>
      <x:c r="B61" t="str">
        <x:v>J1922+1733</x:v>
      </x:c>
      <x:c r="C61" t="str">
        <x:v>TPA DR1; original circular search</x:v>
      </x:c>
      <x:c r="D61" t="str">
        <x:v>NO_TRIGGER</x:v>
      </x:c>
      <x:c r="E61" s="23" t="n">
        <x:v>39.79066468529612</x:v>
      </x:c>
      <x:c r="F61" t="str">
        <x:v>Strongest eligible grid peak; candidate status is separate</x:v>
      </x:c>
      <x:c r="G61" s="24" t="n">
        <x:v>91.49980317334787</x:v>
      </x:c>
      <x:c r="H61" s="24" t="n">
        <x:v>8.19125612961984</x:v>
      </x:c>
      <x:c r="I61" s="24" t="n">
        <x:v>26.224626083101654</x:v>
      </x:c>
      <x:c r="J61" s="25" t="n">
        <x:v>424</x:v>
      </x:c>
      <x:c r="K61" s="25" t="n">
        <x:v>53</x:v>
      </x:c>
      <x:c r="L61" s="24" t="n">
        <x:v>30</x:v>
      </x:c>
      <x:c r="M61" s="24" t="n">
        <x:v>400</x:v>
      </x:c>
      <x:c r="N61" s="25" t="n">
        <x:v>198</x:v>
      </x:c>
      <x:c r="O61" s="25" t="n">
        <x:v>4</x:v>
      </x:c>
      <x:c r="P61" s="24" t="n">
        <x:v>230.2622640813386</x:v>
      </x:c>
      <x:c r="Q6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1"/>
      <x:c r="S61" t="str">
        <x:v>Preserve consumed record; new data/scope requires a new ID</x:v>
      </x:c>
      <x:c r="T61" t="str">
        <x:v>../Project Recherche Data/tpa-batch04-20260908/J1922+1733/run01/result.json</x:v>
      </x:c>
      <x:c r="U61" t="str">
        <x:v>89e173abe26f0167499d93be207ed62d083d977b75ed4988a7d8619b47a9129a</x:v>
      </x:c>
      <x:c r="V61" t="str">
        <x:v>observed=eaefce2af5628fc4d81573c7b64e8e7744e5daf5d30b6d29500c09e2ac00825e; calibration=607d772e8147947123f9007df5f6dc87ea7d7b0615e06a8701591e1b34a36f76</x:v>
      </x:c>
    </x:row>
    <x:row r="62" ht="15" hidden="0" customHeight="1">
      <x:c r="A62" t="str">
        <x:v>tpa-batch04-20260908-J0954-5430-run01</x:v>
      </x:c>
      <x:c r="B62" t="str">
        <x:v>J0954-5430</x:v>
      </x:c>
      <x:c r="C62" t="str">
        <x:v>TPA DR1; original circular search</x:v>
      </x:c>
      <x:c r="D62" t="str">
        <x:v>NO_TRIGGER</x:v>
      </x:c>
      <x:c r="E62" s="23" t="n">
        <x:v>50.32986304447196</x:v>
      </x:c>
      <x:c r="F62" t="str">
        <x:v>Strongest eligible grid peak; candidate status is separate</x:v>
      </x:c>
      <x:c r="G62" s="24" t="n">
        <x:v>97.60448451793106</x:v>
      </x:c>
      <x:c r="H62" s="24" t="n">
        <x:v>9.632808325096358</x:v>
      </x:c>
      <x:c r="I62" s="24" t="n">
        <x:v>26.120975947372482</x:v>
      </x:c>
      <x:c r="J62" s="25" t="n">
        <x:v>396</x:v>
      </x:c>
      <x:c r="K62" s="25" t="n">
        <x:v>51</x:v>
      </x:c>
      <x:c r="L62" s="24" t="n">
        <x:v>30</x:v>
      </x:c>
      <x:c r="M62" s="24" t="n">
        <x:v>400</x:v>
      </x:c>
      <x:c r="N62" s="25" t="n">
        <x:v>188</x:v>
      </x:c>
      <x:c r="O62" s="25" t="n">
        <x:v>4</x:v>
      </x:c>
      <x:c r="P62" s="24" t="n">
        <x:v>238.26693553741256</x:v>
      </x:c>
      <x:c r="Q6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2"/>
      <x:c r="S62" t="str">
        <x:v>Preserve consumed record; new data/scope requires a new ID</x:v>
      </x:c>
      <x:c r="T62" t="str">
        <x:v>../Project Recherche Data/tpa-batch04-20260908/J0954-5430/run01/result.json</x:v>
      </x:c>
      <x:c r="U62" t="str">
        <x:v>99171425492b42cef9f032e04bef99964a32c29881eeaa96acae6fb87cd23c18</x:v>
      </x:c>
      <x:c r="V62" t="str">
        <x:v>observed=2021cb27ca977ff27df2c3670d810fc9b87e383fa052d954197cfbea68abe23d; calibration=79d8c00a6ad17c12e5f30b7d30907aafc951d25c7e12d7b7af462eb1eb9e34b0</x:v>
      </x:c>
    </x:row>
    <x:row r="63" ht="15" hidden="0" customHeight="1">
      <x:c r="A63" t="str">
        <x:v>tpa-batch04-20260908-J0842-4851-run01</x:v>
      </x:c>
      <x:c r="B63" t="str">
        <x:v>J0842-4851</x:v>
      </x:c>
      <x:c r="C63" t="str">
        <x:v>TPA DR1; original circular search</x:v>
      </x:c>
      <x:c r="D63" t="str">
        <x:v>NO_TRIGGER</x:v>
      </x:c>
      <x:c r="E63" s="23" t="n">
        <x:v>32.71624323782591</x:v>
      </x:c>
      <x:c r="F63" t="str">
        <x:v>Strongest eligible grid peak; candidate status is separate</x:v>
      </x:c>
      <x:c r="G63" s="24" t="n">
        <x:v>130.90317156206766</x:v>
      </x:c>
      <x:c r="H63" s="24" t="n">
        <x:v>9.162305868615526</x:v>
      </x:c>
      <x:c r="I63" s="24" t="n">
        <x:v>26.173472399522357</x:v>
      </x:c>
      <x:c r="J63" s="25" t="n">
        <x:v>398</x:v>
      </x:c>
      <x:c r="K63" s="25" t="n">
        <x:v>52</x:v>
      </x:c>
      <x:c r="L63" s="24" t="n">
        <x:v>30</x:v>
      </x:c>
      <x:c r="M63" s="24" t="n">
        <x:v>400</x:v>
      </x:c>
      <x:c r="N63" s="25" t="n">
        <x:v>193</x:v>
      </x:c>
      <x:c r="O63" s="25" t="n">
        <x:v>4</x:v>
      </x:c>
      <x:c r="P63" s="24" t="n">
        <x:v>243.7267844074457</x:v>
      </x:c>
      <x:c r="Q6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3"/>
      <x:c r="S63" t="str">
        <x:v>Preserve consumed record; new data/scope requires a new ID</x:v>
      </x:c>
      <x:c r="T63" t="str">
        <x:v>../Project Recherche Data/tpa-batch04-20260908/J0842-4851/run01/result.json</x:v>
      </x:c>
      <x:c r="U63" t="str">
        <x:v>b0d82a67197f5628a7bf2b50d9341d89022bc93e12085234dbc10b6ef75fafb7</x:v>
      </x:c>
      <x:c r="V63" t="str">
        <x:v>observed=5bbfbd742342ccac5fd3b550528d6f5bb4f89dec8d7cd134eb3d45e4696af67a; calibration=52863508bd30d7d2c6e54041cfb7e5e2f4b9e1851367d7d43f7e678c72380799</x:v>
      </x:c>
    </x:row>
    <x:row r="64" ht="15" hidden="0" customHeight="1">
      <x:c r="A64" t="str">
        <x:v>tpa-batch04-20260908-J1733-3716-run01</x:v>
      </x:c>
      <x:c r="B64" t="str">
        <x:v>J1733-3716</x:v>
      </x:c>
      <x:c r="C64" t="str">
        <x:v>TPA DR1; original circular search</x:v>
      </x:c>
      <x:c r="D64" t="str">
        <x:v>NO_TRIGGER</x:v>
      </x:c>
      <x:c r="E64" s="23" t="n">
        <x:v>47.437621382740595</x:v>
      </x:c>
      <x:c r="F64" t="str">
        <x:v>Strongest eligible grid peak; candidate status is separate</x:v>
      </x:c>
      <x:c r="G64" s="24" t="n">
        <x:v>107.18141962528505</x:v>
      </x:c>
      <x:c r="H64" s="24" t="n">
        <x:v>11.738964689087215</x:v>
      </x:c>
      <x:c r="I64" s="24" t="n">
        <x:v>26.204321340173617</x:v>
      </x:c>
      <x:c r="J64" s="25" t="n">
        <x:v>408</x:v>
      </x:c>
      <x:c r="K64" s="25" t="n">
        <x:v>51</x:v>
      </x:c>
      <x:c r="L64" s="24" t="n">
        <x:v>30</x:v>
      </x:c>
      <x:c r="M64" s="24" t="n">
        <x:v>400</x:v>
      </x:c>
      <x:c r="N64" s="25" t="n">
        <x:v>196</x:v>
      </x:c>
      <x:c r="O64" s="25" t="n">
        <x:v>4</x:v>
      </x:c>
      <x:c r="P64" s="24" t="n">
        <x:v>238.21763852357176</x:v>
      </x:c>
      <x:c r="Q6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4"/>
      <x:c r="S64" t="str">
        <x:v>Preserve consumed record; new data/scope requires a new ID</x:v>
      </x:c>
      <x:c r="T64" t="str">
        <x:v>../Project Recherche Data/tpa-batch04-20260908/J1733-3716/run01/result.json</x:v>
      </x:c>
      <x:c r="U64" t="str">
        <x:v>baf62fcb41c2159d7a36e60732b641046cfa7c9ac208b36cb115bf8becfb0667</x:v>
      </x:c>
      <x:c r="V64" t="str">
        <x:v>observed=aa69a17da33a19640c77bcb3e5061cfb59ef5bb7d75c5fabc0a8b6045436c419; calibration=eae220e0f59151ab83fc531ad995658bf34386eeaa3b7a253674f21fc1567e5f</x:v>
      </x:c>
    </x:row>
    <x:row r="65" ht="15" hidden="0" customHeight="1">
      <x:c r="A65" t="str">
        <x:v>tpa-batch04-20260908-J1117-6154-run01</x:v>
      </x:c>
      <x:c r="B65" t="str">
        <x:v>J1117-6154</x:v>
      </x:c>
      <x:c r="C65" t="str">
        <x:v>TPA DR1; original circular search</x:v>
      </x:c>
      <x:c r="D65" t="str">
        <x:v>NO_TRIGGER</x:v>
      </x:c>
      <x:c r="E65" s="23" t="n">
        <x:v>31.441695168867458</x:v>
      </x:c>
      <x:c r="F65" t="str">
        <x:v>Strongest eligible grid peak; candidate status is separate</x:v>
      </x:c>
      <x:c r="G65" s="24" t="n">
        <x:v>132.59680470876515</x:v>
      </x:c>
      <x:c r="H65" s="24" t="n">
        <x:v>9.08760410036287</x:v>
      </x:c>
      <x:c r="I65" s="24" t="n">
        <x:v>26.131586051831867</x:v>
      </x:c>
      <x:c r="J65" s="25" t="n">
        <x:v>416</x:v>
      </x:c>
      <x:c r="K65" s="25" t="n">
        <x:v>52</x:v>
      </x:c>
      <x:c r="L65" s="24" t="n">
        <x:v>30</x:v>
      </x:c>
      <x:c r="M65" s="24" t="n">
        <x:v>400</x:v>
      </x:c>
      <x:c r="N65" s="25" t="n">
        <x:v>189</x:v>
      </x:c>
      <x:c r="O65" s="25" t="n">
        <x:v>11</x:v>
      </x:c>
      <x:c r="P65" s="24" t="n">
        <x:v>207.04650422792167</x:v>
      </x:c>
      <x:c r="Q6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5"/>
      <x:c r="S65" t="str">
        <x:v>Preserve consumed record; new data/scope requires a new ID</x:v>
      </x:c>
      <x:c r="T65" t="str">
        <x:v>../Project Recherche Data/tpa-batch04-20260908/J1117-6154/run01/result.json</x:v>
      </x:c>
      <x:c r="U65" t="str">
        <x:v>ca5f908d7179aa82e817d10198d5e17d181a4f7eb8cdbbde40bf08b7474019a3</x:v>
      </x:c>
      <x:c r="V65" t="str">
        <x:v>observed=ee555b8c3969207eaf7ecd08ca3f284814b4d8288ba7338aee1549b9c9d29054; calibration=1b2b8c64823abdf87f987250ee0687c20949d08e89069f9a1fd71346d56205af</x:v>
      </x:c>
    </x:row>
    <x:row r="66" ht="15" hidden="0" customHeight="1">
      <x:c r="A66" t="str">
        <x:v>tpa-batch04-20260908-J1843-0000-run01</x:v>
      </x:c>
      <x:c r="B66" t="str">
        <x:v>J1843-0000</x:v>
      </x:c>
      <x:c r="C66" t="str">
        <x:v>TPA DR1; original circular search</x:v>
      </x:c>
      <x:c r="D66" t="str">
        <x:v>NO_TRIGGER</x:v>
      </x:c>
      <x:c r="E66" s="23" t="n">
        <x:v>220.70669032466168</x:v>
      </x:c>
      <x:c r="F66" t="str">
        <x:v>Strongest eligible grid peak; candidate status is separate</x:v>
      </x:c>
      <x:c r="G66" s="24" t="n">
        <x:v>169.08355649184065</x:v>
      </x:c>
      <x:c r="H66" s="24" t="n">
        <x:v>6.2626242274152295</x:v>
      </x:c>
      <x:c r="I66" s="24" t="n">
        <x:v>26.23470167116157</x:v>
      </x:c>
      <x:c r="J66" s="25" t="n">
        <x:v>432</x:v>
      </x:c>
      <x:c r="K66" s="25" t="n">
        <x:v>54</x:v>
      </x:c>
      <x:c r="L66" s="24" t="n">
        <x:v>30</x:v>
      </x:c>
      <x:c r="M66" s="24" t="n">
        <x:v>400</x:v>
      </x:c>
      <x:c r="N66" s="25" t="n">
        <x:v>199</x:v>
      </x:c>
      <x:c r="O66" s="25" t="n">
        <x:v>4</x:v>
      </x:c>
      <x:c r="P66" s="24" t="n">
        <x:v>274.5972861737045</x:v>
      </x:c>
      <x:c r="Q6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6"/>
      <x:c r="S66" t="str">
        <x:v>Preserve consumed record; new data/scope requires a new ID</x:v>
      </x:c>
      <x:c r="T66" t="str">
        <x:v>../Project Recherche Data/tpa-batch04-20260908/J1843-0000/run01/result.json</x:v>
      </x:c>
      <x:c r="U66" t="str">
        <x:v>950292550b33cd175efab40a076a3024088317c186786750029041decc9a0976</x:v>
      </x:c>
      <x:c r="V66" t="str">
        <x:v>observed=654a0aa31be28e3d03b85c56e8d24eb4ca93d4a7ece93a4e358fe929110db45e; calibration=633ff855f11b4ec8c5c4abed016ce8b711b69d99e225ba201b83e1fb11bc3cb4</x:v>
      </x:c>
    </x:row>
    <x:row r="67" ht="15" hidden="0" customHeight="1">
      <x:c r="A67" t="str">
        <x:v>tpa-batch04-20260908-J1012-5857-run01</x:v>
      </x:c>
      <x:c r="B67" t="str">
        <x:v>J1012-5857</x:v>
      </x:c>
      <x:c r="C67" t="str">
        <x:v>TPA DR1; original circular search</x:v>
      </x:c>
      <x:c r="D67" t="str">
        <x:v>NO_TRIGGER</x:v>
      </x:c>
      <x:c r="E67" s="23" t="n">
        <x:v>30.561424127320425</x:v>
      </x:c>
      <x:c r="F67" t="str">
        <x:v>Strongest eligible grid peak; candidate status is separate</x:v>
      </x:c>
      <x:c r="G67" s="24" t="n">
        <x:v>155.02412604524963</x:v>
      </x:c>
      <x:c r="H67" s="24" t="n">
        <x:v>8.721457973150342</x:v>
      </x:c>
      <x:c r="I67" s="24" t="n">
        <x:v>26.21449947918856</x:v>
      </x:c>
      <x:c r="J67" s="25" t="n">
        <x:v>400</x:v>
      </x:c>
      <x:c r="K67" s="25" t="n">
        <x:v>50</x:v>
      </x:c>
      <x:c r="L67" s="24" t="n">
        <x:v>30</x:v>
      </x:c>
      <x:c r="M67" s="24" t="n">
        <x:v>400</x:v>
      </x:c>
      <x:c r="N67" s="25" t="n">
        <x:v>197</x:v>
      </x:c>
      <x:c r="O67" s="25" t="n">
        <x:v>4</x:v>
      </x:c>
      <x:c r="P67" s="24" t="n">
        <x:v>264.8084183690465</x:v>
      </x:c>
      <x:c r="Q6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7"/>
      <x:c r="S67" t="str">
        <x:v>Preserve consumed record; new data/scope requires a new ID</x:v>
      </x:c>
      <x:c r="T67" t="str">
        <x:v>../Project Recherche Data/tpa-batch04-20260908/J1012-5857/run01/result.json</x:v>
      </x:c>
      <x:c r="U67" t="str">
        <x:v>441230a38c560c955bed2494193d66c0105e5cd34c421a81e2b1b932de3368f0</x:v>
      </x:c>
      <x:c r="V67" t="str">
        <x:v>observed=215a857d2ae1fad225e0afa03ca23f62e3acc3e02cf86cccabe529b0efaa7fee; calibration=084e86fe78a3bb8e4771b2677645358be3f2b9981be13202e9e9f8df10dc9339</x:v>
      </x:c>
    </x:row>
    <x:row r="68" ht="15" hidden="0" customHeight="1">
      <x:c r="A68" t="str">
        <x:v>tpa-batch04-20260908-J1754-3443-run01</x:v>
      </x:c>
      <x:c r="B68" t="str">
        <x:v>J1754-3443</x:v>
      </x:c>
      <x:c r="C68" t="str">
        <x:v>TPA DR1; original circular search</x:v>
      </x:c>
      <x:c r="D68" t="str">
        <x:v>NO_TRIGGER</x:v>
      </x:c>
      <x:c r="E68" s="23" t="n">
        <x:v>64.22805209459715</x:v>
      </x:c>
      <x:c r="F68" t="str">
        <x:v>Strongest eligible grid peak; candidate status is separate</x:v>
      </x:c>
      <x:c r="G68" s="24" t="n">
        <x:v>114.29763371711155</x:v>
      </x:c>
      <x:c r="H68" s="24" t="n">
        <x:v>8.51944945919002</x:v>
      </x:c>
      <x:c r="I68" s="24" t="n">
        <x:v>26.44441742474809</x:v>
      </x:c>
      <x:c r="J68" s="25" t="n">
        <x:v>440</x:v>
      </x:c>
      <x:c r="K68" s="25" t="n">
        <x:v>55</x:v>
      </x:c>
      <x:c r="L68" s="24" t="n">
        <x:v>30</x:v>
      </x:c>
      <x:c r="M68" s="24" t="n">
        <x:v>400</x:v>
      </x:c>
      <x:c r="N68" s="25" t="n">
        <x:v>221</x:v>
      </x:c>
      <x:c r="O68" s="25" t="n">
        <x:v>4</x:v>
      </x:c>
      <x:c r="P68" s="24" t="n">
        <x:v>276.0862760981524</x:v>
      </x:c>
      <x:c r="Q6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8"/>
      <x:c r="S68" t="str">
        <x:v>Preserve consumed record; new data/scope requires a new ID</x:v>
      </x:c>
      <x:c r="T68" t="str">
        <x:v>../Project Recherche Data/tpa-batch04-20260908/J1754-3443/run01/result.json</x:v>
      </x:c>
      <x:c r="U68" t="str">
        <x:v>1de222741e55d5d56663e459a19a4c71cabea02d04e2c8cb7014a96b219932d6</x:v>
      </x:c>
      <x:c r="V68" t="str">
        <x:v>observed=b9335550dfd3dd25a9cd11fd287c39a3ab0b3e6bd7f3628b916c42e8f9c78bb5; calibration=f1c787f8b39d76baf590d714ae0d289ed18f43325f7a24c88a637de109a69c94</x:v>
      </x:c>
    </x:row>
    <x:row r="69" ht="15" hidden="0" customHeight="1">
      <x:c r="A69" t="str">
        <x:v>tpa-batch04-20260908-J0840-5332-run01</x:v>
      </x:c>
      <x:c r="B69" t="str">
        <x:v>J0840-5332</x:v>
      </x:c>
      <x:c r="C69" t="str">
        <x:v>TPA DR1; original circular search</x:v>
      </x:c>
      <x:c r="D69" t="str">
        <x:v>NO_TRIGGER</x:v>
      </x:c>
      <x:c r="E69" s="23" t="n">
        <x:v>75.80727663599711</x:v>
      </x:c>
      <x:c r="F69" t="str">
        <x:v>Strongest eligible grid peak; candidate status is separate</x:v>
      </x:c>
      <x:c r="G69" s="24" t="n">
        <x:v>140.56064032735824</x:v>
      </x:c>
      <x:c r="H69" s="24" t="n">
        <x:v>14.491129270261997</x:v>
      </x:c>
      <x:c r="I69" s="24" t="n">
        <x:v>26.244726754808656</x:v>
      </x:c>
      <x:c r="J69" s="25" t="n">
        <x:v>420</x:v>
      </x:c>
      <x:c r="K69" s="25" t="n">
        <x:v>53</x:v>
      </x:c>
      <x:c r="L69" s="24" t="n">
        <x:v>30</x:v>
      </x:c>
      <x:c r="M69" s="24" t="n">
        <x:v>400</x:v>
      </x:c>
      <x:c r="N69" s="25" t="n">
        <x:v>200</x:v>
      </x:c>
      <x:c r="O69" s="25" t="n">
        <x:v>4</x:v>
      </x:c>
      <x:c r="P69" s="24" t="n">
        <x:v>259.0896446886834</x:v>
      </x:c>
      <x:c r="Q6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69"/>
      <x:c r="S69" t="str">
        <x:v>Preserve consumed record; new data/scope requires a new ID</x:v>
      </x:c>
      <x:c r="T69" t="str">
        <x:v>../Project Recherche Data/tpa-batch04-20260908/J0840-5332/run01/result.json</x:v>
      </x:c>
      <x:c r="U69" t="str">
        <x:v>cf4747315e09b5d0bb770630287f6eeaf04fc5622c92ab2f71f221e40e0e524c</x:v>
      </x:c>
      <x:c r="V69" t="str">
        <x:v>observed=444e43593808027246c0285d3c6e952f341c1bf05f3e58ab3b448a088a5b8b44; calibration=539290356c1e871001911a397f5186bf4a358aa1a892f067e9cc21522694d269</x:v>
      </x:c>
    </x:row>
    <x:row r="70" ht="15" hidden="0" customHeight="1">
      <x:c r="A70" t="str">
        <x:v>tpa-batch04-20260908-J1535-5848-run01</x:v>
      </x:c>
      <x:c r="B70" t="str">
        <x:v>J1535-5848</x:v>
      </x:c>
      <x:c r="C70" t="str">
        <x:v>TPA DR1; original circular search</x:v>
      </x:c>
      <x:c r="D70" t="str">
        <x:v>NO_TRIGGER</x:v>
      </x:c>
      <x:c r="E70" s="23" t="n">
        <x:v>97.80373881421924</x:v>
      </x:c>
      <x:c r="F70" t="str">
        <x:v>Strongest eligible grid peak; candidate status is separate</x:v>
      </x:c>
      <x:c r="G70" s="24" t="n">
        <x:v>85.5071433232773</x:v>
      </x:c>
      <x:c r="H70" s="24" t="n">
        <x:v>6.119476474317625</x:v>
      </x:c>
      <x:c r="I70" s="24" t="n">
        <x:v>26.480292826121424</x:v>
      </x:c>
      <x:c r="J70" s="25" t="n">
        <x:v>450</x:v>
      </x:c>
      <x:c r="K70" s="25" t="n">
        <x:v>57</x:v>
      </x:c>
      <x:c r="L70" s="24" t="n">
        <x:v>30</x:v>
      </x:c>
      <x:c r="M70" s="24" t="n">
        <x:v>400</x:v>
      </x:c>
      <x:c r="N70" s="25" t="n">
        <x:v>225</x:v>
      </x:c>
      <x:c r="O70" s="25" t="n">
        <x:v>5</x:v>
      </x:c>
      <x:c r="P70" s="24" t="n">
        <x:v>276.54949330464615</x:v>
      </x:c>
      <x:c r="Q7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0"/>
      <x:c r="S70" t="str">
        <x:v>Preserve consumed record; new data/scope requires a new ID</x:v>
      </x:c>
      <x:c r="T70" t="str">
        <x:v>../Project Recherche Data/tpa-batch04-20260908/J1535-5848/run01/result.json</x:v>
      </x:c>
      <x:c r="U70" t="str">
        <x:v>7771996659ff78aa68718e405ef0e4f8b361c203b472bd9d35c9902c8658819c</x:v>
      </x:c>
      <x:c r="V70" t="str">
        <x:v>observed=da0ddc362e6651f5fd338d8d14179df63e2a24960a918f27c2de390975d406ec; calibration=2feaf561bed1294d979390e5eaea1060997545722521ec1343e6a1485e226e4e</x:v>
      </x:c>
    </x:row>
    <x:row r="71" ht="15" hidden="0" customHeight="1">
      <x:c r="A71" t="str">
        <x:v>tpa-batch04-20260908-J1759-3107-run01</x:v>
      </x:c>
      <x:c r="B71" t="str">
        <x:v>J1759-3107</x:v>
      </x:c>
      <x:c r="C71" t="str">
        <x:v>TPA DR1; original circular search</x:v>
      </x:c>
      <x:c r="D71" t="str">
        <x:v>NO_TRIGGER</x:v>
      </x:c>
      <x:c r="E71" s="23" t="n">
        <x:v>35.84976061003646</x:v>
      </x:c>
      <x:c r="F71" t="str">
        <x:v>Strongest eligible grid peak; candidate status is separate</x:v>
      </x:c>
      <x:c r="G71" s="24" t="n">
        <x:v>123.88031601446808</x:v>
      </x:c>
      <x:c r="H71" s="24" t="n">
        <x:v>8.289696211360399</x:v>
      </x:c>
      <x:c r="I71" s="24" t="n">
        <x:v>26.254701837830737</x:v>
      </x:c>
      <x:c r="J71" s="25" t="n">
        <x:v>424</x:v>
      </x:c>
      <x:c r="K71" s="25" t="n">
        <x:v>53</x:v>
      </x:c>
      <x:c r="L71" s="24" t="n">
        <x:v>30</x:v>
      </x:c>
      <x:c r="M71" s="24" t="n">
        <x:v>400</x:v>
      </x:c>
      <x:c r="N71" s="25" t="n">
        <x:v>201</x:v>
      </x:c>
      <x:c r="O71" s="25" t="n">
        <x:v>4</x:v>
      </x:c>
      <x:c r="P71" s="24" t="n">
        <x:v>286.95587056383863</x:v>
      </x:c>
      <x:c r="Q7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1"/>
      <x:c r="S71" t="str">
        <x:v>Preserve consumed record; new data/scope requires a new ID</x:v>
      </x:c>
      <x:c r="T71" t="str">
        <x:v>../Project Recherche Data/tpa-batch04-20260908/J1759-3107/run01/result.json</x:v>
      </x:c>
      <x:c r="U71" t="str">
        <x:v>6730af875d607d9c1f939a4e968d6fd83bd5db49c3620d2f3ba8bb24d1bfd727</x:v>
      </x:c>
      <x:c r="V71" t="str">
        <x:v>observed=bee783c519db98c587764770f0157dd8fef2b45633e4731424f564fa61b7a6e5; calibration=57bf5a6a384d0df8437830c95032dc5c0b00b0ad283ade2a78fd7c7c28455a0e</x:v>
      </x:c>
    </x:row>
    <x:row r="72" ht="15" hidden="0" customHeight="1">
      <x:c r="A72" t="str">
        <x:v>tpa-batch04-20260908-J1548-4927-run01</x:v>
      </x:c>
      <x:c r="B72" t="str">
        <x:v>J1548-4927</x:v>
      </x:c>
      <x:c r="C72" t="str">
        <x:v>TPA DR1; original circular search</x:v>
      </x:c>
      <x:c r="D72" t="str">
        <x:v>NO_TRIGGER</x:v>
      </x:c>
      <x:c r="E72" s="23" t="n">
        <x:v>32.54144241325827</x:v>
      </x:c>
      <x:c r="F72" t="str">
        <x:v>Strongest eligible grid peak; candidate status is separate</x:v>
      </x:c>
      <x:c r="G72" s="24" t="n">
        <x:v>147.36997180668337</x:v>
      </x:c>
      <x:c r="H72" s="24" t="n">
        <x:v>10.373850092824561</x:v>
      </x:c>
      <x:c r="I72" s="24" t="n">
        <x:v>26.36126457105661</x:v>
      </x:c>
      <x:c r="J72" s="25" t="n">
        <x:v>456</x:v>
      </x:c>
      <x:c r="K72" s="25" t="n">
        <x:v>57</x:v>
      </x:c>
      <x:c r="L72" s="24" t="n">
        <x:v>30</x:v>
      </x:c>
      <x:c r="M72" s="24" t="n">
        <x:v>400</x:v>
      </x:c>
      <x:c r="N72" s="25" t="n">
        <x:v>212</x:v>
      </x:c>
      <x:c r="O72" s="25" t="n">
        <x:v>4</x:v>
      </x:c>
      <x:c r="P72" s="24" t="n">
        <x:v>282.801771914152</x:v>
      </x:c>
      <x:c r="Q7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2"/>
      <x:c r="S72" t="str">
        <x:v>Preserve consumed record; new data/scope requires a new ID</x:v>
      </x:c>
      <x:c r="T72" t="str">
        <x:v>../Project Recherche Data/tpa-batch04-20260908/J1548-4927/run01/result.json</x:v>
      </x:c>
      <x:c r="U72" t="str">
        <x:v>66c9363f3548412f0350e6000eb0c0c46452f005a8a2f5a1d51d19a368bec025</x:v>
      </x:c>
      <x:c r="V72" t="str">
        <x:v>observed=cff35fa9b518717741a32d77ea7a15caf62be4e0016f4038acbac95b130f2d43; calibration=1353a9274d1c22bda954c8402c2b7f7d4544a4fc4a4a319fb604583037335d04</x:v>
      </x:c>
    </x:row>
    <x:row r="73" ht="15" hidden="0" customHeight="1">
      <x:c r="A73" t="str">
        <x:v>tpa-batch04-20260908-J0905-5127-run01</x:v>
      </x:c>
      <x:c r="B73" t="str">
        <x:v>J0905-5127</x:v>
      </x:c>
      <x:c r="C73" t="str">
        <x:v>TPA DR1; original circular search</x:v>
      </x:c>
      <x:c r="D73" t="str">
        <x:v>NO_TRIGGER</x:v>
      </x:c>
      <x:c r="E73" s="23" t="n">
        <x:v>41.469829403576504</x:v>
      </x:c>
      <x:c r="F73" t="str">
        <x:v>Strongest eligible grid peak; candidate status is separate</x:v>
      </x:c>
      <x:c r="G73" s="24" t="n">
        <x:v>80.16860658319264</x:v>
      </x:c>
      <x:c r="H73" s="24" t="n">
        <x:v>9.020690473255753</x:v>
      </x:c>
      <x:c r="I73" s="24" t="n">
        <x:v>26.173472399522357</x:v>
      </x:c>
      <x:c r="J73" s="25" t="n">
        <x:v>415</x:v>
      </x:c>
      <x:c r="K73" s="25" t="n">
        <x:v>52</x:v>
      </x:c>
      <x:c r="L73" s="24" t="n">
        <x:v>30</x:v>
      </x:c>
      <x:c r="M73" s="24" t="n">
        <x:v>400</x:v>
      </x:c>
      <x:c r="N73" s="25" t="n">
        <x:v>193</x:v>
      </x:c>
      <x:c r="O73" s="25" t="n">
        <x:v>12</x:v>
      </x:c>
      <x:c r="P73" s="24" t="n">
        <x:v>177.23273725060756</x:v>
      </x:c>
      <x:c r="Q7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3"/>
      <x:c r="S73" t="str">
        <x:v>Preserve consumed record; new data/scope requires a new ID</x:v>
      </x:c>
      <x:c r="T73" t="str">
        <x:v>../Project Recherche Data/tpa-batch04-20260908/J0905-5127/run01/result.json</x:v>
      </x:c>
      <x:c r="U73" t="str">
        <x:v>af273f2710ed7e90ac1d14d32db29ba4e5d70f8f1ca6f8cb90fc9e1b32362c8f</x:v>
      </x:c>
      <x:c r="V73" t="str">
        <x:v>observed=2fbf83fd0e567bf03cb867e41fe7303695f9aa8c3c852d8699eb6d008dc81147; calibration=6e7b6d9db3dade6652fbc7c2f64c3bc306e449e43803af51ec2855eb02371e1b</x:v>
      </x:c>
    </x:row>
    <x:row r="74" ht="15" hidden="0" customHeight="1">
      <x:c r="A74" t="str">
        <x:v>tpa-batch04-20260908-J1347-5947-run01</x:v>
      </x:c>
      <x:c r="B74" t="str">
        <x:v>J1347-5947</x:v>
      </x:c>
      <x:c r="C74" t="str">
        <x:v>TPA DR1; original circular search</x:v>
      </x:c>
      <x:c r="D74" t="str">
        <x:v>NO_TRIGGER</x:v>
      </x:c>
      <x:c r="E74" s="23" t="n">
        <x:v>37.54461219003131</x:v>
      </x:c>
      <x:c r="F74" t="str">
        <x:v>Strongest eligible grid peak; candidate status is separate</x:v>
      </x:c>
      <x:c r="G74" s="24" t="n">
        <x:v>113.08315914973595</x:v>
      </x:c>
      <x:c r="H74" s="24" t="n">
        <x:v>7.061184688600703</x:v>
      </x:c>
      <x:c r="I74" s="24" t="n">
        <x:v>26.36126457105661</x:v>
      </x:c>
      <x:c r="J74" s="25" t="n">
        <x:v>439</x:v>
      </x:c>
      <x:c r="K74" s="25" t="n">
        <x:v>55</x:v>
      </x:c>
      <x:c r="L74" s="24" t="n">
        <x:v>30</x:v>
      </x:c>
      <x:c r="M74" s="24" t="n">
        <x:v>400</x:v>
      </x:c>
      <x:c r="N74" s="25" t="n">
        <x:v>212</x:v>
      </x:c>
      <x:c r="O74" s="25" t="n">
        <x:v>7</x:v>
      </x:c>
      <x:c r="P74" s="24" t="n">
        <x:v>298.0985075223265</x:v>
      </x:c>
      <x:c r="Q7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4"/>
      <x:c r="S74" t="str">
        <x:v>Preserve consumed record; new data/scope requires a new ID</x:v>
      </x:c>
      <x:c r="T74" t="str">
        <x:v>../Project Recherche Data/tpa-batch04-20260908/J1347-5947/run01/result.json</x:v>
      </x:c>
      <x:c r="U74" t="str">
        <x:v>f761d3247a9c3853657f3a8f73936603d403d3b51e7b5736370420f2b60513d7</x:v>
      </x:c>
      <x:c r="V74" t="str">
        <x:v>observed=1564393fd5b8f3c4b60a2f94d7a990e4fef395ee51976d6b9ab7fe08d9a62b81; calibration=7d00e8843749eb0352a190914bc2915353da3e3f1c0a87d7b5066ae1ba364980</x:v>
      </x:c>
    </x:row>
    <x:row r="75" ht="15" hidden="0" customHeight="1">
      <x:c r="A75" t="str">
        <x:v>tpa-batch04-20260908-J1722-3632-run01</x:v>
      </x:c>
      <x:c r="B75" t="str">
        <x:v>J1722-3632</x:v>
      </x:c>
      <x:c r="C75" t="str">
        <x:v>TPA DR1; original circular search</x:v>
      </x:c>
      <x:c r="D75" t="str">
        <x:v>NO_TRIGGER</x:v>
      </x:c>
      <x:c r="E75" s="23" t="n">
        <x:v>41.498460477360446</x:v>
      </x:c>
      <x:c r="F75" t="str">
        <x:v>Strongest eligible grid peak; candidate status is separate</x:v>
      </x:c>
      <x:c r="G75" s="24" t="n">
        <x:v>118.64517851864987</x:v>
      </x:c>
      <x:c r="H75" s="24" t="n">
        <x:v>8.691478884385543</x:v>
      </x:c>
      <x:c r="I75" s="24" t="n">
        <x:v>26.204321340173617</x:v>
      </x:c>
      <x:c r="J75" s="25" t="n">
        <x:v>416</x:v>
      </x:c>
      <x:c r="K75" s="25" t="n">
        <x:v>52</x:v>
      </x:c>
      <x:c r="L75" s="24" t="n">
        <x:v>30</x:v>
      </x:c>
      <x:c r="M75" s="24" t="n">
        <x:v>400</x:v>
      </x:c>
      <x:c r="N75" s="25" t="n">
        <x:v>196</x:v>
      </x:c>
      <x:c r="O75" s="25" t="n">
        <x:v>4</x:v>
      </x:c>
      <x:c r="P75" s="24" t="n">
        <x:v>292.17193574664327</x:v>
      </x:c>
      <x:c r="Q7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5"/>
      <x:c r="S75" t="str">
        <x:v>Preserve consumed record; new data/scope requires a new ID</x:v>
      </x:c>
      <x:c r="T75" t="str">
        <x:v>../Project Recherche Data/tpa-batch04-20260908/J1722-3632/run01/result.json</x:v>
      </x:c>
      <x:c r="U75" t="str">
        <x:v>680d15fbed6a71a6e7396969d5551d1d0d3e2e466cb10da76d08252cc8177291</x:v>
      </x:c>
      <x:c r="V75" t="str">
        <x:v>observed=dc0e900641d4fe7ede42aaa4b0cd060c790d3eff4fa471918570a3cc87fece79; calibration=fe4a4f7069801b0922d417cd38a4838f51fe6c27ef42b45c1a88fcb888fb169b</x:v>
      </x:c>
    </x:row>
    <x:row r="76" ht="15" hidden="0" customHeight="1">
      <x:c r="A76" t="str">
        <x:v>tpa-batch04-20260908-J1136-5525-run01</x:v>
      </x:c>
      <x:c r="B76" t="str">
        <x:v>J1136-5525</x:v>
      </x:c>
      <x:c r="C76" t="str">
        <x:v>TPA DR1; original circular search</x:v>
      </x:c>
      <x:c r="D76" t="str">
        <x:v>NO_TRIGGER</x:v>
      </x:c>
      <x:c r="E76" s="23" t="n">
        <x:v>37.16130874438334</x:v>
      </x:c>
      <x:c r="F76" t="str">
        <x:v>Strongest eligible grid peak; candidate status is separate</x:v>
      </x:c>
      <x:c r="G76" s="24" t="n">
        <x:v>114.6073876260289</x:v>
      </x:c>
      <x:c r="H76" s="24" t="n">
        <x:v>6.994628594187107</x:v>
      </x:c>
      <x:c r="I76" s="24" t="n">
        <x:v>26.204321340173617</x:v>
      </x:c>
      <x:c r="J76" s="25" t="n">
        <x:v>415</x:v>
      </x:c>
      <x:c r="K76" s="25" t="n">
        <x:v>52</x:v>
      </x:c>
      <x:c r="L76" s="24" t="n">
        <x:v>30</x:v>
      </x:c>
      <x:c r="M76" s="24" t="n">
        <x:v>400</x:v>
      </x:c>
      <x:c r="N76" s="25" t="n">
        <x:v>196</x:v>
      </x:c>
      <x:c r="O76" s="25" t="n">
        <x:v>4</x:v>
      </x:c>
      <x:c r="P76" s="24" t="n">
        <x:v>299.4817877407864</x:v>
      </x:c>
      <x:c r="Q7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6"/>
      <x:c r="S76" t="str">
        <x:v>Preserve consumed record; new data/scope requires a new ID</x:v>
      </x:c>
      <x:c r="T76" t="str">
        <x:v>../Project Recherche Data/tpa-batch04-20260908/J1136-5525/run01/result.json</x:v>
      </x:c>
      <x:c r="U76" t="str">
        <x:v>0bf95ca37650c3dc09c106800135c12a512fd97330042821deacea0c47b3a856</x:v>
      </x:c>
      <x:c r="V76" t="str">
        <x:v>observed=9a0c74d7a9ecb2b7946edd6fd5eb595d98f18fdab566505650002446e139d6b8; calibration=2be00a280efd3e47b793a9172486e33a73cdb9f87de25a0ce937c3787af099c1</x:v>
      </x:c>
    </x:row>
    <x:row r="77" ht="15" hidden="0" customHeight="1">
      <x:c r="A77" t="str">
        <x:v>tpa-batch04-20260908-J1932-3655-run01</x:v>
      </x:c>
      <x:c r="B77" t="str">
        <x:v>J1932-3655</x:v>
      </x:c>
      <x:c r="C77" t="str">
        <x:v>TPA DR1; original circular search</x:v>
      </x:c>
      <x:c r="D77" t="str">
        <x:v>NO_TRIGGER</x:v>
      </x:c>
      <x:c r="E77" s="23" t="n">
        <x:v>41.36014707296739</x:v>
      </x:c>
      <x:c r="F77" t="str">
        <x:v>Strongest eligible grid peak; candidate status is separate</x:v>
      </x:c>
      <x:c r="G77" s="24" t="n">
        <x:v>132.51401614531434</x:v>
      </x:c>
      <x:c r="H77" s="24" t="n">
        <x:v>9.931624910226226</x:v>
      </x:c>
      <x:c r="I77" s="24" t="n">
        <x:v>26.254701837830737</x:v>
      </x:c>
      <x:c r="J77" s="25" t="n">
        <x:v>406</x:v>
      </x:c>
      <x:c r="K77" s="25" t="n">
        <x:v>51</x:v>
      </x:c>
      <x:c r="L77" s="24" t="n">
        <x:v>30</x:v>
      </x:c>
      <x:c r="M77" s="24" t="n">
        <x:v>400</x:v>
      </x:c>
      <x:c r="N77" s="25" t="n">
        <x:v>201</x:v>
      </x:c>
      <x:c r="O77" s="25" t="n">
        <x:v>4</x:v>
      </x:c>
      <x:c r="P77" s="24" t="n">
        <x:v>302.98285345923586</x:v>
      </x:c>
      <x:c r="Q7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7"/>
      <x:c r="S77" t="str">
        <x:v>Preserve consumed record; new data/scope requires a new ID</x:v>
      </x:c>
      <x:c r="T77" t="str">
        <x:v>../Project Recherche Data/tpa-batch04-20260908/J1932-3655/run01/result.json</x:v>
      </x:c>
      <x:c r="U77" t="str">
        <x:v>407a32341d3c090f0dbb07edcf95fa74c623a263325b334e1c05380a17088ed4</x:v>
      </x:c>
      <x:c r="V77" t="str">
        <x:v>observed=50b284b4d67c5dc17e7761dd34b532d4fb702e222341d49f933f3a06d8ecf1c6; calibration=2e1de0b1f1b338cfeb06c6660a6c0ab51851177866a3388d1884c50373f11dea</x:v>
      </x:c>
    </x:row>
    <x:row r="78" ht="15" hidden="0" customHeight="1">
      <x:c r="A78" t="str">
        <x:v>tpa-batch04-20260908-J1345-6115-run01</x:v>
      </x:c>
      <x:c r="B78" t="str">
        <x:v>J1345-6115</x:v>
      </x:c>
      <x:c r="C78" t="str">
        <x:v>TPA DR1; original circular search</x:v>
      </x:c>
      <x:c r="D78" t="str">
        <x:v>NO_TRIGGER</x:v>
      </x:c>
      <x:c r="E78" s="23" t="n">
        <x:v>36.73709213560591</x:v>
      </x:c>
      <x:c r="F78" t="str">
        <x:v>Strongest eligible grid peak; candidate status is separate</x:v>
      </x:c>
      <x:c r="G78" s="24" t="n">
        <x:v>158.66470350387453</x:v>
      </x:c>
      <x:c r="H78" s="24" t="n">
        <x:v>13.202710315154748</x:v>
      </x:c>
      <x:c r="I78" s="24" t="n">
        <x:v>26.36126457105661</x:v>
      </x:c>
      <x:c r="J78" s="25" t="n">
        <x:v>440</x:v>
      </x:c>
      <x:c r="K78" s="25" t="n">
        <x:v>55</x:v>
      </x:c>
      <x:c r="L78" s="24" t="n">
        <x:v>30</x:v>
      </x:c>
      <x:c r="M78" s="24" t="n">
        <x:v>400</x:v>
      </x:c>
      <x:c r="N78" s="25" t="n">
        <x:v>212</x:v>
      </x:c>
      <x:c r="O78" s="25" t="n">
        <x:v>4</x:v>
      </x:c>
      <x:c r="P78" s="24" t="n">
        <x:v>300.0445653992389</x:v>
      </x:c>
      <x:c r="Q7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8"/>
      <x:c r="S78" t="str">
        <x:v>Preserve consumed record; new data/scope requires a new ID</x:v>
      </x:c>
      <x:c r="T78" t="str">
        <x:v>../Project Recherche Data/tpa-batch04-20260908/J1345-6115/run01/result.json</x:v>
      </x:c>
      <x:c r="U78" t="str">
        <x:v>fb5fa20abc1a1f485146cd6ffb8f68617689cb1d289ff31afc9fdb4ed2cb9b00</x:v>
      </x:c>
      <x:c r="V78" t="str">
        <x:v>observed=c18b30ea65b1f546426653ea1e64b84271c85fd2922e83c69c96b9ff0111c509; calibration=26bd9265833c123286dcacbc6cc6640b1a762c6b5077364c424c52d45c837ecd</x:v>
      </x:c>
    </x:row>
    <x:row r="79" ht="15" hidden="0" customHeight="1">
      <x:c r="A79" t="str">
        <x:v>tpa-batch04-20260908-J1123-6102-run01</x:v>
      </x:c>
      <x:c r="B79" t="str">
        <x:v>J1123-6102</x:v>
      </x:c>
      <x:c r="C79" t="str">
        <x:v>TPA DR1; original circular search</x:v>
      </x:c>
      <x:c r="D79" t="str">
        <x:v>NO_TRIGGER</x:v>
      </x:c>
      <x:c r="E79" s="23" t="n">
        <x:v>60.24081002604932</x:v>
      </x:c>
      <x:c r="F79" t="str">
        <x:v>Strongest eligible grid peak; candidate status is separate</x:v>
      </x:c>
      <x:c r="G79" s="24" t="n">
        <x:v>113.987024004665</x:v>
      </x:c>
      <x:c r="H79" s="24" t="n">
        <x:v>11.346483118503777</x:v>
      </x:c>
      <x:c r="I79" s="24" t="n">
        <x:v>26.244726754808656</x:v>
      </x:c>
      <x:c r="J79" s="25" t="n">
        <x:v>415</x:v>
      </x:c>
      <x:c r="K79" s="25" t="n">
        <x:v>52</x:v>
      </x:c>
      <x:c r="L79" s="24" t="n">
        <x:v>30</x:v>
      </x:c>
      <x:c r="M79" s="24" t="n">
        <x:v>400</x:v>
      </x:c>
      <x:c r="N79" s="25" t="n">
        <x:v>200</x:v>
      </x:c>
      <x:c r="O79" s="25" t="n">
        <x:v>4</x:v>
      </x:c>
      <x:c r="P79" s="24" t="n">
        <x:v>268.99253569809025</x:v>
      </x:c>
      <x:c r="Q7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79"/>
      <x:c r="S79" t="str">
        <x:v>Preserve consumed record; new data/scope requires a new ID</x:v>
      </x:c>
      <x:c r="T79" t="str">
        <x:v>../Project Recherche Data/tpa-batch04-20260908/J1123-6102/run01/result.json</x:v>
      </x:c>
      <x:c r="U79" t="str">
        <x:v>e4bc2ef40f5118c39aa493c73b7b1b0d29a241cdf1588a26eb0378788f902fa1</x:v>
      </x:c>
      <x:c r="V79" t="str">
        <x:v>observed=dcecb97c9517d8978530cb4e3ea9f8fd2b098f49a89d289b2a385962d51adaef; calibration=52ad6cebb42af2456b20085c48bb9836eda2561735b022b2b592d03a7ec0cdad</x:v>
      </x:c>
    </x:row>
    <x:row r="80" ht="15" hidden="0" customHeight="1">
      <x:c r="A80" t="str">
        <x:v>tpa-batch04-20260908-J1840-0809-run01</x:v>
      </x:c>
      <x:c r="B80" t="str">
        <x:v>J1840-0809</x:v>
      </x:c>
      <x:c r="C80" t="str">
        <x:v>TPA DR1; original circular search</x:v>
      </x:c>
      <x:c r="D80" t="str">
        <x:v>NO_TRIGGER</x:v>
      </x:c>
      <x:c r="E80" s="23" t="n">
        <x:v>100.0164462850832</x:v>
      </x:c>
      <x:c r="F80" t="str">
        <x:v>Strongest eligible grid peak; candidate status is separate</x:v>
      </x:c>
      <x:c r="G80" s="24" t="n">
        <x:v>124.83340974289769</x:v>
      </x:c>
      <x:c r="H80" s="24" t="n">
        <x:v>8.195318146942222</x:v>
      </x:c>
      <x:c r="I80" s="24" t="n">
        <x:v>26.23470167116157</x:v>
      </x:c>
      <x:c r="J80" s="25" t="n">
        <x:v>432</x:v>
      </x:c>
      <x:c r="K80" s="25" t="n">
        <x:v>54</x:v>
      </x:c>
      <x:c r="L80" s="24" t="n">
        <x:v>30</x:v>
      </x:c>
      <x:c r="M80" s="24" t="n">
        <x:v>400</x:v>
      </x:c>
      <x:c r="N80" s="25" t="n">
        <x:v>199</x:v>
      </x:c>
      <x:c r="O80" s="25" t="n">
        <x:v>4</x:v>
      </x:c>
      <x:c r="P80" s="24" t="n">
        <x:v>312.11396870076095</x:v>
      </x:c>
      <x:c r="Q8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0"/>
      <x:c r="S80" t="str">
        <x:v>Preserve consumed record; new data/scope requires a new ID</x:v>
      </x:c>
      <x:c r="T80" t="str">
        <x:v>../Project Recherche Data/tpa-batch04-20260908/J1840-0809/run01/result.json</x:v>
      </x:c>
      <x:c r="U80" t="str">
        <x:v>5561f51a6d5ba19efde2f77026cdbac8704173728d463c893ac735602b8d9b4d</x:v>
      </x:c>
      <x:c r="V80" t="str">
        <x:v>observed=8037d2d3445a83d94050cb648f2f57591847ee41c49216ec11a7ef1424bb2ba4; calibration=9598310ee7bdf8ab09b05b32fc41502d0b131fc66440d3e060a8c524a62337bb</x:v>
      </x:c>
    </x:row>
    <x:row r="81" ht="15" hidden="0" customHeight="1">
      <x:c r="A81" t="str">
        <x:v>tpa-batch04-20260908-J1116-4122-run01</x:v>
      </x:c>
      <x:c r="B81" t="str">
        <x:v>J1116-4122</x:v>
      </x:c>
      <x:c r="C81" t="str">
        <x:v>TPA DR1; original circular search</x:v>
      </x:c>
      <x:c r="D81" t="str">
        <x:v>NO_TRIGGER</x:v>
      </x:c>
      <x:c r="E81" s="23" t="n">
        <x:v>39.08225243642119</x:v>
      </x:c>
      <x:c r="F81" t="str">
        <x:v>Strongest eligible grid peak; candidate status is separate</x:v>
      </x:c>
      <x:c r="G81" s="24" t="n">
        <x:v>142.2967848246886</x:v>
      </x:c>
      <x:c r="H81" s="24" t="n">
        <x:v>9.53746797881201</x:v>
      </x:c>
      <x:c r="I81" s="24" t="n">
        <x:v>26.244726754808656</x:v>
      </x:c>
      <x:c r="J81" s="25" t="n">
        <x:v>405</x:v>
      </x:c>
      <x:c r="K81" s="25" t="n">
        <x:v>52</x:v>
      </x:c>
      <x:c r="L81" s="24" t="n">
        <x:v>30</x:v>
      </x:c>
      <x:c r="M81" s="24" t="n">
        <x:v>400</x:v>
      </x:c>
      <x:c r="N81" s="25" t="n">
        <x:v>200</x:v>
      </x:c>
      <x:c r="O81" s="25" t="n">
        <x:v>4</x:v>
      </x:c>
      <x:c r="P81" s="24" t="n">
        <x:v>325.1169583400783</x:v>
      </x:c>
      <x:c r="Q8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1"/>
      <x:c r="S81" t="str">
        <x:v>Preserve consumed record; new data/scope requires a new ID</x:v>
      </x:c>
      <x:c r="T81" t="str">
        <x:v>../Project Recherche Data/tpa-batch04-20260908/J1116-4122/run01/result.json</x:v>
      </x:c>
      <x:c r="U81" t="str">
        <x:v>f8c4fa94e2ed6fa1864b5fdef8ba03329b3a61c211980d2f09ccc13b8aeb4e47</x:v>
      </x:c>
      <x:c r="V81" t="str">
        <x:v>observed=b59ac49395e5461f039067418bdfad25164f4b577511cba180fc9c8c1fa3cdbc; calibration=87d48aa75b6ac2f812a2fd96178e3f4cbc65a4899a43ea244fd4b8bf0d76a19f</x:v>
      </x:c>
    </x:row>
    <x:row r="82" ht="15" hidden="0" customHeight="1">
      <x:c r="A82" t="str">
        <x:v>tpa-batch04-20260908-J1416-6037-run01</x:v>
      </x:c>
      <x:c r="B82" t="str">
        <x:v>J1416-6037</x:v>
      </x:c>
      <x:c r="C82" t="str">
        <x:v>TPA DR1; original circular search</x:v>
      </x:c>
      <x:c r="D82" t="str">
        <x:v>NO_TRIGGER</x:v>
      </x:c>
      <x:c r="E82" s="23" t="n">
        <x:v>48.45430230397063</x:v>
      </x:c>
      <x:c r="F82" t="str">
        <x:v>Strongest eligible grid peak; candidate status is separate</x:v>
      </x:c>
      <x:c r="G82" s="24" t="n">
        <x:v>150.04234060829842</x:v>
      </x:c>
      <x:c r="H82" s="24" t="n">
        <x:v>8.88427462047536</x:v>
      </x:c>
      <x:c r="I82" s="24" t="n">
        <x:v>26.36126457105661</x:v>
      </x:c>
      <x:c r="J82" s="25" t="n">
        <x:v>440</x:v>
      </x:c>
      <x:c r="K82" s="25" t="n">
        <x:v>55</x:v>
      </x:c>
      <x:c r="L82" s="24" t="n">
        <x:v>30</x:v>
      </x:c>
      <x:c r="M82" s="24" t="n">
        <x:v>400</x:v>
      </x:c>
      <x:c r="N82" s="25" t="n">
        <x:v>212</x:v>
      </x:c>
      <x:c r="O82" s="25" t="n">
        <x:v>4</x:v>
      </x:c>
      <x:c r="P82" s="24" t="n">
        <x:v>357.3748906398616</x:v>
      </x:c>
      <x:c r="Q8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2"/>
      <x:c r="S82" t="str">
        <x:v>Preserve consumed record; new data/scope requires a new ID</x:v>
      </x:c>
      <x:c r="T82" t="str">
        <x:v>../Project Recherche Data/tpa-batch04-20260908/J1416-6037/run01/result.json</x:v>
      </x:c>
      <x:c r="U82" t="str">
        <x:v>6098101cbd008e917a140d46da2bc7b56e4d811ccde8d8bcae0ddb2f5858163c</x:v>
      </x:c>
      <x:c r="V82" t="str">
        <x:v>observed=0f043fcca1280d5a8dccfed3d16cc12ed6206ac221d3c32e65bf9892d13797b8; calibration=65312576ddc0ac2c948d8d87daebf489634ab425eb320f9a32219df4581f7e71</x:v>
      </x:c>
    </x:row>
    <x:row r="83" ht="15" hidden="0" customHeight="1">
      <x:c r="A83" t="str">
        <x:v>tpa-batch04-20260908-J1112-6926-run01</x:v>
      </x:c>
      <x:c r="B83" t="str">
        <x:v>J1112-6926</x:v>
      </x:c>
      <x:c r="C83" t="str">
        <x:v>TPA DR1; original circular search</x:v>
      </x:c>
      <x:c r="D83" t="str">
        <x:v>NO_TRIGGER</x:v>
      </x:c>
      <x:c r="E83" s="23" t="n">
        <x:v>41.904960172010995</x:v>
      </x:c>
      <x:c r="F83" t="str">
        <x:v>Strongest eligible grid peak; candidate status is separate</x:v>
      </x:c>
      <x:c r="G83" s="24" t="n">
        <x:v>189.12199747858767</x:v>
      </x:c>
      <x:c r="H83" s="24" t="n">
        <x:v>9.851879242105941</x:v>
      </x:c>
      <x:c r="I83" s="24" t="n">
        <x:v>26.120975947372482</x:v>
      </x:c>
      <x:c r="J83" s="25" t="n">
        <x:v>387</x:v>
      </x:c>
      <x:c r="K83" s="25" t="n">
        <x:v>52</x:v>
      </x:c>
      <x:c r="L83" s="24" t="n">
        <x:v>30</x:v>
      </x:c>
      <x:c r="M83" s="24" t="n">
        <x:v>400</x:v>
      </x:c>
      <x:c r="N83" s="25" t="n">
        <x:v>188</x:v>
      </x:c>
      <x:c r="O83" s="25" t="n">
        <x:v>4</x:v>
      </x:c>
      <x:c r="P83" s="24" t="n">
        <x:v>412.94542986130796</x:v>
      </x:c>
      <x:c r="Q8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3"/>
      <x:c r="S83" t="str">
        <x:v>Preserve consumed record; new data/scope requires a new ID</x:v>
      </x:c>
      <x:c r="T83" t="str">
        <x:v>../Project Recherche Data/tpa-batch04-20260908/J1112-6926/run01/result.json</x:v>
      </x:c>
      <x:c r="U83" t="str">
        <x:v>bc0bb503ccad555e0f044aed31a2f7ee32e87f4004af475522f0059825cb9297</x:v>
      </x:c>
      <x:c r="V83" t="str">
        <x:v>observed=3f1975839ad86c75df74a5088736300f308646aefce858073c8826496ac5ec87; calibration=0014bf9f09b48d5de09f2a48cbb1d007260012c986289c66911be6c12d8a372a</x:v>
      </x:c>
    </x:row>
    <x:row r="84" ht="15" hidden="0" customHeight="1">
      <x:c r="A84" t="str">
        <x:v>tpa-batch04-20260908-J1822-4209-run01</x:v>
      </x:c>
      <x:c r="B84" t="str">
        <x:v>J1822-4209</x:v>
      </x:c>
      <x:c r="C84" t="str">
        <x:v>TPA DR1; original circular search</x:v>
      </x:c>
      <x:c r="D84" t="str">
        <x:v>NO_TRIGGER</x:v>
      </x:c>
      <x:c r="E84" s="23" t="n">
        <x:v>141.9610505067504</x:v>
      </x:c>
      <x:c r="F84" t="str">
        <x:v>Strongest eligible grid peak; candidate status is separate</x:v>
      </x:c>
      <x:c r="G84" s="24" t="n">
        <x:v>146.1979566707784</x:v>
      </x:c>
      <x:c r="H84" s="24" t="n">
        <x:v>7.638118731898734</x:v>
      </x:c>
      <x:c r="I84" s="24" t="n">
        <x:v>26.152638877805845</x:v>
      </x:c>
      <x:c r="J84" s="25" t="n">
        <x:v>408</x:v>
      </x:c>
      <x:c r="K84" s="25" t="n">
        <x:v>51</x:v>
      </x:c>
      <x:c r="L84" s="24" t="n">
        <x:v>30</x:v>
      </x:c>
      <x:c r="M84" s="24" t="n">
        <x:v>400</x:v>
      </x:c>
      <x:c r="N84" s="25" t="n">
        <x:v>191</x:v>
      </x:c>
      <x:c r="O84" s="25" t="n">
        <x:v>4</x:v>
      </x:c>
      <x:c r="P84" s="24" t="n">
        <x:v>390.6389000561053</x:v>
      </x:c>
      <x:c r="Q8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4"/>
      <x:c r="S84" t="str">
        <x:v>Preserve consumed record; new data/scope requires a new ID</x:v>
      </x:c>
      <x:c r="T84" t="str">
        <x:v>../Project Recherche Data/tpa-batch04-20260908/J1822-4209/run01/result.json</x:v>
      </x:c>
      <x:c r="U84" t="str">
        <x:v>ab5e671edc8d649cd36359a54909f7fab92d14511dd2fa25998ec318f1c24fd7</x:v>
      </x:c>
      <x:c r="V84" t="str">
        <x:v>observed=da060b2213af8802dc71741feb854729344fdf15bdcaf20804d02419594cf072; calibration=504b775479b2cb1054f7d2448bd04d7f1fc3249ed633bdb207497587036f5e2f</x:v>
      </x:c>
    </x:row>
    <x:row r="85" ht="15" hidden="0" customHeight="1">
      <x:c r="A85" t="str">
        <x:v>tpa-batch04-20260908-J1536-3602-run01</x:v>
      </x:c>
      <x:c r="B85" t="str">
        <x:v>J1536-3602</x:v>
      </x:c>
      <x:c r="C85" t="str">
        <x:v>TPA DR1; original circular search</x:v>
      </x:c>
      <x:c r="D85" t="str">
        <x:v>NO_TRIGGER</x:v>
      </x:c>
      <x:c r="E85" s="23" t="n">
        <x:v>72.39179873252272</x:v>
      </x:c>
      <x:c r="F85" t="str">
        <x:v>Strongest eligible grid peak; candidate status is separate</x:v>
      </x:c>
      <x:c r="G85" s="24" t="n">
        <x:v>157.67017936553682</x:v>
      </x:c>
      <x:c r="H85" s="24" t="n">
        <x:v>7.062193851188022</x:v>
      </x:c>
      <x:c r="I85" s="24" t="n">
        <x:v>26.244726754808656</x:v>
      </x:c>
      <x:c r="J85" s="25" t="n">
        <x:v>432</x:v>
      </x:c>
      <x:c r="K85" s="25" t="n">
        <x:v>54</x:v>
      </x:c>
      <x:c r="L85" s="24" t="n">
        <x:v>30</x:v>
      </x:c>
      <x:c r="M85" s="24" t="n">
        <x:v>400</x:v>
      </x:c>
      <x:c r="N85" s="25" t="n">
        <x:v>200</x:v>
      </x:c>
      <x:c r="O85" s="25" t="n">
        <x:v>3</x:v>
      </x:c>
      <x:c r="P85" s="24" t="n">
        <x:v>397.30012572118534</x:v>
      </x:c>
      <x:c r="Q8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5"/>
      <x:c r="S85" t="str">
        <x:v>Preserve consumed record; new data/scope requires a new ID</x:v>
      </x:c>
      <x:c r="T85" t="str">
        <x:v>../Project Recherche Data/tpa-batch04-20260908/J1536-3602/run01/result.json</x:v>
      </x:c>
      <x:c r="U85" t="str">
        <x:v>c3267ab2135daece2f115060f9462a5e7e2bdb4cf1c0ef2e0e5e985a0f57a209</x:v>
      </x:c>
      <x:c r="V85" t="str">
        <x:v>observed=711862e75e6f4c7f4c8f688ad2a28e6f21e222becb89a942934aea2999dbaac1; calibration=f3ffa4ee474224730377c105fcc67ef1cd46987520ab9fb22e306c544ba95b11</x:v>
      </x:c>
    </x:row>
    <x:row r="86" ht="15" hidden="0" customHeight="1">
      <x:c r="A86" t="str">
        <x:v>tpa-batch05-20260908-J1320-3512-run01</x:v>
      </x:c>
      <x:c r="B86" t="str">
        <x:v>J1320-3512</x:v>
      </x:c>
      <x:c r="C86" t="str">
        <x:v>TPA DR1; original circular search</x:v>
      </x:c>
      <x:c r="D86" t="str">
        <x:v>NO_TRIGGER</x:v>
      </x:c>
      <x:c r="E86" s="23" t="n">
        <x:v>68.27949405345986</x:v>
      </x:c>
      <x:c r="F86" t="str">
        <x:v>Strongest eligible grid peak; candidate status is separate</x:v>
      </x:c>
      <x:c r="G86" s="24" t="n">
        <x:v>148.35264869131865</x:v>
      </x:c>
      <x:c r="H86" s="24" t="n">
        <x:v>6.012234128772779</x:v>
      </x:c>
      <x:c r="I86" s="24" t="n">
        <x:v>26.244726754808656</x:v>
      </x:c>
      <x:c r="J86" s="25" t="n">
        <x:v>388</x:v>
      </x:c>
      <x:c r="K86" s="25" t="n">
        <x:v>50</x:v>
      </x:c>
      <x:c r="L86" s="24" t="n">
        <x:v>30</x:v>
      </x:c>
      <x:c r="M86" s="24" t="n">
        <x:v>400</x:v>
      </x:c>
      <x:c r="N86" s="25" t="n">
        <x:v>200</x:v>
      </x:c>
      <x:c r="O86" s="25" t="n">
        <x:v>4</x:v>
      </x:c>
      <x:c r="P86" s="24" t="n">
        <x:v>418.49159763970783</x:v>
      </x:c>
      <x:c r="Q8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6"/>
      <x:c r="S86" t="str">
        <x:v>Preserve consumed record; new data/scope requires a new ID</x:v>
      </x:c>
      <x:c r="T86" t="str">
        <x:v>../Project Recherche Data/tpa-batch05-20260908/J1320-3512/run01/result.json</x:v>
      </x:c>
      <x:c r="U86" t="str">
        <x:v>0bf1d2ee4688ed3969c4cf25173318bc5379b9f942740f90fd2b3e26bd43f7a6</x:v>
      </x:c>
      <x:c r="V86" t="str">
        <x:v>observed=77817ad91f8e94555193d76444cc7cad40aa28345d25eca14d8b365d91b4168c; calibration=4824b1c3146b4ad4d0c2eb7b95dca9cd3b0eda2b82a2ae5d05fca4c8cb4fac3a</x:v>
      </x:c>
    </x:row>
    <x:row r="87" ht="15" hidden="0" customHeight="1">
      <x:c r="A87" t="str">
        <x:v>tpa-batch05-20260908-J1602-5100-run01</x:v>
      </x:c>
      <x:c r="B87" t="str">
        <x:v>J1602-5100</x:v>
      </x:c>
      <x:c r="C87" t="str">
        <x:v>TPA DR1; original circular search</x:v>
      </x:c>
      <x:c r="D87" t="str">
        <x:v>NO_TRIGGER</x:v>
      </x:c>
      <x:c r="E87" s="23" t="n">
        <x:v>80.43235719296939</x:v>
      </x:c>
      <x:c r="F87" t="str">
        <x:v>Strongest eligible grid peak; candidate status is separate</x:v>
      </x:c>
      <x:c r="G87" s="24" t="n">
        <x:v>115.27220947142023</x:v>
      </x:c>
      <x:c r="H87" s="24" t="n">
        <x:v>10.70403304520094</x:v>
      </x:c>
      <x:c r="I87" s="24" t="n">
        <x:v>26.506783279621466</x:v>
      </x:c>
      <x:c r="J87" s="25" t="n">
        <x:v>455</x:v>
      </x:c>
      <x:c r="K87" s="25" t="n">
        <x:v>57</x:v>
      </x:c>
      <x:c r="L87" s="24" t="n">
        <x:v>30</x:v>
      </x:c>
      <x:c r="M87" s="24" t="n">
        <x:v>400</x:v>
      </x:c>
      <x:c r="N87" s="25" t="n">
        <x:v>228</x:v>
      </x:c>
      <x:c r="O87" s="25" t="n">
        <x:v>23</x:v>
      </x:c>
      <x:c r="P87" s="24" t="n">
        <x:v>261.7288662392732</x:v>
      </x:c>
      <x:c r="Q8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7"/>
      <x:c r="S87" t="str">
        <x:v>Preserve consumed record; new data/scope requires a new ID</x:v>
      </x:c>
      <x:c r="T87" t="str">
        <x:v>../Project Recherche Data/tpa-batch05-20260908/J1602-5100/run01/result.json</x:v>
      </x:c>
      <x:c r="U87" t="str">
        <x:v>1661606e11f599f18262e58de6503e7ec9f4679d28d1e6ea40e299aeb7330b72</x:v>
      </x:c>
      <x:c r="V87" t="str">
        <x:v>observed=73cb71021659516445acb361a9e15bd4eda9b967bc0ee6909660719dad06f452; calibration=86d862ccf7c06eec3ea4e8ba0d928a1357372946e509521d6ee5c15d1578f7db</x:v>
      </x:c>
    </x:row>
    <x:row r="88" ht="15" hidden="0" customHeight="1">
      <x:c r="A88" t="str">
        <x:v>tpa-batch05-20260908-J1456-6843-run01</x:v>
      </x:c>
      <x:c r="B88" t="str">
        <x:v>J1456-6843</x:v>
      </x:c>
      <x:c r="C88" t="str">
        <x:v>TPA DR1; original circular search</x:v>
      </x:c>
      <x:c r="D88" t="str">
        <x:v>NO_TRIGGER</x:v>
      </x:c>
      <x:c r="E88" s="23" t="n">
        <x:v>114.9865013749459</x:v>
      </x:c>
      <x:c r="F88" t="str">
        <x:v>Strongest eligible grid peak; candidate status is separate</x:v>
      </x:c>
      <x:c r="G88" s="24" t="n">
        <x:v>176.24216055589702</x:v>
      </x:c>
      <x:c r="H88" s="24" t="n">
        <x:v>8.39054132441784</x:v>
      </x:c>
      <x:c r="I88" s="24" t="n">
        <x:v>26.204321340173617</x:v>
      </x:c>
      <x:c r="J88" s="25" t="n">
        <x:v>400</x:v>
      </x:c>
      <x:c r="K88" s="25" t="n">
        <x:v>50</x:v>
      </x:c>
      <x:c r="L88" s="24" t="n">
        <x:v>30</x:v>
      </x:c>
      <x:c r="M88" s="24" t="n">
        <x:v>400</x:v>
      </x:c>
      <x:c r="N88" s="25" t="n">
        <x:v>196</x:v>
      </x:c>
      <x:c r="O88" s="25" t="n">
        <x:v>4</x:v>
      </x:c>
      <x:c r="P88" s="24" t="n">
        <x:v>398.2640821825553</x:v>
      </x:c>
      <x:c r="Q8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8"/>
      <x:c r="S88" t="str">
        <x:v>Preserve consumed record; new data/scope requires a new ID</x:v>
      </x:c>
      <x:c r="T88" t="str">
        <x:v>../Project Recherche Data/tpa-batch05-20260908/J1456-6843/run01/result.json</x:v>
      </x:c>
      <x:c r="U88" t="str">
        <x:v>df42186b845e8f7e9c80ec337e41edc01dfd261a1be708734083622ca734edb1</x:v>
      </x:c>
      <x:c r="V88" t="str">
        <x:v>observed=87dc71e5c279b2cff2079f54f1be38c5577574ba48bc7023318d7ceec6d7ec8b; calibration=7a91ec4a47fd5e0aa4c37aac3afc775b7a3bfc854ff2c5e17b0d092c97422d64</x:v>
      </x:c>
    </x:row>
    <x:row r="89" ht="15" hidden="0" customHeight="1">
      <x:c r="A89" t="str">
        <x:v>tpa-batch05-20260908-J1605-5257-run01</x:v>
      </x:c>
      <x:c r="B89" t="str">
        <x:v>J1605-5257</x:v>
      </x:c>
      <x:c r="C89" t="str">
        <x:v>TPA DR1; original circular search</x:v>
      </x:c>
      <x:c r="D89" t="str">
        <x:v>NO_TRIGGER</x:v>
      </x:c>
      <x:c r="E89" s="23" t="n">
        <x:v>143.3771194410286</x:v>
      </x:c>
      <x:c r="F89" t="str">
        <x:v>Strongest eligible grid peak; candidate status is separate</x:v>
      </x:c>
      <x:c r="G89" s="24" t="n">
        <x:v>178.59492000611527</x:v>
      </x:c>
      <x:c r="H89" s="24" t="n">
        <x:v>8.791224815931438</x:v>
      </x:c>
      <x:c r="I89" s="24" t="n">
        <x:v>26.575755631763805</x:v>
      </x:c>
      <x:c r="J89" s="25" t="n">
        <x:v>438</x:v>
      </x:c>
      <x:c r="K89" s="25" t="n">
        <x:v>56</x:v>
      </x:c>
      <x:c r="L89" s="24" t="n">
        <x:v>30</x:v>
      </x:c>
      <x:c r="M89" s="24" t="n">
        <x:v>400</x:v>
      </x:c>
      <x:c r="N89" s="25" t="n">
        <x:v>236</x:v>
      </x:c>
      <x:c r="O89" s="25" t="n">
        <x:v>3</x:v>
      </x:c>
      <x:c r="P89" s="24" t="n">
        <x:v>423.61307545848285</x:v>
      </x:c>
      <x:c r="Q8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89"/>
      <x:c r="S89" t="str">
        <x:v>Preserve consumed record; new data/scope requires a new ID</x:v>
      </x:c>
      <x:c r="T89" t="str">
        <x:v>../Project Recherche Data/tpa-batch05-20260908/J1605-5257/run01/result.json</x:v>
      </x:c>
      <x:c r="U89" t="str">
        <x:v>828de3b2eb47326797e78a25ea911f867d5f471daf120bb291c6e9d1a6598cc3</x:v>
      </x:c>
      <x:c r="V89" t="str">
        <x:v>observed=fac64bd0bcca74372d1b90278eb6f6c46094703d3c94551b88085379245e95f7; calibration=a757b122a0dd8b352ca176185fb728b42caa930d6000a0e3805001e10120cf35</x:v>
      </x:c>
    </x:row>
    <x:row r="90" ht="15" hidden="0" customHeight="1">
      <x:c r="A90" t="str">
        <x:v>tpa-batch05-20260908-J0904-7459-run01</x:v>
      </x:c>
      <x:c r="B90" t="str">
        <x:v>J0904-7459</x:v>
      </x:c>
      <x:c r="C90" t="str">
        <x:v>TPA DR1; original circular search</x:v>
      </x:c>
      <x:c r="D90" t="str">
        <x:v>NO_TRIGGER</x:v>
      </x:c>
      <x:c r="E90" s="23" t="n">
        <x:v>117.90834544381539</x:v>
      </x:c>
      <x:c r="F90" t="str">
        <x:v>Strongest eligible grid peak; candidate status is separate</x:v>
      </x:c>
      <x:c r="G90" s="24" t="n">
        <x:v>188.88116109410498</x:v>
      </x:c>
      <x:c r="H90" s="24" t="n">
        <x:v>8.609062158652634</x:v>
      </x:c>
      <x:c r="I90" s="24" t="n">
        <x:v>26.21449947918856</x:v>
      </x:c>
      <x:c r="J90" s="25" t="n">
        <x:v>413</x:v>
      </x:c>
      <x:c r="K90" s="25" t="n">
        <x:v>52</x:v>
      </x:c>
      <x:c r="L90" s="24" t="n">
        <x:v>30</x:v>
      </x:c>
      <x:c r="M90" s="24" t="n">
        <x:v>400</x:v>
      </x:c>
      <x:c r="N90" s="25" t="n">
        <x:v>197</x:v>
      </x:c>
      <x:c r="O90" s="25" t="n">
        <x:v>4</x:v>
      </x:c>
      <x:c r="P90" s="24" t="n">
        <x:v>436.73682862592386</x:v>
      </x:c>
      <x:c r="Q9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0"/>
      <x:c r="S90" t="str">
        <x:v>Preserve consumed record; new data/scope requires a new ID</x:v>
      </x:c>
      <x:c r="T90" t="str">
        <x:v>../Project Recherche Data/tpa-batch05-20260908/J0904-7459/run01/result.json</x:v>
      </x:c>
      <x:c r="U90" t="str">
        <x:v>2413866d6f87ea7bcba3690926623b944a7d1bb8ca0a2a81541b48bf06bc082d</x:v>
      </x:c>
      <x:c r="V90" t="str">
        <x:v>observed=8a8f5dab287545b94db09151462c8197012e0540e722df2a938a345b2bc2c682; calibration=3ff7aae3c2ecf9ec75ccfad3fca348413e5db5a6c5610ab08787f124c4478461</x:v>
      </x:c>
    </x:row>
    <x:row r="91" ht="15" hidden="0" customHeight="1">
      <x:c r="A91" t="str">
        <x:v>tpa-batch05-20260908-J1042-5521-run01</x:v>
      </x:c>
      <x:c r="B91" t="str">
        <x:v>J1042-5521</x:v>
      </x:c>
      <x:c r="C91" t="str">
        <x:v>TPA DR1; original circular search</x:v>
      </x:c>
      <x:c r="D91" t="str">
        <x:v>NO_TRIGGER</x:v>
      </x:c>
      <x:c r="E91" s="23" t="n">
        <x:v>67.62544635172925</x:v>
      </x:c>
      <x:c r="F91" t="str">
        <x:v>Strongest eligible grid peak; candidate status is separate</x:v>
      </x:c>
      <x:c r="G91" s="24" t="n">
        <x:v>132.91581599736566</x:v>
      </x:c>
      <x:c r="H91" s="24" t="n">
        <x:v>9.924725178876164</x:v>
      </x:c>
      <x:c r="I91" s="24" t="n">
        <x:v>26.36126457105661</x:v>
      </x:c>
      <x:c r="J91" s="25" t="n">
        <x:v>432</x:v>
      </x:c>
      <x:c r="K91" s="25" t="n">
        <x:v>54</x:v>
      </x:c>
      <x:c r="L91" s="24" t="n">
        <x:v>30</x:v>
      </x:c>
      <x:c r="M91" s="24" t="n">
        <x:v>400</x:v>
      </x:c>
      <x:c r="N91" s="25" t="n">
        <x:v>212</x:v>
      </x:c>
      <x:c r="O91" s="25" t="n">
        <x:v>6</x:v>
      </x:c>
      <x:c r="P91" s="24" t="n">
        <x:v>310.0553293483707</x:v>
      </x:c>
      <x:c r="Q9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1"/>
      <x:c r="S91" t="str">
        <x:v>Preserve consumed record; new data/scope requires a new ID</x:v>
      </x:c>
      <x:c r="T91" t="str">
        <x:v>../Project Recherche Data/tpa-batch05-20260908/J1042-5521/run01/result.json</x:v>
      </x:c>
      <x:c r="U91" t="str">
        <x:v>c4c9aac137a10cc417bf961a240391587729f6897980dc79b01e36e89e65ab6f</x:v>
      </x:c>
      <x:c r="V91" t="str">
        <x:v>observed=54af889264b5b81a2a50127bd1327edb53053ae668a39ae1b33d45d78b3f8d0c; calibration=d0dcf8c72e35e4eb05c3d6cc6d1d858ed488bb2de61682bd32f4c666284572b3</x:v>
      </x:c>
    </x:row>
    <x:row r="92" ht="15" hidden="0" customHeight="1">
      <x:c r="A92" t="str">
        <x:v>tpa-batch05-20260908-J1848-0023-run01</x:v>
      </x:c>
      <x:c r="B92" t="str">
        <x:v>J1848-0023</x:v>
      </x:c>
      <x:c r="C92" t="str">
        <x:v>TPA DR1; original circular search</x:v>
      </x:c>
      <x:c r="D92" t="str">
        <x:v>NO_TRIGGER</x:v>
      </x:c>
      <x:c r="E92" s="23" t="n">
        <x:v>44.07941611603303</x:v>
      </x:c>
      <x:c r="F92" t="str">
        <x:v>Strongest eligible grid peak; candidate status is separate</x:v>
      </x:c>
      <x:c r="G92" s="24" t="n">
        <x:v>197.99065310391344</x:v>
      </x:c>
      <x:c r="H92" s="24" t="n">
        <x:v>12.581590357515228</x:v>
      </x:c>
      <x:c r="I92" s="24" t="n">
        <x:v>26.36126457105661</x:v>
      </x:c>
      <x:c r="J92" s="25" t="n">
        <x:v>386</x:v>
      </x:c>
      <x:c r="K92" s="25" t="n">
        <x:v>53</x:v>
      </x:c>
      <x:c r="L92" s="24" t="n">
        <x:v>30</x:v>
      </x:c>
      <x:c r="M92" s="24" t="n">
        <x:v>400</x:v>
      </x:c>
      <x:c r="N92" s="25" t="n">
        <x:v>212</x:v>
      </x:c>
      <x:c r="O92" s="25" t="n">
        <x:v>4</x:v>
      </x:c>
      <x:c r="P92" s="24" t="n">
        <x:v>407.65670927961924</x:v>
      </x:c>
      <x:c r="Q9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2"/>
      <x:c r="S92" t="str">
        <x:v>Preserve consumed record; new data/scope requires a new ID</x:v>
      </x:c>
      <x:c r="T92" t="str">
        <x:v>../Project Recherche Data/tpa-batch05-20260908/J1848-0023/run01/result.json</x:v>
      </x:c>
      <x:c r="U92" t="str">
        <x:v>4761ceac37ac9909449db8c71c7e07e1bb94c6553bb72c811981921d420b14c6</x:v>
      </x:c>
      <x:c r="V92" t="str">
        <x:v>observed=3e61b662600dc6d0171a1aaefced7dcc93c286ac55103ec38f5c37655e2fa439; calibration=9aad185abc483538849bf646f4f144811ff25f7256ff94c42a7541c85b25821e</x:v>
      </x:c>
    </x:row>
    <x:row r="93" ht="15" hidden="0" customHeight="1">
      <x:c r="A93" t="str">
        <x:v>tpa-batch05-20260908-J0749-4247-run01</x:v>
      </x:c>
      <x:c r="B93" t="str">
        <x:v>J0749-4247</x:v>
      </x:c>
      <x:c r="C93" t="str">
        <x:v>TPA DR1; original circular search</x:v>
      </x:c>
      <x:c r="D93" t="str">
        <x:v>NO_TRIGGER</x:v>
      </x:c>
      <x:c r="E93" s="23" t="n">
        <x:v>34.71090659706267</x:v>
      </x:c>
      <x:c r="F93" t="str">
        <x:v>Strongest eligible grid peak; candidate status is separate</x:v>
      </x:c>
      <x:c r="G93" s="24" t="n">
        <x:v>183.82893795217723</x:v>
      </x:c>
      <x:c r="H93" s="24" t="n">
        <x:v>7.198751763827347</x:v>
      </x:c>
      <x:c r="I93" s="24" t="n">
        <x:v>26.204321340173617</x:v>
      </x:c>
      <x:c r="J93" s="25" t="n">
        <x:v>416</x:v>
      </x:c>
      <x:c r="K93" s="25" t="n">
        <x:v>52</x:v>
      </x:c>
      <x:c r="L93" s="24" t="n">
        <x:v>30</x:v>
      </x:c>
      <x:c r="M93" s="24" t="n">
        <x:v>400</x:v>
      </x:c>
      <x:c r="N93" s="25" t="n">
        <x:v>196</x:v>
      </x:c>
      <x:c r="O93" s="25" t="n">
        <x:v>4</x:v>
      </x:c>
      <x:c r="P93" s="24" t="n">
        <x:v>461.4400163884418</x:v>
      </x:c>
      <x:c r="Q9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3"/>
      <x:c r="S93" t="str">
        <x:v>Preserve consumed record; new data/scope requires a new ID</x:v>
      </x:c>
      <x:c r="T93" t="str">
        <x:v>../Project Recherche Data/tpa-batch05-20260908/J0749-4247/run01/result.json</x:v>
      </x:c>
      <x:c r="U93" t="str">
        <x:v>9854e8593a8accab10cd1f46b8b58246799f77923c1671e85ed910b98b9ea452</x:v>
      </x:c>
      <x:c r="V93" t="str">
        <x:v>observed=ea396aa2f9eefe984c29fa433330efcc733dc89c853ca5e28097c1f0fa42e213; calibration=00ed2fd65f2b290ffa40fba024820108314edc03070b057bc436ae1e5e82c103</x:v>
      </x:c>
    </x:row>
    <x:row r="94" ht="15" hidden="0" customHeight="1">
      <x:c r="A94" t="str">
        <x:v>tpa-batch05-20260908-J1646-6831-run01</x:v>
      </x:c>
      <x:c r="B94" t="str">
        <x:v>J1646-6831</x:v>
      </x:c>
      <x:c r="C94" t="str">
        <x:v>TPA DR1; original circular search</x:v>
      </x:c>
      <x:c r="D94" t="str">
        <x:v>NO_TRIGGER</x:v>
      </x:c>
      <x:c r="E94" s="23" t="n">
        <x:v>31.7094604026321</x:v>
      </x:c>
      <x:c r="F94" t="str">
        <x:v>Strongest eligible grid peak; candidate status is separate</x:v>
      </x:c>
      <x:c r="G94" s="24" t="n">
        <x:v>224.5426353902496</x:v>
      </x:c>
      <x:c r="H94" s="24" t="n">
        <x:v>7.465545362137717</x:v>
      </x:c>
      <x:c r="I94" s="24" t="n">
        <x:v>26.120975947372482</x:v>
      </x:c>
      <x:c r="J94" s="25" t="n">
        <x:v>432</x:v>
      </x:c>
      <x:c r="K94" s="25" t="n">
        <x:v>54</x:v>
      </x:c>
      <x:c r="L94" s="24" t="n">
        <x:v>30</x:v>
      </x:c>
      <x:c r="M94" s="24" t="n">
        <x:v>400</x:v>
      </x:c>
      <x:c r="N94" s="25" t="n">
        <x:v>188</x:v>
      </x:c>
      <x:c r="O94" s="25" t="n">
        <x:v>4</x:v>
      </x:c>
      <x:c r="P94" s="24" t="n">
        <x:v>472.36441565673425</x:v>
      </x:c>
      <x:c r="Q9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4"/>
      <x:c r="S94" t="str">
        <x:v>Preserve consumed record; new data/scope requires a new ID</x:v>
      </x:c>
      <x:c r="T94" t="str">
        <x:v>../Project Recherche Data/tpa-batch05-20260908/J1646-6831/run01/result.json</x:v>
      </x:c>
      <x:c r="U94" t="str">
        <x:v>5b0be9a87422c0a326d699b36a74d19c7008185de4e4306f3a5e7238002a8542</x:v>
      </x:c>
      <x:c r="V94" t="str">
        <x:v>observed=705c16cec8e70628c912d5d055971aeceea4e751281ffd11edab2fdd313592f6; calibration=66953ce112c8d7764e88f48fb70bfd08b2bba71c2173ee4d80c6503da41949fd</x:v>
      </x:c>
    </x:row>
    <x:row r="95" ht="15" hidden="0" customHeight="1">
      <x:c r="A95" t="str">
        <x:v>tpa-batch05-20260908-J0924-5302-run01</x:v>
      </x:c>
      <x:c r="B95" t="str">
        <x:v>J0924-5302</x:v>
      </x:c>
      <x:c r="C95" t="str">
        <x:v>TPA DR1; original circular search</x:v>
      </x:c>
      <x:c r="D95" t="str">
        <x:v>NO_TRIGGER</x:v>
      </x:c>
      <x:c r="E95" s="23" t="n">
        <x:v>35.630320278465554</x:v>
      </x:c>
      <x:c r="F95" t="str">
        <x:v>Strongest eligible grid peak; candidate status is separate</x:v>
      </x:c>
      <x:c r="G95" s="24" t="n">
        <x:v>51.36910225707002</x:v>
      </x:c>
      <x:c r="H95" s="24" t="n">
        <x:v>9.70778957665362</x:v>
      </x:c>
      <x:c r="I95" s="24" t="n">
        <x:v>26.244726754808656</x:v>
      </x:c>
      <x:c r="J95" s="25" t="n">
        <x:v>424</x:v>
      </x:c>
      <x:c r="K95" s="25" t="n">
        <x:v>53</x:v>
      </x:c>
      <x:c r="L95" s="24" t="n">
        <x:v>30</x:v>
      </x:c>
      <x:c r="M95" s="24" t="n">
        <x:v>400</x:v>
      </x:c>
      <x:c r="N95" s="25" t="n">
        <x:v>200</x:v>
      </x:c>
      <x:c r="O95" s="25" t="n">
        <x:v>37</x:v>
      </x:c>
      <x:c r="P95" s="24" t="n">
        <x:v>138.99920679090016</x:v>
      </x:c>
      <x:c r="Q9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5"/>
      <x:c r="S95" t="str">
        <x:v>Preserve consumed record; new data/scope requires a new ID</x:v>
      </x:c>
      <x:c r="T95" t="str">
        <x:v>../Project Recherche Data/tpa-batch05-20260908/J0924-5302/run01/result.json</x:v>
      </x:c>
      <x:c r="U95" t="str">
        <x:v>e092353ed4e26efd2b5e49500def2157baf9d955742b41f7d2f51fb706eae4b4</x:v>
      </x:c>
      <x:c r="V95" t="str">
        <x:v>observed=647ccc92a858ab7089219f140493f57ec47958043047907408625950e50c9dd0; calibration=c4ec6b5b2a96b3314aedc20b417e332241aa4af23cef8327026bb86cc76aa87c</x:v>
      </x:c>
    </x:row>
    <x:row r="96" ht="15" hidden="0" customHeight="1">
      <x:c r="A96" t="str">
        <x:v>tpa-batch05-20260908-J1119-7936-run01</x:v>
      </x:c>
      <x:c r="B96" t="str">
        <x:v>J1119-7936</x:v>
      </x:c>
      <x:c r="C96" t="str">
        <x:v>TPA DR1; original circular search</x:v>
      </x:c>
      <x:c r="D96" t="str">
        <x:v>NO_TRIGGER</x:v>
      </x:c>
      <x:c r="E96" s="23" t="n">
        <x:v>44.16664867916869</x:v>
      </x:c>
      <x:c r="F96" t="str">
        <x:v>Strongest eligible grid peak; candidate status is separate</x:v>
      </x:c>
      <x:c r="G96" s="24" t="n">
        <x:v>250.98354884595173</x:v>
      </x:c>
      <x:c r="H96" s="24" t="n">
        <x:v>12.637750957337406</x:v>
      </x:c>
      <x:c r="I96" s="24" t="n">
        <x:v>26.254701837830737</x:v>
      </x:c>
      <x:c r="J96" s="25" t="n">
        <x:v>409</x:v>
      </x:c>
      <x:c r="K96" s="25" t="n">
        <x:v>53</x:v>
      </x:c>
      <x:c r="L96" s="24" t="n">
        <x:v>30</x:v>
      </x:c>
      <x:c r="M96" s="24" t="n">
        <x:v>400</x:v>
      </x:c>
      <x:c r="N96" s="25" t="n">
        <x:v>201</x:v>
      </x:c>
      <x:c r="O96" s="25" t="n">
        <x:v>3</x:v>
      </x:c>
      <x:c r="P96" s="24" t="n">
        <x:v>501.74661638782993</x:v>
      </x:c>
      <x:c r="Q9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6"/>
      <x:c r="S96" t="str">
        <x:v>Preserve consumed record; new data/scope requires a new ID</x:v>
      </x:c>
      <x:c r="T96" t="str">
        <x:v>../Project Recherche Data/tpa-batch05-20260908/J1119-7936/run01/result.json</x:v>
      </x:c>
      <x:c r="U96" t="str">
        <x:v>23942da024d4c07d1df69f7c0cc10ed325b3b29dd04f5c087df9c258527e8aae</x:v>
      </x:c>
      <x:c r="V96" t="str">
        <x:v>observed=a14f7adaa1d759a886c19c017cc4936373e0335830407f3980c787e1d50819d4; calibration=776555b016508c3b19a1e78732d687828107bb079ed62647a24479142a801710</x:v>
      </x:c>
    </x:row>
    <x:row r="97" ht="15" hidden="0" customHeight="1">
      <x:c r="A97" t="str">
        <x:v>tpa-batch05-20260908-J1513-5739-run01</x:v>
      </x:c>
      <x:c r="B97" t="str">
        <x:v>J1513-5739</x:v>
      </x:c>
      <x:c r="C97" t="str">
        <x:v>TPA DR1; original circular search</x:v>
      </x:c>
      <x:c r="D97" t="str">
        <x:v>NO_TRIGGER</x:v>
      </x:c>
      <x:c r="E97" s="23" t="n">
        <x:v>38.60735886974029</x:v>
      </x:c>
      <x:c r="F97" t="str">
        <x:v>Strongest eligible grid peak; candidate status is separate</x:v>
      </x:c>
      <x:c r="G97" s="24" t="n">
        <x:v>193.0611902286753</x:v>
      </x:c>
      <x:c r="H97" s="24" t="n">
        <x:v>7.27979705216949</x:v>
      </x:c>
      <x:c r="I97" s="24" t="n">
        <x:v>26.244726754808656</x:v>
      </x:c>
      <x:c r="J97" s="25" t="n">
        <x:v>430</x:v>
      </x:c>
      <x:c r="K97" s="25" t="n">
        <x:v>54</x:v>
      </x:c>
      <x:c r="L97" s="24" t="n">
        <x:v>30</x:v>
      </x:c>
      <x:c r="M97" s="24" t="n">
        <x:v>400</x:v>
      </x:c>
      <x:c r="N97" s="25" t="n">
        <x:v>200</x:v>
      </x:c>
      <x:c r="O97" s="25" t="n">
        <x:v>7</x:v>
      </x:c>
      <x:c r="P97" s="24" t="n">
        <x:v>514.1074482894429</x:v>
      </x:c>
      <x:c r="Q9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7"/>
      <x:c r="S97" t="str">
        <x:v>Preserve consumed record; new data/scope requires a new ID</x:v>
      </x:c>
      <x:c r="T97" t="str">
        <x:v>../Project Recherche Data/tpa-batch05-20260908/J1513-5739/run01/result.json</x:v>
      </x:c>
      <x:c r="U97" t="str">
        <x:v>cc6e696cefc2ffb877f65e9b912f12d4b7e798335ee0ce95340d8bce8034ea39</x:v>
      </x:c>
      <x:c r="V97" t="str">
        <x:v>observed=230bd1fcfb43244b2c9da6df61514010c8178fd60f44d883a1b694db24bab71f; calibration=8d8dd21f731d8ddf3e79570ecef89322a2e0270759d2dfe0f05f997d70bee539</x:v>
      </x:c>
    </x:row>
    <x:row r="98" ht="15" hidden="0" customHeight="1">
      <x:c r="A98" t="str">
        <x:v>tpa-batch05-20260908-J1239-6832-run01</x:v>
      </x:c>
      <x:c r="B98" t="str">
        <x:v>J1239-6832</x:v>
      </x:c>
      <x:c r="C98" t="str">
        <x:v>TPA DR1; original circular search</x:v>
      </x:c>
      <x:c r="D98" t="str">
        <x:v>NO_TRIGGER</x:v>
      </x:c>
      <x:c r="E98" s="23" t="n">
        <x:v>183.66938674235578</x:v>
      </x:c>
      <x:c r="F98" t="str">
        <x:v>Strongest eligible grid peak; candidate status is separate</x:v>
      </x:c>
      <x:c r="G98" s="24" t="n">
        <x:v>216.55841566293319</x:v>
      </x:c>
      <x:c r="H98" s="24" t="n">
        <x:v>8.948789106936351</x:v>
      </x:c>
      <x:c r="I98" s="24" t="n">
        <x:v>26.244726754808656</x:v>
      </x:c>
      <x:c r="J98" s="25" t="n">
        <x:v>416</x:v>
      </x:c>
      <x:c r="K98" s="25" t="n">
        <x:v>52</x:v>
      </x:c>
      <x:c r="L98" s="24" t="n">
        <x:v>30</x:v>
      </x:c>
      <x:c r="M98" s="24" t="n">
        <x:v>400</x:v>
      </x:c>
      <x:c r="N98" s="25" t="n">
        <x:v>200</x:v>
      </x:c>
      <x:c r="O98" s="25" t="n">
        <x:v>4</x:v>
      </x:c>
      <x:c r="P98" s="24" t="n">
        <x:v>498.8381730482548</x:v>
      </x:c>
      <x:c r="Q9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8"/>
      <x:c r="S98" t="str">
        <x:v>Preserve consumed record; new data/scope requires a new ID</x:v>
      </x:c>
      <x:c r="T98" t="str">
        <x:v>../Project Recherche Data/tpa-batch05-20260908/J1239-6832/run01/result.json</x:v>
      </x:c>
      <x:c r="U98" t="str">
        <x:v>8353f14dd04a78b224271d73b5a5ffc7e870bf153e3827d6cf04a6792478eab7</x:v>
      </x:c>
      <x:c r="V98" t="str">
        <x:v>observed=f457ccaef1dc7c6ed116e0fee9642838b8897b1c0a1877e307ffdf3a7b1f4090; calibration=811ab1272314796a598b4355ecb9a3bacdb7fbc08370cc47f1869d3d4399d93d</x:v>
      </x:c>
    </x:row>
    <x:row r="99" ht="15" hidden="0" customHeight="1">
      <x:c r="A99" t="str">
        <x:v>tpa-batch05-20260908-J1638-5226-run01</x:v>
      </x:c>
      <x:c r="B99" t="str">
        <x:v>J1638-5226</x:v>
      </x:c>
      <x:c r="C99" t="str">
        <x:v>TPA DR1; original circular search</x:v>
      </x:c>
      <x:c r="D99" t="str">
        <x:v>NO_TRIGGER</x:v>
      </x:c>
      <x:c r="E99" s="23" t="n">
        <x:v>87.54778695382234</x:v>
      </x:c>
      <x:c r="F99" t="str">
        <x:v>Strongest eligible grid peak; candidate status is separate</x:v>
      </x:c>
      <x:c r="G99" s="24" t="n">
        <x:v>223.7857689063269</x:v>
      </x:c>
      <x:c r="H99" s="24" t="n">
        <x:v>8.86070826739449</x:v>
      </x:c>
      <x:c r="I99" s="24" t="n">
        <x:v>26.36126457105661</x:v>
      </x:c>
      <x:c r="J99" s="25" t="n">
        <x:v>447</x:v>
      </x:c>
      <x:c r="K99" s="25" t="n">
        <x:v>56</x:v>
      </x:c>
      <x:c r="L99" s="24" t="n">
        <x:v>30</x:v>
      </x:c>
      <x:c r="M99" s="24" t="n">
        <x:v>400</x:v>
      </x:c>
      <x:c r="N99" s="25" t="n">
        <x:v>212</x:v>
      </x:c>
      <x:c r="O99" s="25" t="n">
        <x:v>4</x:v>
      </x:c>
      <x:c r="P99" s="24" t="n">
        <x:v>511.4004208684599</x:v>
      </x:c>
      <x:c r="Q9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99"/>
      <x:c r="S99" t="str">
        <x:v>Preserve consumed record; new data/scope requires a new ID</x:v>
      </x:c>
      <x:c r="T99" t="str">
        <x:v>../Project Recherche Data/tpa-batch05-20260908/J1638-5226/run01/result.json</x:v>
      </x:c>
      <x:c r="U99" t="str">
        <x:v>b4c9bfa2a3eef02c50bc84f782b472df35d6071e9cb7fd17d4aded259c733d68</x:v>
      </x:c>
      <x:c r="V99" t="str">
        <x:v>observed=69321e93da4bc748ae75cde163f1f212759ffcef2a9d4fb93c70083d1ec77664; calibration=4b5d02aa64f53d57cfbe9bed2755d9bc334d21718cacf65815cfdfa1586e32cd</x:v>
      </x:c>
    </x:row>
    <x:row r="100" ht="15" hidden="0" customHeight="1">
      <x:c r="A100" t="str">
        <x:v>tpa-batch05-20260908-J1737-3555-run01</x:v>
      </x:c>
      <x:c r="B100" t="str">
        <x:v>J1737-3555</x:v>
      </x:c>
      <x:c r="C100" t="str">
        <x:v>TPA DR1; original circular search</x:v>
      </x:c>
      <x:c r="D100" t="str">
        <x:v>NO_TRIGGER</x:v>
      </x:c>
      <x:c r="E100" s="23" t="n">
        <x:v>36.66318759981356</x:v>
      </x:c>
      <x:c r="F100" t="str">
        <x:v>Strongest eligible grid peak; candidate status is separate</x:v>
      </x:c>
      <x:c r="G100" s="24" t="n">
        <x:v>258.19000643489767</x:v>
      </x:c>
      <x:c r="H100" s="24" t="n">
        <x:v>9.340675976426716</x:v>
      </x:c>
      <x:c r="I100" s="24" t="n">
        <x:v>26.254701837830737</x:v>
      </x:c>
      <x:c r="J100" s="25" t="n">
        <x:v>424</x:v>
      </x:c>
      <x:c r="K100" s="25" t="n">
        <x:v>53</x:v>
      </x:c>
      <x:c r="L100" s="24" t="n">
        <x:v>30</x:v>
      </x:c>
      <x:c r="M100" s="24" t="n">
        <x:v>400</x:v>
      </x:c>
      <x:c r="N100" s="25" t="n">
        <x:v>201</x:v>
      </x:c>
      <x:c r="O100" s="25" t="n">
        <x:v>4</x:v>
      </x:c>
      <x:c r="P100" s="24" t="n">
        <x:v>528.5609144456969</x:v>
      </x:c>
      <x:c r="Q10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0"/>
      <x:c r="S100" t="str">
        <x:v>Preserve consumed record; new data/scope requires a new ID</x:v>
      </x:c>
      <x:c r="T100" t="str">
        <x:v>../Project Recherche Data/tpa-batch05-20260908/J1737-3555/run01/result.json</x:v>
      </x:c>
      <x:c r="U100" t="str">
        <x:v>c18c9b4a47b85024f6eabf65a0b8aa14613c2edc9389d93b0fd6d25e9858db69</x:v>
      </x:c>
      <x:c r="V100" t="str">
        <x:v>observed=cd4d994d6b0ffac7776abe30920d3ded071ad1cac9486227f0d1a4d4194e2dde; calibration=194fb58ab705cd2ddf087161bc4e2d43a3067dd543bf60b907a9623c8375499e</x:v>
      </x:c>
    </x:row>
    <x:row r="101" ht="15" hidden="0" customHeight="1">
      <x:c r="A101" t="str">
        <x:v>tpa-batch05-20260908-J1703-4851-run01</x:v>
      </x:c>
      <x:c r="B101" t="str">
        <x:v>J1703-4851</x:v>
      </x:c>
      <x:c r="C101" t="str">
        <x:v>TPA DR1; original circular search</x:v>
      </x:c>
      <x:c r="D101" t="str">
        <x:v>NO_TRIGGER</x:v>
      </x:c>
      <x:c r="E101" s="23" t="n">
        <x:v>37.885601697353806</x:v>
      </x:c>
      <x:c r="F101" t="str">
        <x:v>Strongest eligible grid peak; candidate status is separate</x:v>
      </x:c>
      <x:c r="G101" s="24" t="n">
        <x:v>234.56305606038015</x:v>
      </x:c>
      <x:c r="H101" s="24" t="n">
        <x:v>9.400228694733286</x:v>
      </x:c>
      <x:c r="I101" s="24" t="n">
        <x:v>26.152638877805845</x:v>
      </x:c>
      <x:c r="J101" s="25" t="n">
        <x:v>424</x:v>
      </x:c>
      <x:c r="K101" s="25" t="n">
        <x:v>53</x:v>
      </x:c>
      <x:c r="L101" s="24" t="n">
        <x:v>30</x:v>
      </x:c>
      <x:c r="M101" s="24" t="n">
        <x:v>400</x:v>
      </x:c>
      <x:c r="N101" s="25" t="n">
        <x:v>191</x:v>
      </x:c>
      <x:c r="O101" s="25" t="n">
        <x:v>4</x:v>
      </x:c>
      <x:c r="P101" s="24" t="n">
        <x:v>575.8042539762989</x:v>
      </x:c>
      <x:c r="Q10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1"/>
      <x:c r="S101" t="str">
        <x:v>Preserve consumed record; new data/scope requires a new ID</x:v>
      </x:c>
      <x:c r="T101" t="str">
        <x:v>../Project Recherche Data/tpa-batch05-20260908/J1703-4851/run01/result.json</x:v>
      </x:c>
      <x:c r="U101" t="str">
        <x:v>ecfc32d5d414310ac6e3f0e5b3d0b9648bf33bba4e38f74edb0da6c91856cf51</x:v>
      </x:c>
      <x:c r="V101" t="str">
        <x:v>observed=7c56d4c1b12ba096131f14a79f60ce3b270518e708152ac1dcb96bbeaa89071e; calibration=a450fab951a227efc9f1068c7c04305bac740c7e20dbc577650954a78e541ed3</x:v>
      </x:c>
    </x:row>
    <x:row r="102" ht="15" hidden="0" customHeight="1">
      <x:c r="A102" t="str">
        <x:v>tpa-batch05-20260908-J1105-6107-run01</x:v>
      </x:c>
      <x:c r="B102" t="str">
        <x:v>J1105-6107</x:v>
      </x:c>
      <x:c r="C102" t="str">
        <x:v>TPA DR1; original circular search</x:v>
      </x:c>
      <x:c r="D102" t="str">
        <x:v>NO_TRIGGER</x:v>
      </x:c>
      <x:c r="E102" s="23" t="n">
        <x:v>39.485656841454116</x:v>
      </x:c>
      <x:c r="F102" t="str">
        <x:v>Strongest eligible grid peak; candidate status is separate</x:v>
      </x:c>
      <x:c r="G102" s="24" t="n">
        <x:v>24.127531020266787</x:v>
      </x:c>
      <x:c r="H102" s="24" t="n">
        <x:v>5.856355847932763</x:v>
      </x:c>
      <x:c r="I102" s="24" t="n">
        <x:v>26.16308276576815</x:v>
      </x:c>
      <x:c r="J102" s="25" t="n">
        <x:v>400</x:v>
      </x:c>
      <x:c r="K102" s="25" t="n">
        <x:v>50</x:v>
      </x:c>
      <x:c r="L102" s="24" t="n">
        <x:v>30</x:v>
      </x:c>
      <x:c r="M102" s="24" t="n">
        <x:v>400</x:v>
      </x:c>
      <x:c r="N102" s="25" t="n">
        <x:v>192</x:v>
      </x:c>
      <x:c r="O102" s="25" t="n">
        <x:v>48</x:v>
      </x:c>
      <x:c r="P102" s="24" t="n">
        <x:v>79.52408755811052</x:v>
      </x:c>
      <x:c r="Q10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2"/>
      <x:c r="S102" t="str">
        <x:v>Preserve consumed record; new data/scope requires a new ID</x:v>
      </x:c>
      <x:c r="T102" t="str">
        <x:v>../Project Recherche Data/tpa-batch05-20260908/J1105-6107/run01/result.json</x:v>
      </x:c>
      <x:c r="U102" t="str">
        <x:v>e2c546c138f1a1ccbc0a670dcb03c0c47f00af63ce127e04117898a3d3579468</x:v>
      </x:c>
      <x:c r="V102" t="str">
        <x:v>observed=33707b40dafc3ce3a2f9381d1e269ad6fca44590c5ab996425430c2a7c0284a1; calibration=dbf1348f5e046dd85bbaefcade55250de84a322e7afb72f6e746258bee15dd3e</x:v>
      </x:c>
    </x:row>
    <x:row r="103" ht="15" hidden="0" customHeight="1">
      <x:c r="A103" t="str">
        <x:v>tpa-batch05-20260908-J0909-7212-run01</x:v>
      </x:c>
      <x:c r="B103" t="str">
        <x:v>J0909-7212</x:v>
      </x:c>
      <x:c r="C103" t="str">
        <x:v>TPA DR1; original circular search</x:v>
      </x:c>
      <x:c r="D103" t="str">
        <x:v>NO_TRIGGER</x:v>
      </x:c>
      <x:c r="E103" s="23" t="n">
        <x:v>30.27913454991187</x:v>
      </x:c>
      <x:c r="F103" t="str">
        <x:v>Strongest eligible grid peak; candidate status is separate</x:v>
      </x:c>
      <x:c r="G103" s="24" t="n">
        <x:v>235.50624955538618</x:v>
      </x:c>
      <x:c r="H103" s="24" t="n">
        <x:v>8.769534692765653</x:v>
      </x:c>
      <x:c r="I103" s="24" t="n">
        <x:v>26.244726754808656</x:v>
      </x:c>
      <x:c r="J103" s="25" t="n">
        <x:v>416</x:v>
      </x:c>
      <x:c r="K103" s="25" t="n">
        <x:v>52</x:v>
      </x:c>
      <x:c r="L103" s="24" t="n">
        <x:v>30</x:v>
      </x:c>
      <x:c r="M103" s="24" t="n">
        <x:v>400</x:v>
      </x:c>
      <x:c r="N103" s="25" t="n">
        <x:v>200</x:v>
      </x:c>
      <x:c r="O103" s="25" t="n">
        <x:v>4</x:v>
      </x:c>
      <x:c r="P103" s="24" t="n">
        <x:v>561.1680454283611</x:v>
      </x:c>
      <x:c r="Q10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3"/>
      <x:c r="S103" t="str">
        <x:v>Preserve consumed record; new data/scope requires a new ID</x:v>
      </x:c>
      <x:c r="T103" t="str">
        <x:v>../Project Recherche Data/tpa-batch05-20260908/J0909-7212/run01/result.json</x:v>
      </x:c>
      <x:c r="U103" t="str">
        <x:v>9d1d2dadcc48a1cd93a48b27124f938001c1f4b5355959fd046e2adf706ca083</x:v>
      </x:c>
      <x:c r="V103" t="str">
        <x:v>observed=e493cd7fe7495bb793483448191c7ddcf9da61e2231cd73697bed5435063c1af; calibration=de5145aa476af111327a5cf71ae9f4194bb1b64308ccf4fe74cfd8b864522be5</x:v>
      </x:c>
    </x:row>
    <x:row r="104" ht="15" hidden="0" customHeight="1">
      <x:c r="A104" t="str">
        <x:v>tpa-batch05-20260908-J1549-4848-run01</x:v>
      </x:c>
      <x:c r="B104" t="str">
        <x:v>J1549-4848</x:v>
      </x:c>
      <x:c r="C104" t="str">
        <x:v>TPA DR1; original circular search</x:v>
      </x:c>
      <x:c r="D104" t="str">
        <x:v>NO_TRIGGER</x:v>
      </x:c>
      <x:c r="E104" s="23" t="n">
        <x:v>75.54406755041693</x:v>
      </x:c>
      <x:c r="F104" t="str">
        <x:v>Strongest eligible grid peak; candidate status is separate</x:v>
      </x:c>
      <x:c r="G104" s="24" t="n">
        <x:v>178.87710012542954</x:v>
      </x:c>
      <x:c r="H104" s="24" t="n">
        <x:v>8.572687558275241</x:v>
      </x:c>
      <x:c r="I104" s="24" t="n">
        <x:v>26.152638877805845</x:v>
      </x:c>
      <x:c r="J104" s="25" t="n">
        <x:v>424</x:v>
      </x:c>
      <x:c r="K104" s="25" t="n">
        <x:v>53</x:v>
      </x:c>
      <x:c r="L104" s="24" t="n">
        <x:v>30</x:v>
      </x:c>
      <x:c r="M104" s="24" t="n">
        <x:v>400</x:v>
      </x:c>
      <x:c r="N104" s="25" t="n">
        <x:v>191</x:v>
      </x:c>
      <x:c r="O104" s="25" t="n">
        <x:v>5</x:v>
      </x:c>
      <x:c r="P104" s="24" t="n">
        <x:v>479.5774893224774</x:v>
      </x:c>
      <x:c r="Q10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4"/>
      <x:c r="S104" t="str">
        <x:v>Preserve consumed record; new data/scope requires a new ID</x:v>
      </x:c>
      <x:c r="T104" t="str">
        <x:v>../Project Recherche Data/tpa-batch05-20260908/J1549-4848/run01/result.json</x:v>
      </x:c>
      <x:c r="U104" t="str">
        <x:v>389b215dae2ef79528ab1e3745b7430abb078efe88471a76c1fa77a6c0715932</x:v>
      </x:c>
      <x:c r="V104" t="str">
        <x:v>observed=60bbd0ab249ed643d93afad1ae3aadf3b68074bde702a310851af547d5b88894; calibration=497195934ca5ab9835191d55f063078f1649caf098a40e4ffc0607bddbc4a546</x:v>
      </x:c>
    </x:row>
    <x:row r="105" ht="15" hidden="0" customHeight="1">
      <x:c r="A105" t="str">
        <x:v>tpa-batch05-20260908-J1805-0619-run01</x:v>
      </x:c>
      <x:c r="B105" t="str">
        <x:v>J1805-0619</x:v>
      </x:c>
      <x:c r="C105" t="str">
        <x:v>TPA DR1; original circular search</x:v>
      </x:c>
      <x:c r="D105" t="str">
        <x:v>NO_TRIGGER</x:v>
      </x:c>
      <x:c r="E105" s="23" t="n">
        <x:v>32.3282671024467</x:v>
      </x:c>
      <x:c r="F105" t="str">
        <x:v>Strongest eligible grid peak; candidate status is separate</x:v>
      </x:c>
      <x:c r="G105" s="24" t="n">
        <x:v>310.8562069327256</x:v>
      </x:c>
      <x:c r="H105" s="24" t="n">
        <x:v>11.534778972696671</x:v>
      </x:c>
      <x:c r="I105" s="24" t="n">
        <x:v>26.23470167116157</x:v>
      </x:c>
      <x:c r="J105" s="25" t="n">
        <x:v>432</x:v>
      </x:c>
      <x:c r="K105" s="25" t="n">
        <x:v>54</x:v>
      </x:c>
      <x:c r="L105" s="24" t="n">
        <x:v>30</x:v>
      </x:c>
      <x:c r="M105" s="24" t="n">
        <x:v>400</x:v>
      </x:c>
      <x:c r="N105" s="25" t="n">
        <x:v>199</x:v>
      </x:c>
      <x:c r="O105" s="25" t="n">
        <x:v>4</x:v>
      </x:c>
      <x:c r="P105" s="24" t="n">
        <x:v>575.5426163883049</x:v>
      </x:c>
      <x:c r="Q10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5"/>
      <x:c r="S105" t="str">
        <x:v>Preserve consumed record; new data/scope requires a new ID</x:v>
      </x:c>
      <x:c r="T105" t="str">
        <x:v>../Project Recherche Data/tpa-batch05-20260908/J1805-0619/run01/result.json</x:v>
      </x:c>
      <x:c r="U105" t="str">
        <x:v>3a99240b30ef308daa99b7ada5e1c9eec23758f70f4f0b41ae148874e5877707</x:v>
      </x:c>
      <x:c r="V105" t="str">
        <x:v>observed=ff6717f0372dc2051e4762e967e2f80324fe58f027e89161d3e0f5e65d54089f; calibration=6bab4ee20c00ab26e7a7468f5ec057ebfeb53f2d467e18dbaccf393a85622b59</x:v>
      </x:c>
    </x:row>
    <x:row r="106" ht="15" hidden="0" customHeight="1">
      <x:c r="A106" t="str">
        <x:v>tpa-batch05-20260908-J1819-0925-run01</x:v>
      </x:c>
      <x:c r="B106" t="str">
        <x:v>J1819-0925</x:v>
      </x:c>
      <x:c r="C106" t="str">
        <x:v>TPA DR1; original circular search</x:v>
      </x:c>
      <x:c r="D106" t="str">
        <x:v>NO_TRIGGER</x:v>
      </x:c>
      <x:c r="E106" s="23" t="n">
        <x:v>35.169809725596735</x:v>
      </x:c>
      <x:c r="F106" t="str">
        <x:v>Strongest eligible grid peak; candidate status is separate</x:v>
      </x:c>
      <x:c r="G106" s="24" t="n">
        <x:v>209.43259158396984</x:v>
      </x:c>
      <x:c r="H106" s="24" t="n">
        <x:v>5.908275412757734</x:v>
      </x:c>
      <x:c r="I106" s="24" t="n">
        <x:v>26.23470167116157</x:v>
      </x:c>
      <x:c r="J106" s="25" t="n">
        <x:v>416</x:v>
      </x:c>
      <x:c r="K106" s="25" t="n">
        <x:v>52</x:v>
      </x:c>
      <x:c r="L106" s="24" t="n">
        <x:v>30</x:v>
      </x:c>
      <x:c r="M106" s="24" t="n">
        <x:v>400</x:v>
      </x:c>
      <x:c r="N106" s="25" t="n">
        <x:v>199</x:v>
      </x:c>
      <x:c r="O106" s="25" t="n">
        <x:v>4</x:v>
      </x:c>
      <x:c r="P106" s="24" t="n">
        <x:v>580.3144420847046</x:v>
      </x:c>
      <x:c r="Q10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6"/>
      <x:c r="S106" t="str">
        <x:v>Preserve consumed record; new data/scope requires a new ID</x:v>
      </x:c>
      <x:c r="T106" t="str">
        <x:v>../Project Recherche Data/tpa-batch05-20260908/J1819-0925/run01/result.json</x:v>
      </x:c>
      <x:c r="U106" t="str">
        <x:v>2bd1fdac5195f1420ceb8cd454712e91bfb1bf7b9ac3ddb32216d2ec8cf7ca48</x:v>
      </x:c>
      <x:c r="V106" t="str">
        <x:v>observed=edfd6d6ae7e49049eb32d31bf70f9074ef1596fd0a6aa6992319c3822f211fb2; calibration=aa157244546dfd4c031f2d0545edb9d4d032bc83ab6ce1ada01e5ef55c4568f0</x:v>
      </x:c>
    </x:row>
    <x:row r="107" ht="15" hidden="0" customHeight="1">
      <x:c r="A107" t="str">
        <x:v>tpa-batch05-20260908-J1403-6310-run01</x:v>
      </x:c>
      <x:c r="B107" t="str">
        <x:v>J1403-6310</x:v>
      </x:c>
      <x:c r="C107" t="str">
        <x:v>TPA DR1; original circular search</x:v>
      </x:c>
      <x:c r="D107" t="str">
        <x:v>NO_TRIGGER</x:v>
      </x:c>
      <x:c r="E107" s="23" t="n">
        <x:v>32.8537835856031</x:v>
      </x:c>
      <x:c r="F107" t="str">
        <x:v>Strongest eligible grid peak; candidate status is separate</x:v>
      </x:c>
      <x:c r="G107" s="24" t="n">
        <x:v>350.89623028988547</x:v>
      </x:c>
      <x:c r="H107" s="24" t="n">
        <x:v>21.425273985425378</x:v>
      </x:c>
      <x:c r="I107" s="24" t="n">
        <x:v>26.36126457105661</x:v>
      </x:c>
      <x:c r="J107" s="25" t="n">
        <x:v>432</x:v>
      </x:c>
      <x:c r="K107" s="25" t="n">
        <x:v>54</x:v>
      </x:c>
      <x:c r="L107" s="24" t="n">
        <x:v>30</x:v>
      </x:c>
      <x:c r="M107" s="24" t="n">
        <x:v>400</x:v>
      </x:c>
      <x:c r="N107" s="25" t="n">
        <x:v>212</x:v>
      </x:c>
      <x:c r="O107" s="25" t="n">
        <x:v>3</x:v>
      </x:c>
      <x:c r="P107" s="24" t="n">
        <x:v>552.0331468027134</x:v>
      </x:c>
      <x:c r="Q10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7"/>
      <x:c r="S107" t="str">
        <x:v>Preserve consumed record; new data/scope requires a new ID</x:v>
      </x:c>
      <x:c r="T107" t="str">
        <x:v>../Project Recherche Data/tpa-batch05-20260908/J1403-6310/run01/result.json</x:v>
      </x:c>
      <x:c r="U107" t="str">
        <x:v>94b92f12fb40cf22be0852b3f63074e5d11aeefcd38c600258d357a307516cc2</x:v>
      </x:c>
      <x:c r="V107" t="str">
        <x:v>observed=fcc3e462e8371447d9caf2846aab2e057994ddc225fde700b9c884bf1a33b07d; calibration=d8bd81c206a92e4dc66ef67c75de6cf82fcd2fa7f9e37ab28ed52cbb963919cc</x:v>
      </x:c>
    </x:row>
    <x:row r="108" ht="15" hidden="0" customHeight="1">
      <x:c r="A108" t="str">
        <x:v>tpa-batch05-20260908-J1626-4537-run01</x:v>
      </x:c>
      <x:c r="B108" t="str">
        <x:v>J1626-4537</x:v>
      </x:c>
      <x:c r="C108" t="str">
        <x:v>TPA DR1; original circular search</x:v>
      </x:c>
      <x:c r="D108" t="str">
        <x:v>NO_TRIGGER</x:v>
      </x:c>
      <x:c r="E108" s="23" t="n">
        <x:v>135.48855282114602</x:v>
      </x:c>
      <x:c r="F108" t="str">
        <x:v>Strongest eligible grid peak; candidate status is separate</x:v>
      </x:c>
      <x:c r="G108" s="24" t="n">
        <x:v>235.1964592090444</x:v>
      </x:c>
      <x:c r="H108" s="24" t="n">
        <x:v>7.717090609100784</x:v>
      </x:c>
      <x:c r="I108" s="24" t="n">
        <x:v>26.152638877805845</x:v>
      </x:c>
      <x:c r="J108" s="25" t="n">
        <x:v>432</x:v>
      </x:c>
      <x:c r="K108" s="25" t="n">
        <x:v>54</x:v>
      </x:c>
      <x:c r="L108" s="24" t="n">
        <x:v>30</x:v>
      </x:c>
      <x:c r="M108" s="24" t="n">
        <x:v>400</x:v>
      </x:c>
      <x:c r="N108" s="25" t="n">
        <x:v>191</x:v>
      </x:c>
      <x:c r="O108" s="25" t="n">
        <x:v>4</x:v>
      </x:c>
      <x:c r="P108" s="24" t="n">
        <x:v>590.2476505869234</x:v>
      </x:c>
      <x:c r="Q10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8"/>
      <x:c r="S108" t="str">
        <x:v>Preserve consumed record; new data/scope requires a new ID</x:v>
      </x:c>
      <x:c r="T108" t="str">
        <x:v>../Project Recherche Data/tpa-batch05-20260908/J1626-4537/run01/result.json</x:v>
      </x:c>
      <x:c r="U108" t="str">
        <x:v>4ec72f3bc4a7f4a36564c46f95d3955f43f1a4a98b0c4fdf60a731f6b3dd4f65</x:v>
      </x:c>
      <x:c r="V108" t="str">
        <x:v>observed=365ab0ba4d68622a9e1398dd504eed7b6c3d8c0a1f6dcb62db4702f66f60c421; calibration=067d07df5b469a7899501adcd71bcef2cd72135a4c7cad8a1a46ab39bc951e60</x:v>
      </x:c>
    </x:row>
    <x:row r="109" ht="15" hidden="0" customHeight="1">
      <x:c r="A109" t="str">
        <x:v>tpa-batch05-20260908-J1056-6258-run01</x:v>
      </x:c>
      <x:c r="B109" t="str">
        <x:v>J1056-6258</x:v>
      </x:c>
      <x:c r="C109" t="str">
        <x:v>TPA DR1; original circular search</x:v>
      </x:c>
      <x:c r="D109" t="str">
        <x:v>NO_TRIGGER</x:v>
      </x:c>
      <x:c r="E109" s="23" t="n">
        <x:v>33.45697657241803</x:v>
      </x:c>
      <x:c r="F109" t="str">
        <x:v>Strongest eligible grid peak; candidate status is separate</x:v>
      </x:c>
      <x:c r="G109" s="24" t="n">
        <x:v>177.1098798534548</x:v>
      </x:c>
      <x:c r="H109" s="24" t="n">
        <x:v>11.59561598123112</x:v>
      </x:c>
      <x:c r="I109" s="24" t="n">
        <x:v>26.21449947918856</x:v>
      </x:c>
      <x:c r="J109" s="25" t="n">
        <x:v>416</x:v>
      </x:c>
      <x:c r="K109" s="25" t="n">
        <x:v>52</x:v>
      </x:c>
      <x:c r="L109" s="24" t="n">
        <x:v>30</x:v>
      </x:c>
      <x:c r="M109" s="24" t="n">
        <x:v>400</x:v>
      </x:c>
      <x:c r="N109" s="25" t="n">
        <x:v>197</x:v>
      </x:c>
      <x:c r="O109" s="25" t="n">
        <x:v>149</x:v>
      </x:c>
      <x:c r="P109" s="24" t="n">
        <x:v>348.6346483110676</x:v>
      </x:c>
      <x:c r="Q10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09"/>
      <x:c r="S109" t="str">
        <x:v>Preserve consumed record; new data/scope requires a new ID</x:v>
      </x:c>
      <x:c r="T109" t="str">
        <x:v>../Project Recherche Data/tpa-batch05-20260908/J1056-6258/run01/result.json</x:v>
      </x:c>
      <x:c r="U109" t="str">
        <x:v>6a878d508ac067b1ead8da7c59c2bc525e208eae5af985b677febb8fe29d51ad</x:v>
      </x:c>
      <x:c r="V109" t="str">
        <x:v>observed=559b5cd1e3297300f2d282ba5865de27233a272b181f496daa2beb10f94e4aa4; calibration=dd0a184ec150723620a416beacda2f7578f3b7ba6969ac9fb6dc08e38fcbe99a</x:v>
      </x:c>
    </x:row>
    <x:row r="110" ht="15" hidden="0" customHeight="1">
      <x:c r="A110" t="str">
        <x:v>tpa-batch05-20260908-J1340-6456-run01</x:v>
      </x:c>
      <x:c r="B110" t="str">
        <x:v>J1340-6456</x:v>
      </x:c>
      <x:c r="C110" t="str">
        <x:v>TPA DR1; original circular search</x:v>
      </x:c>
      <x:c r="D110" t="str">
        <x:v>NO_TRIGGER</x:v>
      </x:c>
      <x:c r="E110" s="23" t="n">
        <x:v>105.68813629741916</x:v>
      </x:c>
      <x:c r="F110" t="str">
        <x:v>Strongest eligible grid peak; candidate status is separate</x:v>
      </x:c>
      <x:c r="G110" s="24" t="n">
        <x:v>233.70469941134252</x:v>
      </x:c>
      <x:c r="H110" s="24" t="n">
        <x:v>6.419953099228721</x:v>
      </x:c>
      <x:c r="I110" s="24" t="n">
        <x:v>26.16308276576815</x:v>
      </x:c>
      <x:c r="J110" s="25" t="n">
        <x:v>405</x:v>
      </x:c>
      <x:c r="K110" s="25" t="n">
        <x:v>53</x:v>
      </x:c>
      <x:c r="L110" s="24" t="n">
        <x:v>30</x:v>
      </x:c>
      <x:c r="M110" s="24" t="n">
        <x:v>400</x:v>
      </x:c>
      <x:c r="N110" s="25" t="n">
        <x:v>192</x:v>
      </x:c>
      <x:c r="O110" s="25" t="n">
        <x:v>4</x:v>
      </x:c>
      <x:c r="P110" s="24" t="n">
        <x:v>642.295503926797</x:v>
      </x:c>
      <x:c r="Q11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0"/>
      <x:c r="S110" t="str">
        <x:v>Preserve consumed record; new data/scope requires a new ID</x:v>
      </x:c>
      <x:c r="T110" t="str">
        <x:v>../Project Recherche Data/tpa-batch05-20260908/J1340-6456/run01/result.json</x:v>
      </x:c>
      <x:c r="U110" t="str">
        <x:v>890ebe99353e63f82aba7244a07eb77784cdc4be858b1ccee986030c85e9ba80</x:v>
      </x:c>
      <x:c r="V110" t="str">
        <x:v>observed=525ac0c9c18e37b480a9a2755536d0f95b1c8f17b7b22f9e30f924999dc68df0; calibration=94deaf070264bee7cb30957e5eb8ceec0a951fcfc6d2ab63efce1dbeea49a32c</x:v>
      </x:c>
    </x:row>
    <x:row r="111" ht="15" hidden="0" customHeight="1">
      <x:c r="A111" t="str">
        <x:v>tpa-batch06-20260908-J0904-4246-run01</x:v>
      </x:c>
      <x:c r="B111" t="str">
        <x:v>J0904-4246</x:v>
      </x:c>
      <x:c r="C111" t="str">
        <x:v>TPA DR1; original circular search</x:v>
      </x:c>
      <x:c r="D111" t="str">
        <x:v>NO_TRIGGER</x:v>
      </x:c>
      <x:c r="E111" s="23" t="n">
        <x:v>39.043017884806275</x:v>
      </x:c>
      <x:c r="F111" t="str">
        <x:v>Strongest eligible grid peak; candidate status is separate</x:v>
      </x:c>
      <x:c r="G111" s="24" t="n">
        <x:v>209.14243616804504</x:v>
      </x:c>
      <x:c r="H111" s="24" t="n">
        <x:v>5.526377223695025</x:v>
      </x:c>
      <x:c r="I111" s="24" t="n">
        <x:v>26.36126457105661</x:v>
      </x:c>
      <x:c r="J111" s="25" t="n">
        <x:v>440</x:v>
      </x:c>
      <x:c r="K111" s="25" t="n">
        <x:v>55</x:v>
      </x:c>
      <x:c r="L111" s="24" t="n">
        <x:v>30</x:v>
      </x:c>
      <x:c r="M111" s="24" t="n">
        <x:v>400</x:v>
      </x:c>
      <x:c r="N111" s="25" t="n">
        <x:v>212</x:v>
      </x:c>
      <x:c r="O111" s="25" t="n">
        <x:v>4</x:v>
      </x:c>
      <x:c r="P111" s="24" t="n">
        <x:v>621.6933691619881</x:v>
      </x:c>
      <x:c r="Q11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1"/>
      <x:c r="S111" t="str">
        <x:v>Preserve consumed record; new data/scope requires a new ID</x:v>
      </x:c>
      <x:c r="T111" t="str">
        <x:v>../Project Recherche Data/tpa-batch06-20260908/J0904-4246/run01/result.json</x:v>
      </x:c>
      <x:c r="U111" t="str">
        <x:v>c2e63422c794a0f3ad3069de79217a9682a03051d31f75acaa00d2aad73acd73</x:v>
      </x:c>
      <x:c r="V111" t="str">
        <x:v>observed=db864022e0902df5a607697708b39110fdf7a1f7e9d4059387f44f7a6d75d879; calibration=41f5fbefaa8f33f8826486239ec793b54a31612922adf8b9a3cf6c72b51b8984</x:v>
      </x:c>
    </x:row>
    <x:row r="112" ht="15" hidden="0" customHeight="1">
      <x:c r="A112" t="str">
        <x:v>tpa-batch06-20260908-J1811-0154-run01</x:v>
      </x:c>
      <x:c r="B112" t="str">
        <x:v>J1811-0154</x:v>
      </x:c>
      <x:c r="C112" t="str">
        <x:v>TPA DR1; original circular search</x:v>
      </x:c>
      <x:c r="D112" t="str">
        <x:v>NO_TRIGGER</x:v>
      </x:c>
      <x:c r="E112" s="23" t="n">
        <x:v>59.82166517351817</x:v>
      </x:c>
      <x:c r="F112" t="str">
        <x:v>Strongest eligible grid peak; candidate status is separate</x:v>
      </x:c>
      <x:c r="G112" s="24" t="n">
        <x:v>274.1685885801366</x:v>
      </x:c>
      <x:c r="H112" s="24" t="n">
        <x:v>7.964158586131851</x:v>
      </x:c>
      <x:c r="I112" s="24" t="n">
        <x:v>26.23470167116157</x:v>
      </x:c>
      <x:c r="J112" s="25" t="n">
        <x:v>440</x:v>
      </x:c>
      <x:c r="K112" s="25" t="n">
        <x:v>55</x:v>
      </x:c>
      <x:c r="L112" s="24" t="n">
        <x:v>30</x:v>
      </x:c>
      <x:c r="M112" s="24" t="n">
        <x:v>400</x:v>
      </x:c>
      <x:c r="N112" s="25" t="n">
        <x:v>199</x:v>
      </x:c>
      <x:c r="O112" s="25" t="n">
        <x:v>4</x:v>
      </x:c>
      <x:c r="P112" s="24" t="n">
        <x:v>616.3985031236004</x:v>
      </x:c>
      <x:c r="Q11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2"/>
      <x:c r="S112" t="str">
        <x:v>Preserve consumed record; new data/scope requires a new ID</x:v>
      </x:c>
      <x:c r="T112" t="str">
        <x:v>../Project Recherche Data/tpa-batch06-20260908/J1811-0154/run01/result.json</x:v>
      </x:c>
      <x:c r="U112" t="str">
        <x:v>ae2cd107da21a3aca0a897a85c7853a19112552fe9744df3cdaf2621ef8826e1</x:v>
      </x:c>
      <x:c r="V112" t="str">
        <x:v>observed=81bcf85d2e95df6d04c4620d9e796d84b06a07cacececa1aec50faf2fb593640; calibration=713a8e72ae2c08ca594e1ae80bffdec9a874c30d012998810abcab47c4c74fc4</x:v>
      </x:c>
    </x:row>
    <x:row r="113" ht="15" hidden="0" customHeight="1">
      <x:c r="A113" t="str">
        <x:v>tpa-batch06-20260908-J1615-5537-run01</x:v>
      </x:c>
      <x:c r="B113" t="str">
        <x:v>J1615-5537</x:v>
      </x:c>
      <x:c r="C113" t="str">
        <x:v>TPA DR1; original circular search</x:v>
      </x:c>
      <x:c r="D113" t="str">
        <x:v>NO_TRIGGER</x:v>
      </x:c>
      <x:c r="E113" s="23" t="n">
        <x:v>38.14977119375208</x:v>
      </x:c>
      <x:c r="F113" t="str">
        <x:v>Strongest eligible grid peak; candidate status is separate</x:v>
      </x:c>
      <x:c r="G113" s="24" t="n">
        <x:v>272.2054296387148</x:v>
      </x:c>
      <x:c r="H113" s="24" t="n">
        <x:v>8.15641045721561</x:v>
      </x:c>
      <x:c r="I113" s="24" t="n">
        <x:v>26.244726754808656</x:v>
      </x:c>
      <x:c r="J113" s="25" t="n">
        <x:v>425</x:v>
      </x:c>
      <x:c r="K113" s="25" t="n">
        <x:v>55</x:v>
      </x:c>
      <x:c r="L113" s="24" t="n">
        <x:v>30</x:v>
      </x:c>
      <x:c r="M113" s="24" t="n">
        <x:v>400</x:v>
      </x:c>
      <x:c r="N113" s="25" t="n">
        <x:v>200</x:v>
      </x:c>
      <x:c r="O113" s="25" t="n">
        <x:v>4</x:v>
      </x:c>
      <x:c r="P113" s="24" t="n">
        <x:v>626.3914078342507</x:v>
      </x:c>
      <x:c r="Q11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3"/>
      <x:c r="S113" t="str">
        <x:v>Preserve consumed record; new data/scope requires a new ID</x:v>
      </x:c>
      <x:c r="T113" t="str">
        <x:v>../Project Recherche Data/tpa-batch06-20260908/J1615-5537/run01/result.json</x:v>
      </x:c>
      <x:c r="U113" t="str">
        <x:v>ba883b3d1752744494a64a7ad29150d8f946754f639132588140570a78579769</x:v>
      </x:c>
      <x:c r="V113" t="str">
        <x:v>observed=91b289bc5b936c4f1a08755787ad34c94f645a71657f572874663f45b74b539b; calibration=09c1b4f17853dabc74d84bb064daa9f9f88093a5b73ffece3d0736f42ac3b761</x:v>
      </x:c>
    </x:row>
    <x:row r="114" ht="15" hidden="0" customHeight="1">
      <x:c r="A114" t="str">
        <x:v>tpa-batch06-20260908-J1338-6204-run01</x:v>
      </x:c>
      <x:c r="B114" t="str">
        <x:v>J1338-6204</x:v>
      </x:c>
      <x:c r="C114" t="str">
        <x:v>TPA DR1; original circular search</x:v>
      </x:c>
      <x:c r="D114" t="str">
        <x:v>NO_TRIGGER</x:v>
      </x:c>
      <x:c r="E114" s="23" t="n">
        <x:v>33.88706794135234</x:v>
      </x:c>
      <x:c r="F114" t="str">
        <x:v>Strongest eligible grid peak; candidate status is separate</x:v>
      </x:c>
      <x:c r="G114" s="24" t="n">
        <x:v>291.9168944431155</x:v>
      </x:c>
      <x:c r="H114" s="24" t="n">
        <x:v>7.5671990616801255</x:v>
      </x:c>
      <x:c r="I114" s="24" t="n">
        <x:v>26.204321340173617</x:v>
      </x:c>
      <x:c r="J114" s="25" t="n">
        <x:v>408</x:v>
      </x:c>
      <x:c r="K114" s="25" t="n">
        <x:v>51</x:v>
      </x:c>
      <x:c r="L114" s="24" t="n">
        <x:v>30</x:v>
      </x:c>
      <x:c r="M114" s="24" t="n">
        <x:v>400</x:v>
      </x:c>
      <x:c r="N114" s="25" t="n">
        <x:v>196</x:v>
      </x:c>
      <x:c r="O114" s="25" t="n">
        <x:v>4</x:v>
      </x:c>
      <x:c r="P114" s="24" t="n">
        <x:v>684.1301290879242</x:v>
      </x:c>
      <x:c r="Q11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4"/>
      <x:c r="S114" t="str">
        <x:v>Preserve consumed record; new data/scope requires a new ID</x:v>
      </x:c>
      <x:c r="T114" t="str">
        <x:v>../Project Recherche Data/tpa-batch06-20260908/J1338-6204/run01/result.json</x:v>
      </x:c>
      <x:c r="U114" t="str">
        <x:v>9d44a952b0af76b53f7332e82814101aad2b49da5c2b5b226e637a276cd052e6</x:v>
      </x:c>
      <x:c r="V114" t="str">
        <x:v>observed=36c68f8e58f4e4fd0bbbd58ef0b618b2fa7db756d2676fd95a0d244122610fce; calibration=aa7fc1f3baaa3cf9cda7f50281fa63eca38780394406f90f0f11aab523639429</x:v>
      </x:c>
    </x:row>
    <x:row r="115" ht="15" hidden="0" customHeight="1">
      <x:c r="A115" t="str">
        <x:v>tpa-batch06-20260908-J1852-0635-run01</x:v>
      </x:c>
      <x:c r="B115" t="str">
        <x:v>J1852-0635</x:v>
      </x:c>
      <x:c r="C115" t="str">
        <x:v>TPA DR1; original circular search</x:v>
      </x:c>
      <x:c r="D115" t="str">
        <x:v>NO_TRIGGER</x:v>
      </x:c>
      <x:c r="E115" s="23" t="n">
        <x:v>110.58340808015892</x:v>
      </x:c>
      <x:c r="F115" t="str">
        <x:v>Strongest eligible grid peak; candidate status is separate</x:v>
      </x:c>
      <x:c r="G115" s="24" t="n">
        <x:v>249.21567635610384</x:v>
      </x:c>
      <x:c r="H115" s="24" t="n">
        <x:v>7.0960072293767915</x:v>
      </x:c>
      <x:c r="I115" s="24" t="n">
        <x:v>26.19409113884008</x:v>
      </x:c>
      <x:c r="J115" s="25" t="n">
        <x:v>408</x:v>
      </x:c>
      <x:c r="K115" s="25" t="n">
        <x:v>51</x:v>
      </x:c>
      <x:c r="L115" s="24" t="n">
        <x:v>30</x:v>
      </x:c>
      <x:c r="M115" s="24" t="n">
        <x:v>400</x:v>
      </x:c>
      <x:c r="N115" s="25" t="n">
        <x:v>195</x:v>
      </x:c>
      <x:c r="O115" s="25" t="n">
        <x:v>4</x:v>
      </x:c>
      <x:c r="P115" s="24" t="n">
        <x:v>681.8413007914613</x:v>
      </x:c>
      <x:c r="Q11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5"/>
      <x:c r="S115" t="str">
        <x:v>Preserve consumed record; new data/scope requires a new ID</x:v>
      </x:c>
      <x:c r="T115" t="str">
        <x:v>../Project Recherche Data/tpa-batch06-20260908/J1852-0635/run01/result.json</x:v>
      </x:c>
      <x:c r="U115" t="str">
        <x:v>068315787a10b70856b5e7922036cd5bf7a361eabccc9d65c1acc2bc81ec1f2e</x:v>
      </x:c>
      <x:c r="V115" t="str">
        <x:v>observed=dd97b176bea71b2359a39159ba3c30cbb54d611e057f3fbef020b090dd678e5b; calibration=1496774d29b6fe20b445ff67cb6ddcd32fceea5d627514c75df32c9e8cf27274</x:v>
      </x:c>
    </x:row>
    <x:row r="116" ht="15" hidden="0" customHeight="1">
      <x:c r="A116" t="str">
        <x:v>tpa-batch06-20260908-J1114-6100-run01</x:v>
      </x:c>
      <x:c r="B116" t="str">
        <x:v>J1114-6100</x:v>
      </x:c>
      <x:c r="C116" t="str">
        <x:v>TPA DR1; original circular search</x:v>
      </x:c>
      <x:c r="D116" t="str">
        <x:v>NO_TRIGGER</x:v>
      </x:c>
      <x:c r="E116" s="23" t="n">
        <x:v>42.38622995486629</x:v>
      </x:c>
      <x:c r="F116" t="str">
        <x:v>Strongest eligible grid peak; candidate status is separate</x:v>
      </x:c>
      <x:c r="G116" s="24" t="n">
        <x:v>273.8175048053011</x:v>
      </x:c>
      <x:c r="H116" s="24" t="n">
        <x:v>16.599033616724377</x:v>
      </x:c>
      <x:c r="I116" s="24" t="n">
        <x:v>26.21449947918856</x:v>
      </x:c>
      <x:c r="J116" s="25" t="n">
        <x:v>400</x:v>
      </x:c>
      <x:c r="K116" s="25" t="n">
        <x:v>50</x:v>
      </x:c>
      <x:c r="L116" s="24" t="n">
        <x:v>30</x:v>
      </x:c>
      <x:c r="M116" s="24" t="n">
        <x:v>400</x:v>
      </x:c>
      <x:c r="N116" s="25" t="n">
        <x:v>197</x:v>
      </x:c>
      <x:c r="O116" s="25" t="n">
        <x:v>4</x:v>
      </x:c>
      <x:c r="P116" s="24" t="n">
        <x:v>550.8541206309719</x:v>
      </x:c>
      <x:c r="Q11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6"/>
      <x:c r="S116" t="str">
        <x:v>Preserve consumed record; new data/scope requires a new ID</x:v>
      </x:c>
      <x:c r="T116" t="str">
        <x:v>../Project Recherche Data/tpa-batch06-20260908/J1114-6100/run01/result.json</x:v>
      </x:c>
      <x:c r="U116" t="str">
        <x:v>68738a324f8efed11fc54e857ebf7aec826a03d097d8135903f9ad13d9fd2798</x:v>
      </x:c>
      <x:c r="V116" t="str">
        <x:v>observed=4b8e06026686edf1c6d28e4597a25e43e30de46ee84d972c32fce537a6afe993; calibration=4f47a48625fe5bd9605878007f2dd5662e9a87c53e60b875b73758f11db3472c</x:v>
      </x:c>
    </x:row>
    <x:row r="117" ht="15" hidden="0" customHeight="1">
      <x:c r="A117" t="str">
        <x:v>tpa-batch06-20260908-J1231-4609-run01</x:v>
      </x:c>
      <x:c r="B117" t="str">
        <x:v>J1231-4609</x:v>
      </x:c>
      <x:c r="C117" t="str">
        <x:v>TPA DR1; original circular search</x:v>
      </x:c>
      <x:c r="D117" t="str">
        <x:v>NO_TRIGGER</x:v>
      </x:c>
      <x:c r="E117" s="23" t="n">
        <x:v>32.247048806837434</x:v>
      </x:c>
      <x:c r="F117" t="str">
        <x:v>Strongest eligible grid peak; candidate status is separate</x:v>
      </x:c>
      <x:c r="G117" s="24" t="n">
        <x:v>378.1531003274961</x:v>
      </x:c>
      <x:c r="H117" s="24" t="n">
        <x:v>12.120200981245274</x:v>
      </x:c>
      <x:c r="I117" s="24" t="n">
        <x:v>26.244726754808656</x:v>
      </x:c>
      <x:c r="J117" s="25" t="n">
        <x:v>372</x:v>
      </x:c>
      <x:c r="K117" s="25" t="n">
        <x:v>51</x:v>
      </x:c>
      <x:c r="L117" s="24" t="n">
        <x:v>30</x:v>
      </x:c>
      <x:c r="M117" s="24" t="n">
        <x:v>400</x:v>
      </x:c>
      <x:c r="N117" s="25" t="n">
        <x:v>200</x:v>
      </x:c>
      <x:c r="O117" s="25" t="n">
        <x:v>3</x:v>
      </x:c>
      <x:c r="P117" s="24" t="n">
        <x:v>648.5450563991808</x:v>
      </x:c>
      <x:c r="Q11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7"/>
      <x:c r="S117" t="str">
        <x:v>Preserve consumed record; new data/scope requires a new ID</x:v>
      </x:c>
      <x:c r="T117" t="str">
        <x:v>../Project Recherche Data/tpa-batch06-20260908/J1231-4609/run01/result.json</x:v>
      </x:c>
      <x:c r="U117" t="str">
        <x:v>47e8dcb2cb98929804f097adc56325d34516c69f5a15bc5d8bf43d8324d52737</x:v>
      </x:c>
      <x:c r="V117" t="str">
        <x:v>observed=37dd12ef420933a0f8cf2ac436b217e2a8a0a4a54e09599ea03c0a1066b16f57; calibration=f55cad3596cfbcc2d416ce6f8dd9ee7f39091ebfb06819a6be91999cf1ab8d64</x:v>
      </x:c>
    </x:row>
    <x:row r="118" ht="15" hidden="0" customHeight="1">
      <x:c r="A118" t="str">
        <x:v>tpa-batch06-20260908-J1059-5742-run01</x:v>
      </x:c>
      <x:c r="B118" t="str">
        <x:v>J1059-5742</x:v>
      </x:c>
      <x:c r="C118" t="str">
        <x:v>TPA DR1; original circular search</x:v>
      </x:c>
      <x:c r="D118" t="str">
        <x:v>NO_TRIGGER</x:v>
      </x:c>
      <x:c r="E118" s="23" t="n">
        <x:v>40.81126887806439</x:v>
      </x:c>
      <x:c r="F118" t="str">
        <x:v>Strongest eligible grid peak; candidate status is separate</x:v>
      </x:c>
      <x:c r="G118" s="24" t="n">
        <x:v>283.2093564199117</x:v>
      </x:c>
      <x:c r="H118" s="24" t="n">
        <x:v>8.237864645043935</x:v>
      </x:c>
      <x:c r="I118" s="24" t="n">
        <x:v>26.244726754808656</x:v>
      </x:c>
      <x:c r="J118" s="25" t="n">
        <x:v>403</x:v>
      </x:c>
      <x:c r="K118" s="25" t="n">
        <x:v>52</x:v>
      </x:c>
      <x:c r="L118" s="24" t="n">
        <x:v>30</x:v>
      </x:c>
      <x:c r="M118" s="24" t="n">
        <x:v>400</x:v>
      </x:c>
      <x:c r="N118" s="25" t="n">
        <x:v>200</x:v>
      </x:c>
      <x:c r="O118" s="25" t="n">
        <x:v>4</x:v>
      </x:c>
      <x:c r="P118" s="24" t="n">
        <x:v>701.070170564512</x:v>
      </x:c>
      <x:c r="Q11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8"/>
      <x:c r="S118" t="str">
        <x:v>Preserve consumed record; new data/scope requires a new ID</x:v>
      </x:c>
      <x:c r="T118" t="str">
        <x:v>../Project Recherche Data/tpa-batch06-20260908/J1059-5742/run01/result.json</x:v>
      </x:c>
      <x:c r="U118" t="str">
        <x:v>05b06d2e5f944be4f8b4c0c4259f9e7ba3c9d6a6a32a5f0c619ee3c2775b77c6</x:v>
      </x:c>
      <x:c r="V118" t="str">
        <x:v>observed=8d048567e2a0abd14099c312987a41b6faeb3321f2c9804b69cac834258dc987; calibration=2c0e3a01c72b7283a99458e6ad8ef70d31f3702bcab2069b47a050c9cc3214d1</x:v>
      </x:c>
    </x:row>
    <x:row r="119" ht="15" hidden="0" customHeight="1">
      <x:c r="A119" t="str">
        <x:v>tpa-batch06-20260908-J1742-4616-run01</x:v>
      </x:c>
      <x:c r="B119" t="str">
        <x:v>J1742-4616</x:v>
      </x:c>
      <x:c r="C119" t="str">
        <x:v>TPA DR1; original circular search</x:v>
      </x:c>
      <x:c r="D119" t="str">
        <x:v>NO_TRIGGER</x:v>
      </x:c>
      <x:c r="E119" s="23" t="n">
        <x:v>46.74734887519401</x:v>
      </x:c>
      <x:c r="F119" t="str">
        <x:v>Strongest eligible grid peak; candidate status is separate</x:v>
      </x:c>
      <x:c r="G119" s="24" t="n">
        <x:v>285.3051550365757</x:v>
      </x:c>
      <x:c r="H119" s="24" t="n">
        <x:v>6.766900417987769</x:v>
      </x:c>
      <x:c r="I119" s="24" t="n">
        <x:v>26.254701837830737</x:v>
      </x:c>
      <x:c r="J119" s="25" t="n">
        <x:v>430</x:v>
      </x:c>
      <x:c r="K119" s="25" t="n">
        <x:v>54</x:v>
      </x:c>
      <x:c r="L119" s="24" t="n">
        <x:v>30</x:v>
      </x:c>
      <x:c r="M119" s="24" t="n">
        <x:v>400</x:v>
      </x:c>
      <x:c r="N119" s="25" t="n">
        <x:v>201</x:v>
      </x:c>
      <x:c r="O119" s="25" t="n">
        <x:v>3</x:v>
      </x:c>
      <x:c r="P119" s="24" t="n">
        <x:v>751.8399987653619</x:v>
      </x:c>
      <x:c r="Q11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19"/>
      <x:c r="S119" t="str">
        <x:v>Preserve consumed record; new data/scope requires a new ID</x:v>
      </x:c>
      <x:c r="T119" t="str">
        <x:v>../Project Recherche Data/tpa-batch06-20260908/J1742-4616/run01/result.json</x:v>
      </x:c>
      <x:c r="U119" t="str">
        <x:v>183542ad2d88dd86cb9dce943fd467c014b56d5a2a5a155bff19d583e935204e</x:v>
      </x:c>
      <x:c r="V119" t="str">
        <x:v>observed=49b2074d4ad79c81d781aa9cdd756965db44f516b40af649da0efb196f83cab0; calibration=c6846885799851ec4e151a0967d2bb14b370c18585d9bffde8fcedffe64cd3e8</x:v>
      </x:c>
    </x:row>
    <x:row r="120" ht="15" hidden="0" customHeight="1">
      <x:c r="A120" t="str">
        <x:v>tpa-batch06-20260908-J1847-0605-run01</x:v>
      </x:c>
      <x:c r="B120" t="str">
        <x:v>J1847-0605</x:v>
      </x:c>
      <x:c r="C120" t="str">
        <x:v>TPA DR1; original circular search</x:v>
      </x:c>
      <x:c r="D120" t="str">
        <x:v>NO_TRIGGER</x:v>
      </x:c>
      <x:c r="E120" s="23" t="n">
        <x:v>62.14467942817226</x:v>
      </x:c>
      <x:c r="F120" t="str">
        <x:v>Strongest eligible grid peak; candidate status is separate</x:v>
      </x:c>
      <x:c r="G120" s="24" t="n">
        <x:v>408.24785455218193</x:v>
      </x:c>
      <x:c r="H120" s="24" t="n">
        <x:v>10.356808578102653</x:v>
      </x:c>
      <x:c r="I120" s="24" t="n">
        <x:v>26.23470167116157</x:v>
      </x:c>
      <x:c r="J120" s="25" t="n">
        <x:v>440</x:v>
      </x:c>
      <x:c r="K120" s="25" t="n">
        <x:v>55</x:v>
      </x:c>
      <x:c r="L120" s="24" t="n">
        <x:v>30</x:v>
      </x:c>
      <x:c r="M120" s="24" t="n">
        <x:v>400</x:v>
      </x:c>
      <x:c r="N120" s="25" t="n">
        <x:v>199</x:v>
      </x:c>
      <x:c r="O120" s="25" t="n">
        <x:v>4</x:v>
      </x:c>
      <x:c r="P120" s="24" t="n">
        <x:v>772.9915923889786</x:v>
      </x:c>
      <x:c r="Q12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0"/>
      <x:c r="S120" t="str">
        <x:v>Preserve consumed record; new data/scope requires a new ID</x:v>
      </x:c>
      <x:c r="T120" t="str">
        <x:v>../Project Recherche Data/tpa-batch06-20260908/J1847-0605/run01/result.json</x:v>
      </x:c>
      <x:c r="U120" t="str">
        <x:v>2d8a31c7732f9cf331f03793d0a51abb2132b067af17cacd00f7c0841e2988f8</x:v>
      </x:c>
      <x:c r="V120" t="str">
        <x:v>observed=6d1003b1aee07e1b30c075894bfc9c0a40cc0b4d92013a6be13c04329e8a0480; calibration=33c83f86aa21786e0d719000821d332cdc5e8f529e885cb4289d81da68db3da4</x:v>
      </x:c>
    </x:row>
    <x:row r="121" ht="15" hidden="0" customHeight="1">
      <x:c r="A121" t="str">
        <x:v>tpa-batch06-20260908-J1840-0815-run01</x:v>
      </x:c>
      <x:c r="B121" t="str">
        <x:v>J1840-0815</x:v>
      </x:c>
      <x:c r="C121" t="str">
        <x:v>TPA DR1; original circular search</x:v>
      </x:c>
      <x:c r="D121" t="str">
        <x:v>NO_TRIGGER</x:v>
      </x:c>
      <x:c r="E121" s="23" t="n">
        <x:v>86.50056936391285</x:v>
      </x:c>
      <x:c r="F121" t="str">
        <x:v>Strongest eligible grid peak; candidate status is separate</x:v>
      </x:c>
      <x:c r="G121" s="24" t="n">
        <x:v>330.01220119284494</x:v>
      </x:c>
      <x:c r="H121" s="24" t="n">
        <x:v>8.856281049024558</x:v>
      </x:c>
      <x:c r="I121" s="24" t="n">
        <x:v>26.23470167116157</x:v>
      </x:c>
      <x:c r="J121" s="25" t="n">
        <x:v>440</x:v>
      </x:c>
      <x:c r="K121" s="25" t="n">
        <x:v>55</x:v>
      </x:c>
      <x:c r="L121" s="24" t="n">
        <x:v>30</x:v>
      </x:c>
      <x:c r="M121" s="24" t="n">
        <x:v>400</x:v>
      </x:c>
      <x:c r="N121" s="25" t="n">
        <x:v>199</x:v>
      </x:c>
      <x:c r="O121" s="25" t="n">
        <x:v>4</x:v>
      </x:c>
      <x:c r="P121" s="24" t="n">
        <x:v>795.2069394525207</x:v>
      </x:c>
      <x:c r="Q12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1"/>
      <x:c r="S121" t="str">
        <x:v>Preserve consumed record; new data/scope requires a new ID</x:v>
      </x:c>
      <x:c r="T121" t="str">
        <x:v>../Project Recherche Data/tpa-batch06-20260908/J1840-0815/run01/result.json</x:v>
      </x:c>
      <x:c r="U121" t="str">
        <x:v>30992e14107be96d072762b22e0b8f8a8d2ea9b86166360d8692d4253cb122a7</x:v>
      </x:c>
      <x:c r="V121" t="str">
        <x:v>observed=e7403b055ef2cab1cee8132353c6e54903ee896a3cf195e64e800bc84d557b9d; calibration=ea65c0109608fea4655b604803bb43c50ed0b3b190b0af2862cde36a6eae9440</x:v>
      </x:c>
    </x:row>
    <x:row r="122" ht="15" hidden="0" customHeight="1">
      <x:c r="A122" t="str">
        <x:v>tpa-batch06-20260908-J0959-4809-run01</x:v>
      </x:c>
      <x:c r="B122" t="str">
        <x:v>J0959-4809</x:v>
      </x:c>
      <x:c r="C122" t="str">
        <x:v>TPA DR1; original circular search</x:v>
      </x:c>
      <x:c r="D122" t="str">
        <x:v>NO_TRIGGER</x:v>
      </x:c>
      <x:c r="E122" s="23" t="n">
        <x:v>38.766842799182974</x:v>
      </x:c>
      <x:c r="F122" t="str">
        <x:v>Strongest eligible grid peak; candidate status is separate</x:v>
      </x:c>
      <x:c r="G122" s="24" t="n">
        <x:v>346.81489238735753</x:v>
      </x:c>
      <x:c r="H122" s="24" t="n">
        <x:v>8.851021849608623</x:v>
      </x:c>
      <x:c r="I122" s="24" t="n">
        <x:v>26.21449947918856</x:v>
      </x:c>
      <x:c r="J122" s="25" t="n">
        <x:v>408</x:v>
      </x:c>
      <x:c r="K122" s="25" t="n">
        <x:v>51</x:v>
      </x:c>
      <x:c r="L122" s="24" t="n">
        <x:v>30</x:v>
      </x:c>
      <x:c r="M122" s="24" t="n">
        <x:v>400</x:v>
      </x:c>
      <x:c r="N122" s="25" t="n">
        <x:v>197</x:v>
      </x:c>
      <x:c r="O122" s="25" t="n">
        <x:v>4</x:v>
      </x:c>
      <x:c r="P122" s="24" t="n">
        <x:v>819.4612943286955</x:v>
      </x:c>
      <x:c r="Q12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2"/>
      <x:c r="S122" t="str">
        <x:v>Preserve consumed record; new data/scope requires a new ID</x:v>
      </x:c>
      <x:c r="T122" t="str">
        <x:v>../Project Recherche Data/tpa-batch06-20260908/J0959-4809/run01/result.json</x:v>
      </x:c>
      <x:c r="U122" t="str">
        <x:v>42afb73f21233b0de17c80c75ebb6ecaad4ccac36af7e64d380a6c61d2e675ee</x:v>
      </x:c>
      <x:c r="V122" t="str">
        <x:v>observed=4720a21bb0ad8fee6d7cdcd68c536bc33fbf3214d00a7388706715e2380c12e1; calibration=6dadc70ee50f2a9f4b39b342922539c03a96b367e6ecc11722208e1582f3290e</x:v>
      </x:c>
    </x:row>
    <x:row r="123" ht="15" hidden="0" customHeight="1">
      <x:c r="A123" t="str">
        <x:v>tpa-batch06-20260908-J1428-5530-run01</x:v>
      </x:c>
      <x:c r="B123" t="str">
        <x:v>J1428-5530</x:v>
      </x:c>
      <x:c r="C123" t="str">
        <x:v>TPA DR1; original circular search</x:v>
      </x:c>
      <x:c r="D123" t="str">
        <x:v>NO_TRIGGER</x:v>
      </x:c>
      <x:c r="E123" s="23" t="n">
        <x:v>53.91634414090433</x:v>
      </x:c>
      <x:c r="F123" t="str">
        <x:v>Strongest eligible grid peak; candidate status is separate</x:v>
      </x:c>
      <x:c r="G123" s="24" t="n">
        <x:v>430.8824950488824</x:v>
      </x:c>
      <x:c r="H123" s="24" t="n">
        <x:v>8.701979553655914</x:v>
      </x:c>
      <x:c r="I123" s="24" t="n">
        <x:v>26.204321340173617</x:v>
      </x:c>
      <x:c r="J123" s="25" t="n">
        <x:v>400</x:v>
      </x:c>
      <x:c r="K123" s="25" t="n">
        <x:v>50</x:v>
      </x:c>
      <x:c r="L123" s="24" t="n">
        <x:v>30</x:v>
      </x:c>
      <x:c r="M123" s="24" t="n">
        <x:v>400</x:v>
      </x:c>
      <x:c r="N123" s="25" t="n">
        <x:v>196</x:v>
      </x:c>
      <x:c r="O123" s="25" t="n">
        <x:v>4</x:v>
      </x:c>
      <x:c r="P123" s="24" t="n">
        <x:v>939.1529282978994</x:v>
      </x:c>
      <x:c r="Q12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3"/>
      <x:c r="S123" t="str">
        <x:v>Preserve consumed record; new data/scope requires a new ID</x:v>
      </x:c>
      <x:c r="T123" t="str">
        <x:v>../Project Recherche Data/tpa-batch06-20260908/J1428-5530/run01/result.json</x:v>
      </x:c>
      <x:c r="U123" t="str">
        <x:v>7a178eca5970552384d8b16b5c4a8b7853fa37c692b23f84c4ee9bcc85ad20fc</x:v>
      </x:c>
      <x:c r="V123" t="str">
        <x:v>observed=515c65461984ee022a90d5803c65415ded8c3507ff03b495490fd44db916aa9d; calibration=d582df28bf8adcb8234478f32df4f72feb93e2f97e728da7b2b47aadce3c4748</x:v>
      </x:c>
    </x:row>
    <x:row r="124" ht="15" hidden="0" customHeight="1">
      <x:c r="A124" t="str">
        <x:v>tpa-batch06-20260908-J1648-6044-run01</x:v>
      </x:c>
      <x:c r="B124" t="str">
        <x:v>J1648-6044</x:v>
      </x:c>
      <x:c r="C124" t="str">
        <x:v>TPA DR1; original circular search</x:v>
      </x:c>
      <x:c r="D124" t="str">
        <x:v>NO_TRIGGER</x:v>
      </x:c>
      <x:c r="E124" s="23" t="n">
        <x:v>39.55407537154193</x:v>
      </x:c>
      <x:c r="F124" t="str">
        <x:v>Strongest eligible grid peak; candidate status is separate</x:v>
      </x:c>
      <x:c r="G124" s="24" t="n">
        <x:v>522.8625615178294</x:v>
      </x:c>
      <x:c r="H124" s="24" t="n">
        <x:v>12.59852417562589</x:v>
      </x:c>
      <x:c r="I124" s="24" t="n">
        <x:v>26.244726754808656</x:v>
      </x:c>
      <x:c r="J124" s="25" t="n">
        <x:v>411</x:v>
      </x:c>
      <x:c r="K124" s="25" t="n">
        <x:v>54</x:v>
      </x:c>
      <x:c r="L124" s="24" t="n">
        <x:v>30</x:v>
      </x:c>
      <x:c r="M124" s="24" t="n">
        <x:v>400</x:v>
      </x:c>
      <x:c r="N124" s="25" t="n">
        <x:v>200</x:v>
      </x:c>
      <x:c r="O124" s="25" t="n">
        <x:v>4</x:v>
      </x:c>
      <x:c r="P124" s="24" t="n">
        <x:v>995.6550604086126</x:v>
      </x:c>
      <x:c r="Q12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4"/>
      <x:c r="S124" t="str">
        <x:v>Preserve consumed record; new data/scope requires a new ID</x:v>
      </x:c>
      <x:c r="T124" t="str">
        <x:v>../Project Recherche Data/tpa-batch06-20260908/J1648-6044/run01/result.json</x:v>
      </x:c>
      <x:c r="U124" t="str">
        <x:v>4355e082cafe6e4460eeda8d8a02ac923e6f0124953a9ac16197f50e96145849</x:v>
      </x:c>
      <x:c r="V124" t="str">
        <x:v>observed=e3d2d80540d2b20a8cc2da6580aca94efe52f86bf429bfb9f4af94875b7dcc32; calibration=a68f290a3fd862ff2b716883a18b35c246acd2e11b3a8ca231f60ad8a3ad2a07</x:v>
      </x:c>
    </x:row>
    <x:row r="125" ht="15" hidden="0" customHeight="1">
      <x:c r="A125" t="str">
        <x:v>tpa-batch06-20260908-J1705-3950-run01</x:v>
      </x:c>
      <x:c r="B125" t="str">
        <x:v>J1705-3950</x:v>
      </x:c>
      <x:c r="C125" t="str">
        <x:v>TPA DR1; original circular search</x:v>
      </x:c>
      <x:c r="D125" t="str">
        <x:v>NO_TRIGGER</x:v>
      </x:c>
      <x:c r="E125" s="23" t="n">
        <x:v>182.10947248254024</x:v>
      </x:c>
      <x:c r="F125" t="str">
        <x:v>Strongest eligible grid peak; candidate status is separate</x:v>
      </x:c>
      <x:c r="G125" s="24" t="n">
        <x:v>888.6413679277315</x:v>
      </x:c>
      <x:c r="H125" s="24" t="n">
        <x:v>8.181479631690678</x:v>
      </x:c>
      <x:c r="I125" s="24" t="n">
        <x:v>26.506783279621466</x:v>
      </x:c>
      <x:c r="J125" s="25" t="n">
        <x:v>463</x:v>
      </x:c>
      <x:c r="K125" s="25" t="n">
        <x:v>58</x:v>
      </x:c>
      <x:c r="L125" s="24" t="n">
        <x:v>30</x:v>
      </x:c>
      <x:c r="M125" s="24" t="n">
        <x:v>400</x:v>
      </x:c>
      <x:c r="N125" s="25" t="n">
        <x:v>228</x:v>
      </x:c>
      <x:c r="O125" s="25" t="n">
        <x:v>23</x:v>
      </x:c>
      <x:c r="P125" s="24" t="n">
        <x:v>566.4281098417708</x:v>
      </x:c>
      <x:c r="Q12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5"/>
      <x:c r="S125" t="str">
        <x:v>Preserve consumed record; new data/scope requires a new ID</x:v>
      </x:c>
      <x:c r="T125" t="str">
        <x:v>../Project Recherche Data/tpa-batch06-20260908/J1705-3950/run01/result.json</x:v>
      </x:c>
      <x:c r="U125" t="str">
        <x:v>ec74b12b15df31c308c18dd384f435fdbccba69f9475248263cb1bdbbc0f6718</x:v>
      </x:c>
      <x:c r="V125" t="str">
        <x:v>observed=152ecd7e6816b6442eae1177e87cdaeef4cb3431620897880547329aa06ba3b4; calibration=3d5c70156be4eea429172a179b4291efef75de7f3d724d211791f81b8fd24079</x:v>
      </x:c>
    </x:row>
    <x:row r="126" ht="15" hidden="0" customHeight="1">
      <x:c r="A126" t="str">
        <x:v>tpa-batch06-20260908-J1627-5936-run01</x:v>
      </x:c>
      <x:c r="B126" t="str">
        <x:v>J1627-5936</x:v>
      </x:c>
      <x:c r="C126" t="str">
        <x:v>TPA DR1; original circular search</x:v>
      </x:c>
      <x:c r="D126" t="str">
        <x:v>NO_TRIGGER</x:v>
      </x:c>
      <x:c r="E126" s="23" t="n">
        <x:v>83.65627124906794</x:v>
      </x:c>
      <x:c r="F126" t="str">
        <x:v>Strongest eligible grid peak; candidate status is separate</x:v>
      </x:c>
      <x:c r="G126" s="24" t="n">
        <x:v>416.9188143422846</x:v>
      </x:c>
      <x:c r="H126" s="24" t="n">
        <x:v>8.135641048357883</x:v>
      </x:c>
      <x:c r="I126" s="24" t="n">
        <x:v>26.244726754808656</x:v>
      </x:c>
      <x:c r="J126" s="25" t="n">
        <x:v>404</x:v>
      </x:c>
      <x:c r="K126" s="25" t="n">
        <x:v>55</x:v>
      </x:c>
      <x:c r="L126" s="24" t="n">
        <x:v>30</x:v>
      </x:c>
      <x:c r="M126" s="24" t="n">
        <x:v>400</x:v>
      </x:c>
      <x:c r="N126" s="25" t="n">
        <x:v>200</x:v>
      </x:c>
      <x:c r="O126" s="25" t="n">
        <x:v>4</x:v>
      </x:c>
      <x:c r="P126" s="24" t="n">
        <x:v>1030.0502446746577</x:v>
      </x:c>
      <x:c r="Q12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6"/>
      <x:c r="S126" t="str">
        <x:v>Preserve consumed record; new data/scope requires a new ID</x:v>
      </x:c>
      <x:c r="T126" t="str">
        <x:v>../Project Recherche Data/tpa-batch06-20260908/J1627-5936/run01/result.json</x:v>
      </x:c>
      <x:c r="U126" t="str">
        <x:v>7239c868f727bdac212eea186f60a525ce085fb0bbe632f5846f5b2ea552a215</x:v>
      </x:c>
      <x:c r="V126" t="str">
        <x:v>observed=a18062d0a04de237ec9f51857b784112d698ec9a89179f4624dbcc541cee2912; calibration=0838e99b7b3e09aa7d9f4daed8218825ae951609d4d201dc0a00433b7929e44d</x:v>
      </x:c>
    </x:row>
    <x:row r="127" ht="15" hidden="0" customHeight="1">
      <x:c r="A127" t="str">
        <x:v>tpa-batch06-20260908-J1326-6700-run01</x:v>
      </x:c>
      <x:c r="B127" t="str">
        <x:v>J1326-6700</x:v>
      </x:c>
      <x:c r="C127" t="str">
        <x:v>TPA DR1; original circular search</x:v>
      </x:c>
      <x:c r="D127" t="str">
        <x:v>NO_TRIGGER</x:v>
      </x:c>
      <x:c r="E127" s="23" t="n">
        <x:v>31.830947032033514</x:v>
      </x:c>
      <x:c r="F127" t="str">
        <x:v>Strongest eligible grid peak; candidate status is separate</x:v>
      </x:c>
      <x:c r="G127" s="24" t="n">
        <x:v>306.45833245331556</x:v>
      </x:c>
      <x:c r="H127" s="24" t="n">
        <x:v>8.954439256079365</x:v>
      </x:c>
      <x:c r="I127" s="24" t="n">
        <x:v>26.204321340173617</x:v>
      </x:c>
      <x:c r="J127" s="25" t="n">
        <x:v>416</x:v>
      </x:c>
      <x:c r="K127" s="25" t="n">
        <x:v>52</x:v>
      </x:c>
      <x:c r="L127" s="24" t="n">
        <x:v>30</x:v>
      </x:c>
      <x:c r="M127" s="24" t="n">
        <x:v>400</x:v>
      </x:c>
      <x:c r="N127" s="25" t="n">
        <x:v>196</x:v>
      </x:c>
      <x:c r="O127" s="25" t="n">
        <x:v>38</x:v>
      </x:c>
      <x:c r="P127" s="24" t="n">
        <x:v>688.2471176952357</x:v>
      </x:c>
      <x:c r="Q12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7"/>
      <x:c r="S127" t="str">
        <x:v>Preserve consumed record; new data/scope requires a new ID</x:v>
      </x:c>
      <x:c r="T127" t="str">
        <x:v>../Project Recherche Data/tpa-batch06-20260908/J1326-6700/run01/result.json</x:v>
      </x:c>
      <x:c r="U127" t="str">
        <x:v>79f77e20ad7adcb9e7bf67f18d3bca57d2e816f0ad992ae1140e4fd14d668342</x:v>
      </x:c>
      <x:c r="V127" t="str">
        <x:v>observed=75528b5a798b8b86ef4e3015e49aaa47d87afedd2d7302bf4b5252424bdeab0f; calibration=265868b2667d0b80005d22241b7963fddbd6afa47971254d903e70526438ddff</x:v>
      </x:c>
    </x:row>
    <x:row r="128" ht="15" hidden="0" customHeight="1">
      <x:c r="A128" t="str">
        <x:v>tpa-batch06-20260908-J1137-6700-run01</x:v>
      </x:c>
      <x:c r="B128" t="str">
        <x:v>J1137-6700</x:v>
      </x:c>
      <x:c r="C128" t="str">
        <x:v>TPA DR1; original circular search</x:v>
      </x:c>
      <x:c r="D128" t="str">
        <x:v>NO_TRIGGER</x:v>
      </x:c>
      <x:c r="E128" s="23" t="n">
        <x:v>153.1740000088279</x:v>
      </x:c>
      <x:c r="F128" t="str">
        <x:v>Strongest eligible grid peak; candidate status is separate</x:v>
      </x:c>
      <x:c r="G128" s="24" t="n">
        <x:v>442.4715509734221</x:v>
      </x:c>
      <x:c r="H128" s="24" t="n">
        <x:v>6.3504714648333405</x:v>
      </x:c>
      <x:c r="I128" s="24" t="n">
        <x:v>26.244726754808656</x:v>
      </x:c>
      <x:c r="J128" s="25" t="n">
        <x:v>400</x:v>
      </x:c>
      <x:c r="K128" s="25" t="n">
        <x:v>51</x:v>
      </x:c>
      <x:c r="L128" s="24" t="n">
        <x:v>30</x:v>
      </x:c>
      <x:c r="M128" s="24" t="n">
        <x:v>400</x:v>
      </x:c>
      <x:c r="N128" s="25" t="n">
        <x:v>200</x:v>
      </x:c>
      <x:c r="O128" s="25" t="n">
        <x:v>4</x:v>
      </x:c>
      <x:c r="P128" s="24" t="n">
        <x:v>1187.7721930066955</x:v>
      </x:c>
      <x:c r="Q12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8"/>
      <x:c r="S128" t="str">
        <x:v>Preserve consumed record; new data/scope requires a new ID</x:v>
      </x:c>
      <x:c r="T128" t="str">
        <x:v>../Project Recherche Data/tpa-batch06-20260908/J1137-6700/run01/result.json</x:v>
      </x:c>
      <x:c r="U128" t="str">
        <x:v>7e8ad1f007cfef296ddfabf981a77d06443b5d19bbbec58c81036187f47f281e</x:v>
      </x:c>
      <x:c r="V128" t="str">
        <x:v>observed=3d709bc4ae1737cfdc5a553063fa364ef5d969147e195c9f54846ff1403e1685; calibration=7cab2d42c210a1175f7f1304dcc1cde6dd720058776dd7b449c7b00f5a8dad9b</x:v>
      </x:c>
    </x:row>
    <x:row r="129" ht="15" hidden="0" customHeight="1">
      <x:c r="A129" t="str">
        <x:v>tpa-batch06-20260908-J1252-6314-run01</x:v>
      </x:c>
      <x:c r="B129" t="str">
        <x:v>J1252-6314</x:v>
      </x:c>
      <x:c r="C129" t="str">
        <x:v>TPA DR1; original circular search</x:v>
      </x:c>
      <x:c r="D129" t="str">
        <x:v>NO_TRIGGER</x:v>
      </x:c>
      <x:c r="E129" s="23" t="n">
        <x:v>227.1903066094752</x:v>
      </x:c>
      <x:c r="F129" t="str">
        <x:v>Strongest eligible grid peak; candidate status is separate</x:v>
      </x:c>
      <x:c r="G129" s="24" t="n">
        <x:v>696.2299989017899</x:v>
      </x:c>
      <x:c r="H129" s="24" t="n">
        <x:v>11.348807537979074</x:v>
      </x:c>
      <x:c r="I129" s="24" t="n">
        <x:v>26.36126457105661</x:v>
      </x:c>
      <x:c r="J129" s="25" t="n">
        <x:v>448</x:v>
      </x:c>
      <x:c r="K129" s="25" t="n">
        <x:v>56</x:v>
      </x:c>
      <x:c r="L129" s="24" t="n">
        <x:v>30</x:v>
      </x:c>
      <x:c r="M129" s="24" t="n">
        <x:v>400</x:v>
      </x:c>
      <x:c r="N129" s="25" t="n">
        <x:v>212</x:v>
      </x:c>
      <x:c r="O129" s="25" t="n">
        <x:v>3</x:v>
      </x:c>
      <x:c r="P129" s="24" t="n">
        <x:v>1448.9522912462385</x:v>
      </x:c>
      <x:c r="Q12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29"/>
      <x:c r="S129" t="str">
        <x:v>Preserve consumed record; new data/scope requires a new ID</x:v>
      </x:c>
      <x:c r="T129" t="str">
        <x:v>../Project Recherche Data/tpa-batch06-20260908/J1252-6314/run01/result.json</x:v>
      </x:c>
      <x:c r="U129" t="str">
        <x:v>ef6667b27b25a3b8d9dc4e2c68966176be301f60b4aaef1a9b4f1f9dd5078e36</x:v>
      </x:c>
      <x:c r="V129" t="str">
        <x:v>observed=c9592c08edb34a0bb8b54889ec549228db9c2bc98feb76ec57a78e1821450d87; calibration=8afc2bae8d3d4223a49f9038f073d75893955398a8d5cdcf3bc46aad80fc92ad</x:v>
      </x:c>
    </x:row>
    <x:row r="130" ht="15" hidden="0" customHeight="1">
      <x:c r="A130" t="str">
        <x:v>tpa-batch06-20260908-J1220-6318-run01</x:v>
      </x:c>
      <x:c r="B130" t="str">
        <x:v>J1220-6318</x:v>
      </x:c>
      <x:c r="C130" t="str">
        <x:v>TPA DR1; original circular search</x:v>
      </x:c>
      <x:c r="D130" t="str">
        <x:v>NO_TRIGGER</x:v>
      </x:c>
      <x:c r="E130" s="23" t="n">
        <x:v>41.91729325244081</x:v>
      </x:c>
      <x:c r="F130" t="str">
        <x:v>Strongest eligible grid peak; candidate status is separate</x:v>
      </x:c>
      <x:c r="G130" s="24" t="n">
        <x:v>508.4717952510126</x:v>
      </x:c>
      <x:c r="H130" s="24" t="n">
        <x:v>6.744693537858265</x:v>
      </x:c>
      <x:c r="I130" s="24" t="n">
        <x:v>26.36126457105661</x:v>
      </x:c>
      <x:c r="J130" s="25" t="n">
        <x:v>426</x:v>
      </x:c>
      <x:c r="K130" s="25" t="n">
        <x:v>54</x:v>
      </x:c>
      <x:c r="L130" s="24" t="n">
        <x:v>30</x:v>
      </x:c>
      <x:c r="M130" s="24" t="n">
        <x:v>400</x:v>
      </x:c>
      <x:c r="N130" s="25" t="n">
        <x:v>212</x:v>
      </x:c>
      <x:c r="O130" s="25" t="n">
        <x:v>4</x:v>
      </x:c>
      <x:c r="P130" s="24" t="n">
        <x:v>1439.7909059223007</x:v>
      </x:c>
      <x:c r="Q13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0"/>
      <x:c r="S130" t="str">
        <x:v>Preserve consumed record; new data/scope requires a new ID</x:v>
      </x:c>
      <x:c r="T130" t="str">
        <x:v>../Project Recherche Data/tpa-batch06-20260908/J1220-6318/run01/result.json</x:v>
      </x:c>
      <x:c r="U130" t="str">
        <x:v>b6366485157c83ede2cca490637bf32e5468407b0d6f8d224a36def46d49261a</x:v>
      </x:c>
      <x:c r="V130" t="str">
        <x:v>observed=3c8d19c7431da794125c39d5cb09821133159206c98162d3d764eef4999a1eb6; calibration=ff5434af32e01e7ffc403058418ec427cc691c49b57ffcc22b7b0fe00d00fb2f</x:v>
      </x:c>
    </x:row>
    <x:row r="131" ht="15" hidden="0" customHeight="1">
      <x:c r="A131" t="str">
        <x:v>tpa-batch06-20260908-J1651-4246-run01</x:v>
      </x:c>
      <x:c r="B131" t="str">
        <x:v>J1651-4246</x:v>
      </x:c>
      <x:c r="C131" t="str">
        <x:v>TPA DR1; original circular search</x:v>
      </x:c>
      <x:c r="D131" t="str">
        <x:v>NO_TRIGGER</x:v>
      </x:c>
      <x:c r="E131" s="23" t="n">
        <x:v>53.91916850366014</x:v>
      </x:c>
      <x:c r="F131" t="str">
        <x:v>Strongest eligible grid peak; candidate status is separate</x:v>
      </x:c>
      <x:c r="G131" s="24" t="n">
        <x:v>700.7339467791898</x:v>
      </x:c>
      <x:c r="H131" s="24" t="n">
        <x:v>10.935659591379167</x:v>
      </x:c>
      <x:c r="I131" s="24" t="n">
        <x:v>26.541566765045204</x:v>
      </x:c>
      <x:c r="J131" s="25" t="n">
        <x:v>456</x:v>
      </x:c>
      <x:c r="K131" s="25" t="n">
        <x:v>57</x:v>
      </x:c>
      <x:c r="L131" s="24" t="n">
        <x:v>30</x:v>
      </x:c>
      <x:c r="M131" s="24" t="n">
        <x:v>400</x:v>
      </x:c>
      <x:c r="N131" s="25" t="n">
        <x:v>232</x:v>
      </x:c>
      <x:c r="O131" s="25" t="n">
        <x:v>5</x:v>
      </x:c>
      <x:c r="P131" s="24" t="n">
        <x:v>1546.8231240841014</x:v>
      </x:c>
      <x:c r="Q13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1"/>
      <x:c r="S131" t="str">
        <x:v>Preserve consumed record; new data/scope requires a new ID</x:v>
      </x:c>
      <x:c r="T131" t="str">
        <x:v>../Project Recherche Data/tpa-batch06-20260908/J1651-4246/run01/result.json</x:v>
      </x:c>
      <x:c r="U131" t="str">
        <x:v>d1b851bf9bc2eaf30dd006ecba726cf5f7a54df4c5e2b7f15a8adc85fcc0dda3</x:v>
      </x:c>
      <x:c r="V131" t="str">
        <x:v>observed=a12cba6f2d7ec8b9100c4e84d71711eeab84bd71e85b16e58420b6520b4a4e48; calibration=7cf49bce59dfbecbfa7159e228785411c37cbfd1f1d533d14e7bb744b8a4fa53</x:v>
      </x:c>
    </x:row>
    <x:row r="132" ht="15" hidden="0" customHeight="1">
      <x:c r="A132" t="str">
        <x:v>tpa-batch06-20260908-J1534-4428-run01</x:v>
      </x:c>
      <x:c r="B132" t="str">
        <x:v>J1534-4428</x:v>
      </x:c>
      <x:c r="C132" t="str">
        <x:v>TPA DR1; original circular search</x:v>
      </x:c>
      <x:c r="D132" t="str">
        <x:v>NO_TRIGGER</x:v>
      </x:c>
      <x:c r="E132" s="23" t="n">
        <x:v>57.5456274525697</x:v>
      </x:c>
      <x:c r="F132" t="str">
        <x:v>Strongest eligible grid peak; candidate status is separate</x:v>
      </x:c>
      <x:c r="G132" s="24" t="n">
        <x:v>793.7466961811266</x:v>
      </x:c>
      <x:c r="H132" s="24" t="n">
        <x:v>5.557812920546249</x:v>
      </x:c>
      <x:c r="I132" s="24" t="n">
        <x:v>26.244726754808656</x:v>
      </x:c>
      <x:c r="J132" s="25" t="n">
        <x:v>385</x:v>
      </x:c>
      <x:c r="K132" s="25" t="n">
        <x:v>54</x:v>
      </x:c>
      <x:c r="L132" s="24" t="n">
        <x:v>30</x:v>
      </x:c>
      <x:c r="M132" s="24" t="n">
        <x:v>400</x:v>
      </x:c>
      <x:c r="N132" s="25" t="n">
        <x:v>200</x:v>
      </x:c>
      <x:c r="O132" s="25" t="n">
        <x:v>3</x:v>
      </x:c>
      <x:c r="P132" s="24" t="n">
        <x:v>1948.3074981052455</x:v>
      </x:c>
      <x:c r="Q13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2"/>
      <x:c r="S132" t="str">
        <x:v>Preserve consumed record; new data/scope requires a new ID</x:v>
      </x:c>
      <x:c r="T132" t="str">
        <x:v>../Project Recherche Data/tpa-batch06-20260908/J1534-4428/run01/result.json</x:v>
      </x:c>
      <x:c r="U132" t="str">
        <x:v>4f2fc961ee6458c33bd976cf325842a7e3822c8340964e0f56610b8a6cda8fcd</x:v>
      </x:c>
      <x:c r="V132" t="str">
        <x:v>observed=c117874172f27c7829894cc37fe7689a77a7efd10796825a4f21eced71174ef2; calibration=ebb4cfe83553262fbf5a0993803bd6ac0e4c5f993ae012d69fc3eec7366cab0c</x:v>
      </x:c>
    </x:row>
    <x:row r="133" ht="15" hidden="0" customHeight="1">
      <x:c r="A133" t="str">
        <x:v>tpa-batch06-20260908-J1133-6250-run01</x:v>
      </x:c>
      <x:c r="B133" t="str">
        <x:v>J1133-6250</x:v>
      </x:c>
      <x:c r="C133" t="str">
        <x:v>TPA DR1; original circular search</x:v>
      </x:c>
      <x:c r="D133" t="str">
        <x:v>NO_TRIGGER</x:v>
      </x:c>
      <x:c r="E133" s="23" t="n">
        <x:v>41.3352450314079</x:v>
      </x:c>
      <x:c r="F133" t="str">
        <x:v>Strongest eligible grid peak; candidate status is separate</x:v>
      </x:c>
      <x:c r="G133" s="24" t="n">
        <x:v>853.0650672849117</x:v>
      </x:c>
      <x:c r="H133" s="24" t="n">
        <x:v>18.664508046143496</x:v>
      </x:c>
      <x:c r="I133" s="24" t="n">
        <x:v>26.244726754808656</x:v>
      </x:c>
      <x:c r="J133" s="25" t="n">
        <x:v>416</x:v>
      </x:c>
      <x:c r="K133" s="25" t="n">
        <x:v>52</x:v>
      </x:c>
      <x:c r="L133" s="24" t="n">
        <x:v>30</x:v>
      </x:c>
      <x:c r="M133" s="24" t="n">
        <x:v>400</x:v>
      </x:c>
      <x:c r="N133" s="25" t="n">
        <x:v>200</x:v>
      </x:c>
      <x:c r="O133" s="25" t="n">
        <x:v>5</x:v>
      </x:c>
      <x:c r="P133" s="24" t="n">
        <x:v>1463.9666187267767</x:v>
      </x:c>
      <x:c r="Q13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3"/>
      <x:c r="S133" t="str">
        <x:v>Preserve consumed record; new data/scope requires a new ID</x:v>
      </x:c>
      <x:c r="T133" t="str">
        <x:v>../Project Recherche Data/tpa-batch06-20260908/J1133-6250/run01/result.json</x:v>
      </x:c>
      <x:c r="U133" t="str">
        <x:v>764259f22d283576adf5ffafa466984f58a2ac58d04a3fb4404f3775f4769689</x:v>
      </x:c>
      <x:c r="V133" t="str">
        <x:v>observed=b62f7d5f6716921b697f6712ab3440ae6abfcb41136a971c9e34ff8dc85bcd38; calibration=8ce5c88df6d17fd4661e0e98b60e881ffdda9829108a8f2c6559edf632a6fd1d</x:v>
      </x:c>
    </x:row>
    <x:row r="134" ht="15" hidden="0" customHeight="1">
      <x:c r="A134" t="str">
        <x:v>tpa-batch06-20260908-J1048-5832-run01</x:v>
      </x:c>
      <x:c r="B134" t="str">
        <x:v>J1048-5832</x:v>
      </x:c>
      <x:c r="C134" t="str">
        <x:v>TPA DR1; original circular search</x:v>
      </x:c>
      <x:c r="D134" t="str">
        <x:v>NO_TRIGGER</x:v>
      </x:c>
      <x:c r="E134" s="23" t="n">
        <x:v>76.65089747651271</x:v>
      </x:c>
      <x:c r="F134" t="str">
        <x:v>Strongest eligible grid peak; candidate status is separate</x:v>
      </x:c>
      <x:c r="G134" s="24" t="n">
        <x:v>381.7548441958551</x:v>
      </x:c>
      <x:c r="H134" s="24" t="n">
        <x:v>8.741411582617195</x:v>
      </x:c>
      <x:c r="I134" s="24" t="n">
        <x:v>26.21449947918856</x:v>
      </x:c>
      <x:c r="J134" s="25" t="n">
        <x:v>429</x:v>
      </x:c>
      <x:c r="K134" s="25" t="n">
        <x:v>54</x:v>
      </x:c>
      <x:c r="L134" s="24" t="n">
        <x:v>30</x:v>
      </x:c>
      <x:c r="M134" s="24" t="n">
        <x:v>400</x:v>
      </x:c>
      <x:c r="N134" s="25" t="n">
        <x:v>197</x:v>
      </x:c>
      <x:c r="O134" s="25" t="n">
        <x:v>38</x:v>
      </x:c>
      <x:c r="P134" s="24" t="n">
        <x:v>502.25591578575785</x:v>
      </x:c>
      <x:c r="Q13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4"/>
      <x:c r="S134" t="str">
        <x:v>Preserve consumed record; new data/scope requires a new ID</x:v>
      </x:c>
      <x:c r="T134" t="str">
        <x:v>../Project Recherche Data/tpa-batch06-20260908/J1048-5832/run01/result.json</x:v>
      </x:c>
      <x:c r="U134" t="str">
        <x:v>76962974b0654886fa83ff71bc3ed13a6c7989a74253e38fb4b4850abd9fc525</x:v>
      </x:c>
      <x:c r="V134" t="str">
        <x:v>observed=c9a0f388fb4f6ef6d1409d6a2bc3d5675ee440f3707901431496eddd88a31978; calibration=da0394e7b59225ce59b4de4d8a992112c5df55e7d2f6d165954e685ab7e4f68e</x:v>
      </x:c>
    </x:row>
    <x:row r="135" ht="15" hidden="0" customHeight="1">
      <x:c r="A135" t="str">
        <x:v>tpa-batch06-20260908-J0820-4114-run01</x:v>
      </x:c>
      <x:c r="B135" t="str">
        <x:v>J0820-4114</x:v>
      </x:c>
      <x:c r="C135" t="str">
        <x:v>TPA DR1; original circular search</x:v>
      </x:c>
      <x:c r="D135" t="str">
        <x:v>NO_TRIGGER</x:v>
      </x:c>
      <x:c r="E135" s="23" t="n">
        <x:v>37.39810840595262</x:v>
      </x:c>
      <x:c r="F135" t="str">
        <x:v>Strongest eligible grid peak; candidate status is separate</x:v>
      </x:c>
      <x:c r="G135" s="24" t="n">
        <x:v>1153.343842558013</x:v>
      </x:c>
      <x:c r="H135" s="24" t="n">
        <x:v>13.42669615402245</x:v>
      </x:c>
      <x:c r="I135" s="24" t="n">
        <x:v>26.21449947918856</x:v>
      </x:c>
      <x:c r="J135" s="25" t="n">
        <x:v>416</x:v>
      </x:c>
      <x:c r="K135" s="25" t="n">
        <x:v>52</x:v>
      </x:c>
      <x:c r="L135" s="24" t="n">
        <x:v>30</x:v>
      </x:c>
      <x:c r="M135" s="24" t="n">
        <x:v>400</x:v>
      </x:c>
      <x:c r="N135" s="25" t="n">
        <x:v>197</x:v>
      </x:c>
      <x:c r="O135" s="25" t="n">
        <x:v>4</x:v>
      </x:c>
      <x:c r="P135" s="24" t="n">
        <x:v>2183.8693563945485</x:v>
      </x:c>
      <x:c r="Q13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5"/>
      <x:c r="S135" t="str">
        <x:v>Preserve consumed record; new data/scope requires a new ID</x:v>
      </x:c>
      <x:c r="T135" t="str">
        <x:v>../Project Recherche Data/tpa-batch06-20260908/J0820-4114/run01/result.json</x:v>
      </x:c>
      <x:c r="U135" t="str">
        <x:v>a508fbff9cb838d6462f6abb761a28952eb78dc850fd68f65ffd11f2e939f2e8</x:v>
      </x:c>
      <x:c r="V135" t="str">
        <x:v>observed=79123cecace0a8f72c49b5980a8a18de56fd847f93738cf6c358ea85faf7a9ec; calibration=68e6579f16590285a1dc4e650215f1e61f19a6b9d5acdd276e0cbe81ac853ff9</x:v>
      </x:c>
    </x:row>
    <x:row r="136" ht="15" hidden="0" customHeight="1">
      <x:c r="A136" t="str">
        <x:v>tpa-batch07-20260908-J0952-3839-run01</x:v>
      </x:c>
      <x:c r="B136" t="str">
        <x:v>J0952-3839</x:v>
      </x:c>
      <x:c r="C136" t="str">
        <x:v>TPA DR1; original circular search</x:v>
      </x:c>
      <x:c r="D136" t="str">
        <x:v>NO_TRIGGER</x:v>
      </x:c>
      <x:c r="E136" s="23" t="n">
        <x:v>66.4394438814625</x:v>
      </x:c>
      <x:c r="F136" t="str">
        <x:v>Strongest eligible grid peak; candidate status is separate</x:v>
      </x:c>
      <x:c r="G136" s="24" t="n">
        <x:v>1664.5771574410335</x:v>
      </x:c>
      <x:c r="H136" s="24" t="n">
        <x:v>16.88335255202874</x:v>
      </x:c>
      <x:c r="I136" s="24" t="n">
        <x:v>26.244726754808656</x:v>
      </x:c>
      <x:c r="J136" s="25" t="n">
        <x:v>389</x:v>
      </x:c>
      <x:c r="K136" s="25" t="n">
        <x:v>53</x:v>
      </x:c>
      <x:c r="L136" s="24" t="n">
        <x:v>30</x:v>
      </x:c>
      <x:c r="M136" s="24" t="n">
        <x:v>400</x:v>
      </x:c>
      <x:c r="N136" s="25" t="n">
        <x:v>200</x:v>
      </x:c>
      <x:c r="O136" s="25" t="n">
        <x:v>4</x:v>
      </x:c>
      <x:c r="P136" s="24" t="n">
        <x:v>2759.5502720975715</x:v>
      </x:c>
      <x:c r="Q13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6"/>
      <x:c r="S136" t="str">
        <x:v>Preserve consumed record; new data/scope requires a new ID</x:v>
      </x:c>
      <x:c r="T136" t="str">
        <x:v>../Project Recherche Data/tpa-batch07-20260908/J0952-3839/run01/result.json</x:v>
      </x:c>
      <x:c r="U136" t="str">
        <x:v>1588d377bdc56ec536f272f375ca1a2fe583fe91e16805e2876165db7b8288d5</x:v>
      </x:c>
      <x:c r="V136" t="str">
        <x:v>observed=2a170056d09f052cce04e3f4ccedc348d8e767304397ad73a025cf31c927c097; calibration=672a5800af8616d37524e6cda94bf4c185dfbd3eb7dd0ba234e12b1a29f7453d</x:v>
      </x:c>
    </x:row>
    <x:row r="137" ht="15" hidden="0" customHeight="1">
      <x:c r="A137" t="str">
        <x:v>tpa-batch07-20260908-J1842+1332-run01</x:v>
      </x:c>
      <x:c r="B137" t="str">
        <x:v>J1842+1332</x:v>
      </x:c>
      <x:c r="C137" t="str">
        <x:v>TPA DR1; original circular search</x:v>
      </x:c>
      <x:c r="D137" t="str">
        <x:v>NO_TRIGGER</x:v>
      </x:c>
      <x:c r="E137" s="23" t="n">
        <x:v>111.74064880654439</x:v>
      </x:c>
      <x:c r="F137" t="str">
        <x:v>Strongest eligible grid peak; candidate status is separate</x:v>
      </x:c>
      <x:c r="G137" s="24" t="n">
        <x:v>2204.074721130647</x:v>
      </x:c>
      <x:c r="H137" s="24" t="n">
        <x:v>7.791748134405166</x:v>
      </x:c>
      <x:c r="I137" s="24" t="n">
        <x:v>26.224626083101654</x:v>
      </x:c>
      <x:c r="J137" s="25" t="n">
        <x:v>427</x:v>
      </x:c>
      <x:c r="K137" s="25" t="n">
        <x:v>54</x:v>
      </x:c>
      <x:c r="L137" s="24" t="n">
        <x:v>30</x:v>
      </x:c>
      <x:c r="M137" s="24" t="n">
        <x:v>400</x:v>
      </x:c>
      <x:c r="N137" s="25" t="n">
        <x:v>198</x:v>
      </x:c>
      <x:c r="O137" s="25" t="n">
        <x:v>4</x:v>
      </x:c>
      <x:c r="P137" s="24" t="n">
        <x:v>5863.729098321124</x:v>
      </x:c>
      <x:c r="Q13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7"/>
      <x:c r="S137" t="str">
        <x:v>Preserve consumed record; new data/scope requires a new ID</x:v>
      </x:c>
      <x:c r="T137" t="str">
        <x:v>../Project Recherche Data/tpa-batch07-20260908/J1842+1332/run01/result.json</x:v>
      </x:c>
      <x:c r="U137" t="str">
        <x:v>c9722fbb027c879a174075df62be6f1c60b35e19dc956811a267b3e2c083341f</x:v>
      </x:c>
      <x:c r="V137" t="str">
        <x:v>observed=573b1fda1ca6c7286bb121990cc423b3fd12db252f9a5e2827f61ca4d0a29d03; calibration=80fa4ebe07fa5ecc6d1728fddbc6421dea5c88880d5c32f366da4dedb5819a0d</x:v>
      </x:c>
    </x:row>
    <x:row r="138" ht="15" hidden="0" customHeight="1">
      <x:c r="A138" t="str">
        <x:v>tpa-batch07-20260908-J1119-6127-run01</x:v>
      </x:c>
      <x:c r="B138" t="str">
        <x:v>J1119-6127</x:v>
      </x:c>
      <x:c r="C138" t="str">
        <x:v>TPA DR1; original circular search</x:v>
      </x:c>
      <x:c r="D138" t="str">
        <x:v>NO_TRIGGER</x:v>
      </x:c>
      <x:c r="E138" s="23" t="n">
        <x:v>86.4627774461362</x:v>
      </x:c>
      <x:c r="F138" t="str">
        <x:v>Strongest eligible grid peak; candidate status is separate</x:v>
      </x:c>
      <x:c r="G138" s="24" t="n">
        <x:v>3272.815162798526</x:v>
      </x:c>
      <x:c r="H138" s="24" t="n">
        <x:v>5.974431079861839</x:v>
      </x:c>
      <x:c r="I138" s="24" t="n">
        <x:v>26.16308276576815</x:v>
      </x:c>
      <x:c r="J138" s="25" t="n">
        <x:v>406</x:v>
      </x:c>
      <x:c r="K138" s="25" t="n">
        <x:v>51</x:v>
      </x:c>
      <x:c r="L138" s="24" t="n">
        <x:v>30</x:v>
      </x:c>
      <x:c r="M138" s="24" t="n">
        <x:v>400</x:v>
      </x:c>
      <x:c r="N138" s="25" t="n">
        <x:v>192</x:v>
      </x:c>
      <x:c r="O138" s="25" t="n">
        <x:v>19</x:v>
      </x:c>
      <x:c r="P138" s="24" t="n">
        <x:v>7242.371393555576</x:v>
      </x:c>
      <x:c r="Q13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8"/>
      <x:c r="S138" t="str">
        <x:v>Preserve consumed record; new data/scope requires a new ID</x:v>
      </x:c>
      <x:c r="T138" t="str">
        <x:v>../Project Recherche Data/tpa-batch07-20260908/J1119-6127/run01/result.json</x:v>
      </x:c>
      <x:c r="U138" t="str">
        <x:v>884ce87e15471a7275eaea83acc6d68d3ee9bcbe43708a74a5fa38b8903579a6</x:v>
      </x:c>
      <x:c r="V138" t="str">
        <x:v>observed=78717e29cd0323e1abd7a48103bc9c39dfb75b4dbca05afc80b14488634facbf; calibration=1ce770cdb0ad5e979b82754d7de9a34563e24e3df7eb63e757ef0ba1a4e72f45</x:v>
      </x:c>
    </x:row>
    <x:row r="139" ht="15" hidden="0" customHeight="1">
      <x:c r="A139" t="str">
        <x:v>tpa-batch07-20260908-J1932+1059-run01</x:v>
      </x:c>
      <x:c r="B139" t="str">
        <x:v>J1932+1059</x:v>
      </x:c>
      <x:c r="C139" t="str">
        <x:v>TPA DR1; original circular search</x:v>
      </x:c>
      <x:c r="D139" t="str">
        <x:v>NO_TRIGGER</x:v>
      </x:c>
      <x:c r="E139" s="23" t="n">
        <x:v>61.83085739476481</x:v>
      </x:c>
      <x:c r="F139" t="str">
        <x:v>Strongest eligible grid peak; candidate status is separate</x:v>
      </x:c>
      <x:c r="G139" s="24" t="n">
        <x:v>20.83727718811871</x:v>
      </x:c>
      <x:c r="H139" s="24" t="n">
        <x:v>7.377895937326974</x:v>
      </x:c>
      <x:c r="I139" s="24" t="n">
        <x:v>26.224626083101654</x:v>
      </x:c>
      <x:c r="J139" s="25" t="n">
        <x:v>424</x:v>
      </x:c>
      <x:c r="K139" s="25" t="n">
        <x:v>53</x:v>
      </x:c>
      <x:c r="L139" s="24" t="n">
        <x:v>30</x:v>
      </x:c>
      <x:c r="M139" s="24" t="n">
        <x:v>400</x:v>
      </x:c>
      <x:c r="N139" s="25" t="n">
        <x:v>198</x:v>
      </x:c>
      <x:c r="O139" s="25" t="n">
        <x:v>4</x:v>
      </x:c>
      <x:c r="P139" s="24" t="n">
        <x:v>44.390256854318146</x:v>
      </x:c>
      <x:c r="Q13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39"/>
      <x:c r="S139" t="str">
        <x:v>Preserve consumed record; new data/scope requires a new ID</x:v>
      </x:c>
      <x:c r="T139" t="str">
        <x:v>../Project Recherche Data/tpa-batch07-20260908/J1932+1059/run01/result.json</x:v>
      </x:c>
      <x:c r="U139" t="str">
        <x:v>8722b6fcc0ebce84b21a08889ea1c71e0b3ac73929e788db33aab3e919f70be7</x:v>
      </x:c>
      <x:c r="V139" t="str">
        <x:v>observed=fe6c03bda15268791fc3a8d9e98baf3faaee41687914e7dcbb1b789b7d425f66; calibration=dcd489b894d7f31824c14d90c0ecc64bdbec6a063fb0e6848597338ecd17826a</x:v>
      </x:c>
    </x:row>
    <x:row r="140" ht="15" hidden="0" customHeight="1">
      <x:c r="A140" t="str">
        <x:v>tpa-batch07-20260908-J1759-2205-run01</x:v>
      </x:c>
      <x:c r="B140" t="str">
        <x:v>J1759-2205</x:v>
      </x:c>
      <x:c r="C140" t="str">
        <x:v>TPA DR1; original circular search</x:v>
      </x:c>
      <x:c r="D140" t="str">
        <x:v>NO_TRIGGER</x:v>
      </x:c>
      <x:c r="E140" s="23" t="n">
        <x:v>60.84169441299829</x:v>
      </x:c>
      <x:c r="F140" t="str">
        <x:v>Strongest eligible grid peak; candidate status is separate</x:v>
      </x:c>
      <x:c r="G140" s="24" t="n">
        <x:v>16.651534681530272</x:v>
      </x:c>
      <x:c r="H140" s="24" t="n">
        <x:v>6.105409486128846</x:v>
      </x:c>
      <x:c r="I140" s="24" t="n">
        <x:v>26.254701837830737</x:v>
      </x:c>
      <x:c r="J140" s="25" t="n">
        <x:v>432</x:v>
      </x:c>
      <x:c r="K140" s="25" t="n">
        <x:v>54</x:v>
      </x:c>
      <x:c r="L140" s="24" t="n">
        <x:v>30</x:v>
      </x:c>
      <x:c r="M140" s="24" t="n">
        <x:v>400</x:v>
      </x:c>
      <x:c r="N140" s="25" t="n">
        <x:v>201</x:v>
      </x:c>
      <x:c r="O140" s="25" t="n">
        <x:v>8</x:v>
      </x:c>
      <x:c r="P140" s="24" t="n">
        <x:v>51.688416401113756</x:v>
      </x:c>
      <x:c r="Q14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0"/>
      <x:c r="S140" t="str">
        <x:v>Preserve consumed record; new data/scope requires a new ID</x:v>
      </x:c>
      <x:c r="T140" t="str">
        <x:v>../Project Recherche Data/tpa-batch07-20260908/J1759-2205/run01/result.json</x:v>
      </x:c>
      <x:c r="U140" t="str">
        <x:v>d5478b867d91d0fa7c5d51fe783d85c0858c83fc30641cf65dc255186a8b30db</x:v>
      </x:c>
      <x:c r="V140" t="str">
        <x:v>observed=9db6fe1d04303473459ed41dd72d2a2bc7d898cf258167eea46739a43172111b; calibration=7ed5b70e1a5d9972f19016ce0c4309dbd4b0429949e1092b5793d196f7aab66c</x:v>
      </x:c>
    </x:row>
    <x:row r="141" ht="15" hidden="0" customHeight="1">
      <x:c r="A141" t="str">
        <x:v>tpa-batch07-20260908-J1543-0620-run01</x:v>
      </x:c>
      <x:c r="B141" t="str">
        <x:v>J1543-0620</x:v>
      </x:c>
      <x:c r="C141" t="str">
        <x:v>TPA DR1; original circular search</x:v>
      </x:c>
      <x:c r="D141" t="str">
        <x:v>NO_TRIGGER</x:v>
      </x:c>
      <x:c r="E141" s="23" t="n">
        <x:v>32.080527687107946</x:v>
      </x:c>
      <x:c r="F141" t="str">
        <x:v>Strongest eligible grid peak; candidate status is separate</x:v>
      </x:c>
      <x:c r="G141" s="24" t="n">
        <x:v>44.132387737893</x:v>
      </x:c>
      <x:c r="H141" s="24" t="n">
        <x:v>8.305172276710037</x:v>
      </x:c>
      <x:c r="I141" s="24" t="n">
        <x:v>26.244726754808656</x:v>
      </x:c>
      <x:c r="J141" s="25" t="n">
        <x:v>376</x:v>
      </x:c>
      <x:c r="K141" s="25" t="n">
        <x:v>50</x:v>
      </x:c>
      <x:c r="L141" s="24" t="n">
        <x:v>30</x:v>
      </x:c>
      <x:c r="M141" s="24" t="n">
        <x:v>400</x:v>
      </x:c>
      <x:c r="N141" s="25" t="n">
        <x:v>200</x:v>
      </x:c>
      <x:c r="O141" s="25" t="n">
        <x:v>4</x:v>
      </x:c>
      <x:c r="P141" s="24" t="n">
        <x:v>78.64505236999065</x:v>
      </x:c>
      <x:c r="Q14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1"/>
      <x:c r="S141" t="str">
        <x:v>Preserve consumed record; new data/scope requires a new ID</x:v>
      </x:c>
      <x:c r="T141" t="str">
        <x:v>../Project Recherche Data/tpa-batch07-20260908/J1543-0620/run01/result.json</x:v>
      </x:c>
      <x:c r="U141" t="str">
        <x:v>2f2061b84666d3c1ca6ff72d4ace1ebc62180eaa23a51d8e58ebcbb36518b3cd</x:v>
      </x:c>
      <x:c r="V141" t="str">
        <x:v>observed=37341333c3be05b7d9c0b31f4abc8f16ca46e800d11fa58510cabdcdeffc3da3; calibration=d1c9f9cffd2d0eeeef7c4ed783ac0132894a0de85768930f3ad2c5695f798187</x:v>
      </x:c>
    </x:row>
    <x:row r="142" ht="15" hidden="0" customHeight="1">
      <x:c r="A142" t="str">
        <x:v>tpa-batch07-20260908-J1705-1906-run01</x:v>
      </x:c>
      <x:c r="B142" t="str">
        <x:v>J1705-1906</x:v>
      </x:c>
      <x:c r="C142" t="str">
        <x:v>TPA DR1; original circular search</x:v>
      </x:c>
      <x:c r="D142" t="str">
        <x:v>NO_TRIGGER</x:v>
      </x:c>
      <x:c r="E142" s="23" t="n">
        <x:v>64.42756670919228</x:v>
      </x:c>
      <x:c r="F142" t="str">
        <x:v>Strongest eligible grid peak; candidate status is separate</x:v>
      </x:c>
      <x:c r="G142" s="24" t="n">
        <x:v>25.914098177521446</x:v>
      </x:c>
      <x:c r="H142" s="24" t="n">
        <x:v>8.237781288250535</x:v>
      </x:c>
      <x:c r="I142" s="24" t="n">
        <x:v>26.532927442756172</x:v>
      </x:c>
      <x:c r="J142" s="25" t="n">
        <x:v>416</x:v>
      </x:c>
      <x:c r="K142" s="25" t="n">
        <x:v>53</x:v>
      </x:c>
      <x:c r="L142" s="24" t="n">
        <x:v>30</x:v>
      </x:c>
      <x:c r="M142" s="24" t="n">
        <x:v>400</x:v>
      </x:c>
      <x:c r="N142" s="25" t="n">
        <x:v>231</x:v>
      </x:c>
      <x:c r="O142" s="25" t="n">
        <x:v>8</x:v>
      </x:c>
      <x:c r="P142" s="24" t="n">
        <x:v>76.70744599649503</x:v>
      </x:c>
      <x:c r="Q14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2"/>
      <x:c r="S142" t="str">
        <x:v>Preserve consumed record; new data/scope requires a new ID</x:v>
      </x:c>
      <x:c r="T142" t="str">
        <x:v>../Project Recherche Data/tpa-batch07-20260908/J1705-1906/run01/result.json</x:v>
      </x:c>
      <x:c r="U142" t="str">
        <x:v>738ebbccda0ef4900ff9f01fba7afc496796ef09c66f906ed35a4223b14c67c1</x:v>
      </x:c>
      <x:c r="V142" t="str">
        <x:v>observed=d4d0fe4c82e5404053a24f0fb29add9b5367a1b88e6ed8afd07e3a6f8e7e79d5; calibration=0af15922e6275f60692d03e9df64a380c4f5be33c520b3457f347b5a580aa211</x:v>
      </x:c>
    </x:row>
    <x:row r="143" ht="15" hidden="0" customHeight="1">
      <x:c r="A143" t="str">
        <x:v>tpa-batch07-20260908-J1807-2715-run01</x:v>
      </x:c>
      <x:c r="B143" t="str">
        <x:v>J1807-2715</x:v>
      </x:c>
      <x:c r="C143" t="str">
        <x:v>TPA DR1; original circular search</x:v>
      </x:c>
      <x:c r="D143" t="str">
        <x:v>NO_TRIGGER</x:v>
      </x:c>
      <x:c r="E143" s="23" t="n">
        <x:v>81.54029721422764</x:v>
      </x:c>
      <x:c r="F143" t="str">
        <x:v>Strongest eligible grid peak; candidate status is separate</x:v>
      </x:c>
      <x:c r="G143" s="24" t="n">
        <x:v>39.38253968995649</x:v>
      </x:c>
      <x:c r="H143" s="24" t="n">
        <x:v>9.881985759734713</x:v>
      </x:c>
      <x:c r="I143" s="24" t="n">
        <x:v>26.244726754808656</x:v>
      </x:c>
      <x:c r="J143" s="25" t="n">
        <x:v>416</x:v>
      </x:c>
      <x:c r="K143" s="25" t="n">
        <x:v>52</x:v>
      </x:c>
      <x:c r="L143" s="24" t="n">
        <x:v>30</x:v>
      </x:c>
      <x:c r="M143" s="24" t="n">
        <x:v>400</x:v>
      </x:c>
      <x:c r="N143" s="25" t="n">
        <x:v>200</x:v>
      </x:c>
      <x:c r="O143" s="25" t="n">
        <x:v>4</x:v>
      </x:c>
      <x:c r="P143" s="24" t="n">
        <x:v>91.9464836994124</x:v>
      </x:c>
      <x:c r="Q14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3"/>
      <x:c r="S143" t="str">
        <x:v>Preserve consumed record; new data/scope requires a new ID</x:v>
      </x:c>
      <x:c r="T143" t="str">
        <x:v>../Project Recherche Data/tpa-batch07-20260908/J1807-2715/run01/result.json</x:v>
      </x:c>
      <x:c r="U143" t="str">
        <x:v>b32a1c09ea526049774d6bcc946285f5467345762417009ef45e1347a3133152</x:v>
      </x:c>
      <x:c r="V143" t="str">
        <x:v>observed=7ee5759e672fb1b1ee3c6ac4737eba869f05bc5f226672ee994e655a73c40720; calibration=496332ed1fa8e661110afcede71a1ac4467fbc32c13f4ccec4336f0081805f92</x:v>
      </x:c>
    </x:row>
    <x:row r="144" ht="15" hidden="0" customHeight="1">
      <x:c r="A144" t="str">
        <x:v>tpa-batch07-20260908-J1917+1353-run01</x:v>
      </x:c>
      <x:c r="B144" t="str">
        <x:v>J1917+1353</x:v>
      </x:c>
      <x:c r="C144" t="str">
        <x:v>TPA DR1; original circular search</x:v>
      </x:c>
      <x:c r="D144" t="str">
        <x:v>NO_TRIGGER</x:v>
      </x:c>
      <x:c r="E144" s="23" t="n">
        <x:v>43.311796129059694</x:v>
      </x:c>
      <x:c r="F144" t="str">
        <x:v>Strongest eligible grid peak; candidate status is separate</x:v>
      </x:c>
      <x:c r="G144" s="24" t="n">
        <x:v>19.541782827902292</x:v>
      </x:c>
      <x:c r="H144" s="24" t="n">
        <x:v>8.180170208172461</x:v>
      </x:c>
      <x:c r="I144" s="24" t="n">
        <x:v>26.224626083101654</x:v>
      </x:c>
      <x:c r="J144" s="25" t="n">
        <x:v>416</x:v>
      </x:c>
      <x:c r="K144" s="25" t="n">
        <x:v>52</x:v>
      </x:c>
      <x:c r="L144" s="24" t="n">
        <x:v>30</x:v>
      </x:c>
      <x:c r="M144" s="24" t="n">
        <x:v>400</x:v>
      </x:c>
      <x:c r="N144" s="25" t="n">
        <x:v>198</x:v>
      </x:c>
      <x:c r="O144" s="25" t="n">
        <x:v>22</x:v>
      </x:c>
      <x:c r="P144" s="24" t="n">
        <x:v>55.9648544635578</x:v>
      </x:c>
      <x:c r="Q14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4"/>
      <x:c r="S144" t="str">
        <x:v>Preserve consumed record; new data/scope requires a new ID</x:v>
      </x:c>
      <x:c r="T144" t="str">
        <x:v>../Project Recherche Data/tpa-batch07-20260908/J1917+1353/run01/result.json</x:v>
      </x:c>
      <x:c r="U144" t="str">
        <x:v>acd426a085233b1253f90694322dc42290c7ddb702f396bc3de7e37434fc3c65</x:v>
      </x:c>
      <x:c r="V144" t="str">
        <x:v>observed=b4c5d3318bea79915d7e85551d0f0f391848bfd2753ed3fe3c7f4a3e9273403e; calibration=23841ec96fef1956d7973af95046419df1eb37bf3d372f9e8b5aa16af8bf8a97</x:v>
      </x:c>
    </x:row>
    <x:row r="145" ht="15" hidden="0" customHeight="1">
      <x:c r="A145" t="str">
        <x:v>tpa-batch07-20260908-J1808-3249-run01</x:v>
      </x:c>
      <x:c r="B145" t="str">
        <x:v>J1808-3249</x:v>
      </x:c>
      <x:c r="C145" t="str">
        <x:v>TPA DR1; original circular search</x:v>
      </x:c>
      <x:c r="D145" t="str">
        <x:v>NO_TRIGGER</x:v>
      </x:c>
      <x:c r="E145" s="23" t="n">
        <x:v>121.00359789370991</x:v>
      </x:c>
      <x:c r="F145" t="str">
        <x:v>Strongest eligible grid peak; candidate status is separate</x:v>
      </x:c>
      <x:c r="G145" s="24" t="n">
        <x:v>55.481515315299404</x:v>
      </x:c>
      <x:c r="H145" s="24" t="n">
        <x:v>12.425563126155811</x:v>
      </x:c>
      <x:c r="I145" s="24" t="n">
        <x:v>26.131586051831867</x:v>
      </x:c>
      <x:c r="J145" s="25" t="n">
        <x:v>416</x:v>
      </x:c>
      <x:c r="K145" s="25" t="n">
        <x:v>52</x:v>
      </x:c>
      <x:c r="L145" s="24" t="n">
        <x:v>30</x:v>
      </x:c>
      <x:c r="M145" s="24" t="n">
        <x:v>400</x:v>
      </x:c>
      <x:c r="N145" s="25" t="n">
        <x:v>189</x:v>
      </x:c>
      <x:c r="O145" s="25" t="n">
        <x:v>4</x:v>
      </x:c>
      <x:c r="P145" s="24" t="n">
        <x:v>113.3199985311865</x:v>
      </x:c>
      <x:c r="Q14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5"/>
      <x:c r="S145" t="str">
        <x:v>Preserve consumed record; new data/scope requires a new ID</x:v>
      </x:c>
      <x:c r="T145" t="str">
        <x:v>../Project Recherche Data/tpa-batch07-20260908/J1808-3249/run01/result.json</x:v>
      </x:c>
      <x:c r="U145" t="str">
        <x:v>e6fde7bc9ed4121a071a77d93bc7fde0c19d9e98d71c4e82dfbba730ef8bcd16</x:v>
      </x:c>
      <x:c r="V145" t="str">
        <x:v>observed=f26e83c760f698200243e9399e8ddf679b15a91138c9e5856ffc220481c6cd89; calibration=4cd521d9287bdaa2f920245dcfe57d4a3fd4fb075b8fc7e580cdd483517ef223</x:v>
      </x:c>
    </x:row>
    <x:row r="146" ht="15" hidden="0" customHeight="1">
      <x:c r="A146" t="str">
        <x:v>tpa-batch07-20260908-J1909+1102-run01</x:v>
      </x:c>
      <x:c r="B146" t="str">
        <x:v>J1909+1102</x:v>
      </x:c>
      <x:c r="C146" t="str">
        <x:v>TPA DR1; original circular search</x:v>
      </x:c>
      <x:c r="D146" t="str">
        <x:v>NO_TRIGGER</x:v>
      </x:c>
      <x:c r="E146" s="23" t="n">
        <x:v>76.74278867634975</x:v>
      </x:c>
      <x:c r="F146" t="str">
        <x:v>Strongest eligible grid peak; candidate status is separate</x:v>
      </x:c>
      <x:c r="G146" s="24" t="n">
        <x:v>46.55364465958309</x:v>
      </x:c>
      <x:c r="H146" s="24" t="n">
        <x:v>7.751554946170337</x:v>
      </x:c>
      <x:c r="I146" s="24" t="n">
        <x:v>26.224626083101654</x:v>
      </x:c>
      <x:c r="J146" s="25" t="n">
        <x:v>424</x:v>
      </x:c>
      <x:c r="K146" s="25" t="n">
        <x:v>53</x:v>
      </x:c>
      <x:c r="L146" s="24" t="n">
        <x:v>30</x:v>
      </x:c>
      <x:c r="M146" s="24" t="n">
        <x:v>400</x:v>
      </x:c>
      <x:c r="N146" s="25" t="n">
        <x:v>198</x:v>
      </x:c>
      <x:c r="O146" s="25" t="n">
        <x:v>4</x:v>
      </x:c>
      <x:c r="P146" s="24" t="n">
        <x:v>122.78822250589309</x:v>
      </x:c>
      <x:c r="Q14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6"/>
      <x:c r="S146" t="str">
        <x:v>Preserve consumed record; new data/scope requires a new ID</x:v>
      </x:c>
      <x:c r="T146" t="str">
        <x:v>../Project Recherche Data/tpa-batch07-20260908/J1909+1102/run01/result.json</x:v>
      </x:c>
      <x:c r="U146" t="str">
        <x:v>cf716f924745dd3c3d9961591818b18e57207516525c4189ce2ca3f5e0ff7a2a</x:v>
      </x:c>
      <x:c r="V146" t="str">
        <x:v>observed=52976a7e39299324f1fc69ab56a2bb132da0c22bf5676aebc7f552bcd11d034a; calibration=faa4e00286bcfeaf2e213bf844e85b35898430a9bf2779622c2df107d4a0d7ec</x:v>
      </x:c>
    </x:row>
    <x:row r="147" ht="15" hidden="0" customHeight="1">
      <x:c r="A147" t="str">
        <x:v>tpa-batch07-20260908-J1141-3322-run01</x:v>
      </x:c>
      <x:c r="B147" t="str">
        <x:v>J1141-3322</x:v>
      </x:c>
      <x:c r="C147" t="str">
        <x:v>TPA DR1; original circular search</x:v>
      </x:c>
      <x:c r="D147" t="str">
        <x:v>NO_TRIGGER</x:v>
      </x:c>
      <x:c r="E147" s="23" t="n">
        <x:v>38.612339811294376</x:v>
      </x:c>
      <x:c r="F147" t="str">
        <x:v>Strongest eligible grid peak; candidate status is separate</x:v>
      </x:c>
      <x:c r="G147" s="24" t="n">
        <x:v>52.923673918234705</x:v>
      </x:c>
      <x:c r="H147" s="24" t="n">
        <x:v>9.02386888912216</x:v>
      </x:c>
      <x:c r="I147" s="24" t="n">
        <x:v>26.244726754808656</x:v>
      </x:c>
      <x:c r="J147" s="25" t="n">
        <x:v>424</x:v>
      </x:c>
      <x:c r="K147" s="25" t="n">
        <x:v>53</x:v>
      </x:c>
      <x:c r="L147" s="24" t="n">
        <x:v>30</x:v>
      </x:c>
      <x:c r="M147" s="24" t="n">
        <x:v>400</x:v>
      </x:c>
      <x:c r="N147" s="25" t="n">
        <x:v>200</x:v>
      </x:c>
      <x:c r="O147" s="25" t="n">
        <x:v>4</x:v>
      </x:c>
      <x:c r="P147" s="24" t="n">
        <x:v>121.49073889970401</x:v>
      </x:c>
      <x:c r="Q14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7"/>
      <x:c r="S147" t="str">
        <x:v>Preserve consumed record; new data/scope requires a new ID</x:v>
      </x:c>
      <x:c r="T147" t="str">
        <x:v>../Project Recherche Data/tpa-batch07-20260908/J1141-3322/run01/result.json</x:v>
      </x:c>
      <x:c r="U147" t="str">
        <x:v>c7fcb9b452dd9cf3f31e8a492548d0d77e2004f3dc248019321e14496ed544b0</x:v>
      </x:c>
      <x:c r="V147" t="str">
        <x:v>observed=8c8d4082aa483819b615d93a10b66d032164db85f1ab66bac284ecda5b0b4b6f; calibration=7b1710083fc79b16158784ca5e377f88e13c97e84f374e70b8792cf81a2f2119</x:v>
      </x:c>
    </x:row>
    <x:row r="148" ht="15" hidden="0" customHeight="1">
      <x:c r="A148" t="str">
        <x:v>tpa-batch07-20260908-J1916+0951-run01</x:v>
      </x:c>
      <x:c r="B148" t="str">
        <x:v>J1916+0951</x:v>
      </x:c>
      <x:c r="C148" t="str">
        <x:v>TPA DR1; original circular search</x:v>
      </x:c>
      <x:c r="D148" t="str">
        <x:v>NO_TRIGGER</x:v>
      </x:c>
      <x:c r="E148" s="23" t="n">
        <x:v>50.136355930102326</x:v>
      </x:c>
      <x:c r="F148" t="str">
        <x:v>Strongest eligible grid peak; candidate status is separate</x:v>
      </x:c>
      <x:c r="G148" s="24" t="n">
        <x:v>51.78754735774868</x:v>
      </x:c>
      <x:c r="H148" s="24" t="n">
        <x:v>8.083200945483378</x:v>
      </x:c>
      <x:c r="I148" s="24" t="n">
        <x:v>26.224626083101654</x:v>
      </x:c>
      <x:c r="J148" s="25" t="n">
        <x:v>432</x:v>
      </x:c>
      <x:c r="K148" s="25" t="n">
        <x:v>54</x:v>
      </x:c>
      <x:c r="L148" s="24" t="n">
        <x:v>30</x:v>
      </x:c>
      <x:c r="M148" s="24" t="n">
        <x:v>400</x:v>
      </x:c>
      <x:c r="N148" s="25" t="n">
        <x:v>198</x:v>
      </x:c>
      <x:c r="O148" s="25" t="n">
        <x:v>4</x:v>
      </x:c>
      <x:c r="P148" s="24" t="n">
        <x:v>125.39930759038589</x:v>
      </x:c>
      <x:c r="Q14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8"/>
      <x:c r="S148" t="str">
        <x:v>Preserve consumed record; new data/scope requires a new ID</x:v>
      </x:c>
      <x:c r="T148" t="str">
        <x:v>../Project Recherche Data/tpa-batch07-20260908/J1916+0951/run01/result.json</x:v>
      </x:c>
      <x:c r="U148" t="str">
        <x:v>18d8ca63947201c30acf2447fce8980354fbb71fbbbe5be81db69bb4256cafbd</x:v>
      </x:c>
      <x:c r="V148" t="str">
        <x:v>observed=1f5857612b795c09bbe82e32fb103b35188e9bbf9ce4a453fbd576e659c9bc94; calibration=ecaee15248196caaa44c13473bf7cb52fdf324ea523fe48ccc11a8252976cb1b</x:v>
      </x:c>
    </x:row>
    <x:row r="149" ht="15" hidden="0" customHeight="1">
      <x:c r="A149" t="str">
        <x:v>tpa-batch07-20260908-J1905-0056-run01</x:v>
      </x:c>
      <x:c r="B149" t="str">
        <x:v>J1905-0056</x:v>
      </x:c>
      <x:c r="C149" t="str">
        <x:v>TPA DR1; original circular search</x:v>
      </x:c>
      <x:c r="D149" t="str">
        <x:v>NO_TRIGGER</x:v>
      </x:c>
      <x:c r="E149" s="23" t="n">
        <x:v>78.63635275207128</x:v>
      </x:c>
      <x:c r="F149" t="str">
        <x:v>Strongest eligible grid peak; candidate status is separate</x:v>
      </x:c>
      <x:c r="G149" s="24" t="n">
        <x:v>55.978217794347955</x:v>
      </x:c>
      <x:c r="H149" s="24" t="n">
        <x:v>8.964687116129186</x:v>
      </x:c>
      <x:c r="I149" s="24" t="n">
        <x:v>26.224626083101654</x:v>
      </x:c>
      <x:c r="J149" s="25" t="n">
        <x:v>456</x:v>
      </x:c>
      <x:c r="K149" s="25" t="n">
        <x:v>57</x:v>
      </x:c>
      <x:c r="L149" s="24" t="n">
        <x:v>30</x:v>
      </x:c>
      <x:c r="M149" s="24" t="n">
        <x:v>400</x:v>
      </x:c>
      <x:c r="N149" s="25" t="n">
        <x:v>198</x:v>
      </x:c>
      <x:c r="O149" s="25" t="n">
        <x:v>4</x:v>
      </x:c>
      <x:c r="P149" s="24" t="n">
        <x:v>131.38869004051932</x:v>
      </x:c>
      <x:c r="Q14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49"/>
      <x:c r="S149" t="str">
        <x:v>Preserve consumed record; new data/scope requires a new ID</x:v>
      </x:c>
      <x:c r="T149" t="str">
        <x:v>../Project Recherche Data/tpa-batch07-20260908/J1905-0056/run01/result.json</x:v>
      </x:c>
      <x:c r="U149" t="str">
        <x:v>0e10efd8a9f7cd9e1fb0b963a5b58c30a8d2ef3fd0a7709d90977a8543a75d95</x:v>
      </x:c>
      <x:c r="V149" t="str">
        <x:v>observed=ec322f67f7cdee98b5230db43346f362d97d0b16bbdc911b60ea3708294be673; calibration=46625809df81958f0710a23ffe15441f4a5d33758cdc3276d10ca9109b65a796</x:v>
      </x:c>
    </x:row>
    <x:row r="150" ht="15" hidden="0" customHeight="1">
      <x:c r="A150" t="str">
        <x:v>tpa-batch07-20260908-J1754-3510-run01</x:v>
      </x:c>
      <x:c r="B150" t="str">
        <x:v>J1754-3510</x:v>
      </x:c>
      <x:c r="C150" t="str">
        <x:v>TPA DR1; original circular search</x:v>
      </x:c>
      <x:c r="D150" t="str">
        <x:v>NO_TRIGGER</x:v>
      </x:c>
      <x:c r="E150" s="23" t="n">
        <x:v>99.12024890979285</x:v>
      </x:c>
      <x:c r="F150" t="str">
        <x:v>Strongest eligible grid peak; candidate status is separate</x:v>
      </x:c>
      <x:c r="G150" s="24" t="n">
        <x:v>55.4790440227808</x:v>
      </x:c>
      <x:c r="H150" s="24" t="n">
        <x:v>8.72995704744746</x:v>
      </x:c>
      <x:c r="I150" s="24" t="n">
        <x:v>26.44441742474809</x:v>
      </x:c>
      <x:c r="J150" s="25" t="n">
        <x:v>432</x:v>
      </x:c>
      <x:c r="K150" s="25" t="n">
        <x:v>54</x:v>
      </x:c>
      <x:c r="L150" s="24" t="n">
        <x:v>30</x:v>
      </x:c>
      <x:c r="M150" s="24" t="n">
        <x:v>400</x:v>
      </x:c>
      <x:c r="N150" s="25" t="n">
        <x:v>221</x:v>
      </x:c>
      <x:c r="O150" s="25" t="n">
        <x:v>4</x:v>
      </x:c>
      <x:c r="P150" s="24" t="n">
        <x:v>131.84905797440828</x:v>
      </x:c>
      <x:c r="Q15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0"/>
      <x:c r="S150" t="str">
        <x:v>Preserve consumed record; new data/scope requires a new ID</x:v>
      </x:c>
      <x:c r="T150" t="str">
        <x:v>../Project Recherche Data/tpa-batch07-20260908/J1754-3510/run01/result.json</x:v>
      </x:c>
      <x:c r="U150" t="str">
        <x:v>67dcc96ca62089d97ef2f2de847612f593573adce6fae1e971dfbeb122ca337f</x:v>
      </x:c>
      <x:c r="V150" t="str">
        <x:v>observed=aaead95ea066b168f1579a5b99e678c730f13a55e8c45fa26a6a7bb1232d65d2; calibration=886628c3267e6466b6e1e76ae2bb548efe91d9526da7a250290376a69965e31e</x:v>
      </x:c>
    </x:row>
    <x:row r="151" ht="15" hidden="0" customHeight="1">
      <x:c r="A151" t="str">
        <x:v>tpa-batch07-20260908-J1913-0440-run01</x:v>
      </x:c>
      <x:c r="B151" t="str">
        <x:v>J1913-0440</x:v>
      </x:c>
      <x:c r="C151" t="str">
        <x:v>TPA DR1; original circular search</x:v>
      </x:c>
      <x:c r="D151" t="str">
        <x:v>NO_TRIGGER</x:v>
      </x:c>
      <x:c r="E151" s="23" t="n">
        <x:v>33.95852702523866</x:v>
      </x:c>
      <x:c r="F151" t="str">
        <x:v>Strongest eligible grid peak; candidate status is separate</x:v>
      </x:c>
      <x:c r="G151" s="24" t="n">
        <x:v>65.66815694726508</x:v>
      </x:c>
      <x:c r="H151" s="24" t="n">
        <x:v>7.902240633510853</x:v>
      </x:c>
      <x:c r="I151" s="24" t="n">
        <x:v>26.19409113884008</x:v>
      </x:c>
      <x:c r="J151" s="25" t="n">
        <x:v>424</x:v>
      </x:c>
      <x:c r="K151" s="25" t="n">
        <x:v>53</x:v>
      </x:c>
      <x:c r="L151" s="24" t="n">
        <x:v>30</x:v>
      </x:c>
      <x:c r="M151" s="24" t="n">
        <x:v>400</x:v>
      </x:c>
      <x:c r="N151" s="25" t="n">
        <x:v>195</x:v>
      </x:c>
      <x:c r="O151" s="25" t="n">
        <x:v>4</x:v>
      </x:c>
      <x:c r="P151" s="24" t="n">
        <x:v>143.02712568681636</x:v>
      </x:c>
      <x:c r="Q15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1"/>
      <x:c r="S151" t="str">
        <x:v>Preserve consumed record; new data/scope requires a new ID</x:v>
      </x:c>
      <x:c r="T151" t="str">
        <x:v>../Project Recherche Data/tpa-batch07-20260908/J1913-0440/run01/result.json</x:v>
      </x:c>
      <x:c r="U151" t="str">
        <x:v>1ce27a905553a5035eff60103e0aded1475f8e9137468b8a75993d679fb0f573</x:v>
      </x:c>
      <x:c r="V151" t="str">
        <x:v>observed=a2e4f44f245507e07253f7e5ebcd35fc8a393ff9c5ad8ffbe53b0eac86d00675; calibration=23316c57f98e7f2c6f8dc2b850cff7e5a4e08887dc2319a531f8061932503676</x:v>
      </x:c>
    </x:row>
    <x:row r="152" ht="15" hidden="0" customHeight="1">
      <x:c r="A152" t="str">
        <x:v>tpa-batch07-20260908-J1909+0007-run01</x:v>
      </x:c>
      <x:c r="B152" t="str">
        <x:v>J1909+0007</x:v>
      </x:c>
      <x:c r="C152" t="str">
        <x:v>TPA DR1; original circular search</x:v>
      </x:c>
      <x:c r="D152" t="str">
        <x:v>NO_TRIGGER</x:v>
      </x:c>
      <x:c r="E152" s="23" t="n">
        <x:v>35.561694648407126</x:v>
      </x:c>
      <x:c r="F152" t="str">
        <x:v>Strongest eligible grid peak; candidate status is separate</x:v>
      </x:c>
      <x:c r="G152" s="24" t="n">
        <x:v>94.38212713894201</x:v>
      </x:c>
      <x:c r="H152" s="24" t="n">
        <x:v>16.581888354122498</x:v>
      </x:c>
      <x:c r="I152" s="24" t="n">
        <x:v>26.224626083101654</x:v>
      </x:c>
      <x:c r="J152" s="25" t="n">
        <x:v>432</x:v>
      </x:c>
      <x:c r="K152" s="25" t="n">
        <x:v>54</x:v>
      </x:c>
      <x:c r="L152" s="24" t="n">
        <x:v>30</x:v>
      </x:c>
      <x:c r="M152" s="24" t="n">
        <x:v>400</x:v>
      </x:c>
      <x:c r="N152" s="25" t="n">
        <x:v>198</x:v>
      </x:c>
      <x:c r="O152" s="25" t="n">
        <x:v>4</x:v>
      </x:c>
      <x:c r="P152" s="24" t="n">
        <x:v>145.52059651452356</x:v>
      </x:c>
      <x:c r="Q15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2"/>
      <x:c r="S152" t="str">
        <x:v>Preserve consumed record; new data/scope requires a new ID</x:v>
      </x:c>
      <x:c r="T152" t="str">
        <x:v>../Project Recherche Data/tpa-batch07-20260908/J1909+0007/run01/result.json</x:v>
      </x:c>
      <x:c r="U152" t="str">
        <x:v>455013c2e62a57381d2de54b762998af1b2ca0e9289130a320b5e0ef558212b2</x:v>
      </x:c>
      <x:c r="V152" t="str">
        <x:v>observed=2775eba508ada7f870f432671303810b76cae95f46e76005f7b77c5c95906269; calibration=c6d7956be4a977c65bae4e566dbc20677eaa47f34d8e59518871febf703bec7c</x:v>
      </x:c>
    </x:row>
    <x:row r="153" ht="15" hidden="0" customHeight="1">
      <x:c r="A153" t="str">
        <x:v>tpa-batch07-20260908-J1915+1009-run01</x:v>
      </x:c>
      <x:c r="B153" t="str">
        <x:v>J1915+1009</x:v>
      </x:c>
      <x:c r="C153" t="str">
        <x:v>TPA DR1; original circular search</x:v>
      </x:c>
      <x:c r="D153" t="str">
        <x:v>NO_TRIGGER</x:v>
      </x:c>
      <x:c r="E153" s="23" t="n">
        <x:v>64.98675942329976</x:v>
      </x:c>
      <x:c r="F153" t="str">
        <x:v>Strongest eligible grid peak; candidate status is separate</x:v>
      </x:c>
      <x:c r="G153" s="24" t="n">
        <x:v>74.02052323170015</x:v>
      </x:c>
      <x:c r="H153" s="24" t="n">
        <x:v>10.566162989536009</x:v>
      </x:c>
      <x:c r="I153" s="24" t="n">
        <x:v>26.224626083101654</x:v>
      </x:c>
      <x:c r="J153" s="25" t="n">
        <x:v>431</x:v>
      </x:c>
      <x:c r="K153" s="25" t="n">
        <x:v>54</x:v>
      </x:c>
      <x:c r="L153" s="24" t="n">
        <x:v>30</x:v>
      </x:c>
      <x:c r="M153" s="24" t="n">
        <x:v>400</x:v>
      </x:c>
      <x:c r="N153" s="25" t="n">
        <x:v>198</x:v>
      </x:c>
      <x:c r="O153" s="25" t="n">
        <x:v>4</x:v>
      </x:c>
      <x:c r="P153" s="24" t="n">
        <x:v>152.91595302948804</x:v>
      </x:c>
      <x:c r="Q15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3"/>
      <x:c r="S153" t="str">
        <x:v>Preserve consumed record; new data/scope requires a new ID</x:v>
      </x:c>
      <x:c r="T153" t="str">
        <x:v>../Project Recherche Data/tpa-batch07-20260908/J1915+1009/run01/result.json</x:v>
      </x:c>
      <x:c r="U153" t="str">
        <x:v>996754921f820c9dde26c0a675e217197fa01beb47f9540c0e46c120e04781ac</x:v>
      </x:c>
      <x:c r="V153" t="str">
        <x:v>observed=066cb07244c97698a2ae3379ede7bbcc4d219b90e0f8022295b88e75689fd358; calibration=5d39857e2eb4a46f838000b46657e6b6e5593cd3e02f4a462b66648c5c6295c3</x:v>
      </x:c>
    </x:row>
    <x:row r="154" ht="15" hidden="0" customHeight="1">
      <x:c r="A154" t="str">
        <x:v>tpa-batch07-20260908-J0855-3331-run01</x:v>
      </x:c>
      <x:c r="B154" t="str">
        <x:v>J0855-3331</x:v>
      </x:c>
      <x:c r="C154" t="str">
        <x:v>TPA DR1; original circular search</x:v>
      </x:c>
      <x:c r="D154" t="str">
        <x:v>NO_TRIGGER</x:v>
      </x:c>
      <x:c r="E154" s="23" t="n">
        <x:v>115.68867060316305</x:v>
      </x:c>
      <x:c r="F154" t="str">
        <x:v>Strongest eligible grid peak; candidate status is separate</x:v>
      </x:c>
      <x:c r="G154" s="24" t="n">
        <x:v>65.06343855391684</x:v>
      </x:c>
      <x:c r="H154" s="24" t="n">
        <x:v>7.619247502993125</x:v>
      </x:c>
      <x:c r="I154" s="24" t="n">
        <x:v>26.36126457105661</x:v>
      </x:c>
      <x:c r="J154" s="25" t="n">
        <x:v>448</x:v>
      </x:c>
      <x:c r="K154" s="25" t="n">
        <x:v>56</x:v>
      </x:c>
      <x:c r="L154" s="24" t="n">
        <x:v>30</x:v>
      </x:c>
      <x:c r="M154" s="24" t="n">
        <x:v>400</x:v>
      </x:c>
      <x:c r="N154" s="25" t="n">
        <x:v>212</x:v>
      </x:c>
      <x:c r="O154" s="25" t="n">
        <x:v>3</x:v>
      </x:c>
      <x:c r="P154" s="24" t="n">
        <x:v>151.95581543102207</x:v>
      </x:c>
      <x:c r="Q15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4"/>
      <x:c r="S154" t="str">
        <x:v>Preserve consumed record; new data/scope requires a new ID</x:v>
      </x:c>
      <x:c r="T154" t="str">
        <x:v>../Project Recherche Data/tpa-batch07-20260908/J0855-3331/run01/result.json</x:v>
      </x:c>
      <x:c r="U154" t="str">
        <x:v>f1083cce7b32b1203832e193df2314c621e99c4022bd4836c2e9a986e3240352</x:v>
      </x:c>
      <x:c r="V154" t="str">
        <x:v>observed=92d6e4ea206d983e049cb1e0a174fa35d20e15e288ef9b6abc2e63d4ea4e2003; calibration=fb87f5a8369a078382bb5b1b4210d9b424157a288a5d6a50996c6c38c8404da8</x:v>
      </x:c>
    </x:row>
    <x:row r="155" ht="15" hidden="0" customHeight="1">
      <x:c r="A155" t="str">
        <x:v>tpa-batch07-20260908-J1850+1335-run01</x:v>
      </x:c>
      <x:c r="B155" t="str">
        <x:v>J1850+1335</x:v>
      </x:c>
      <x:c r="C155" t="str">
        <x:v>TPA DR1; original circular search</x:v>
      </x:c>
      <x:c r="D155" t="str">
        <x:v>NO_TRIGGER</x:v>
      </x:c>
      <x:c r="E155" s="23" t="n">
        <x:v>47.12821532525797</x:v>
      </x:c>
      <x:c r="F155" t="str">
        <x:v>Strongest eligible grid peak; candidate status is separate</x:v>
      </x:c>
      <x:c r="G155" s="24" t="n">
        <x:v>61.99769628057336</x:v>
      </x:c>
      <x:c r="H155" s="24" t="n">
        <x:v>7.878764968703822</x:v>
      </x:c>
      <x:c r="I155" s="24" t="n">
        <x:v>26.224626083101654</x:v>
      </x:c>
      <x:c r="J155" s="25" t="n">
        <x:v>414</x:v>
      </x:c>
      <x:c r="K155" s="25" t="n">
        <x:v>52</x:v>
      </x:c>
      <x:c r="L155" s="24" t="n">
        <x:v>30</x:v>
      </x:c>
      <x:c r="M155" s="24" t="n">
        <x:v>400</x:v>
      </x:c>
      <x:c r="N155" s="25" t="n">
        <x:v>198</x:v>
      </x:c>
      <x:c r="O155" s="25" t="n">
        <x:v>3</x:v>
      </x:c>
      <x:c r="P155" s="24" t="n">
        <x:v>155.97439392727034</x:v>
      </x:c>
      <x:c r="Q15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5"/>
      <x:c r="S155" t="str">
        <x:v>Preserve consumed record; new data/scope requires a new ID</x:v>
      </x:c>
      <x:c r="T155" t="str">
        <x:v>../Project Recherche Data/tpa-batch07-20260908/J1850+1335/run01/result.json</x:v>
      </x:c>
      <x:c r="U155" t="str">
        <x:v>29df377fb8ab87c78b7008ccabee9915a4c8e61e5abfb7f0650b65e503df674d</x:v>
      </x:c>
      <x:c r="V155" t="str">
        <x:v>observed=4445385e37b7a8ec380b66a1047d90620d03e3fce9c70f762cbe70dbc8adf9c6; calibration=e5dcc0bfab767bbdfa3eca155d80bda8a28aa120f3741689395cac4daa2d39e4</x:v>
      </x:c>
    </x:row>
    <x:row r="156" ht="15" hidden="0" customHeight="1">
      <x:c r="A156" t="str">
        <x:v>tpa-batch07-20260908-J1909+0254-run01</x:v>
      </x:c>
      <x:c r="B156" t="str">
        <x:v>J1909+0254</x:v>
      </x:c>
      <x:c r="C156" t="str">
        <x:v>TPA DR1; original circular search</x:v>
      </x:c>
      <x:c r="D156" t="str">
        <x:v>NO_TRIGGER</x:v>
      </x:c>
      <x:c r="E156" s="23" t="n">
        <x:v>118.38690176838213</x:v>
      </x:c>
      <x:c r="F156" t="str">
        <x:v>Strongest eligible grid peak; candidate status is separate</x:v>
      </x:c>
      <x:c r="G156" s="24" t="n">
        <x:v>63.660367523926475</x:v>
      </x:c>
      <x:c r="H156" s="24" t="n">
        <x:v>8.333001412807558</x:v>
      </x:c>
      <x:c r="I156" s="24" t="n">
        <x:v>26.173472399522357</x:v>
      </x:c>
      <x:c r="J156" s="25" t="n">
        <x:v>424</x:v>
      </x:c>
      <x:c r="K156" s="25" t="n">
        <x:v>53</x:v>
      </x:c>
      <x:c r="L156" s="24" t="n">
        <x:v>30</x:v>
      </x:c>
      <x:c r="M156" s="24" t="n">
        <x:v>400</x:v>
      </x:c>
      <x:c r="N156" s="25" t="n">
        <x:v>193</x:v>
      </x:c>
      <x:c r="O156" s="25" t="n">
        <x:v>4</x:v>
      </x:c>
      <x:c r="P156" s="24" t="n">
        <x:v>155.17576794970347</x:v>
      </x:c>
      <x:c r="Q15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6"/>
      <x:c r="S156" t="str">
        <x:v>Preserve consumed record; new data/scope requires a new ID</x:v>
      </x:c>
      <x:c r="T156" t="str">
        <x:v>../Project Recherche Data/tpa-batch07-20260908/J1909+0254/run01/result.json</x:v>
      </x:c>
      <x:c r="U156" t="str">
        <x:v>4e236343c7eb014870a09c604d58a61befd60ee95324241aeeb692fe9cb72f14</x:v>
      </x:c>
      <x:c r="V156" t="str">
        <x:v>observed=854cb7c2c1b13b19846301e62ee88884df07b28ba0b4fd14ddb92e6f0aef823d; calibration=43e5dfdad1316d306d261b96b82b23d3e81343720fe590575bdeae997c4194e3</x:v>
      </x:c>
    </x:row>
    <x:row r="157" ht="15" hidden="0" customHeight="1">
      <x:c r="A157" t="str">
        <x:v>tpa-batch07-20260908-J1834-0426-run01</x:v>
      </x:c>
      <x:c r="B157" t="str">
        <x:v>J1834-0426</x:v>
      </x:c>
      <x:c r="C157" t="str">
        <x:v>TPA DR1; original circular search</x:v>
      </x:c>
      <x:c r="D157" t="str">
        <x:v>NO_TRIGGER</x:v>
      </x:c>
      <x:c r="E157" s="23" t="n">
        <x:v>87.66397067791733</x:v>
      </x:c>
      <x:c r="F157" t="str">
        <x:v>Strongest eligible grid peak; candidate status is separate</x:v>
      </x:c>
      <x:c r="G157" s="24" t="n">
        <x:v>79.58879707738707</x:v>
      </x:c>
      <x:c r="H157" s="24" t="n">
        <x:v>11.479032997499935</x:v>
      </x:c>
      <x:c r="I157" s="24" t="n">
        <x:v>26.19409113884008</x:v>
      </x:c>
      <x:c r="J157" s="25" t="n">
        <x:v>432</x:v>
      </x:c>
      <x:c r="K157" s="25" t="n">
        <x:v>54</x:v>
      </x:c>
      <x:c r="L157" s="24" t="n">
        <x:v>30</x:v>
      </x:c>
      <x:c r="M157" s="24" t="n">
        <x:v>400</x:v>
      </x:c>
      <x:c r="N157" s="25" t="n">
        <x:v>195</x:v>
      </x:c>
      <x:c r="O157" s="25" t="n">
        <x:v>4</x:v>
      </x:c>
      <x:c r="P157" s="24" t="n">
        <x:v>169.7440295177624</x:v>
      </x:c>
      <x:c r="Q15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7"/>
      <x:c r="S157" t="str">
        <x:v>Preserve consumed record; new data/scope requires a new ID</x:v>
      </x:c>
      <x:c r="T157" t="str">
        <x:v>../Project Recherche Data/tpa-batch07-20260908/J1834-0426/run01/result.json</x:v>
      </x:c>
      <x:c r="U157" t="str">
        <x:v>4bc6f447107db44f2faa6ffb6f3d53791b5a53a133d83ebb02ad263709ca242a</x:v>
      </x:c>
      <x:c r="V157" t="str">
        <x:v>observed=878f1de6d8686289646cc576a64f2d75afdeb93ad2805094a3c4704f2b4bd4c3; calibration=8849a53062ca1a94c78386d93992309d79e13f094393677aa466a502f08a5466</x:v>
      </x:c>
    </x:row>
    <x:row r="158" ht="15" hidden="0" customHeight="1">
      <x:c r="A158" t="str">
        <x:v>tpa-batch07-20260908-J1853-0004-run01</x:v>
      </x:c>
      <x:c r="B158" t="str">
        <x:v>J1853-0004</x:v>
      </x:c>
      <x:c r="C158" t="str">
        <x:v>TPA DR1; original circular search</x:v>
      </x:c>
      <x:c r="D158" t="str">
        <x:v>NO_TRIGGER</x:v>
      </x:c>
      <x:c r="E158" s="23" t="n">
        <x:v>36.8834473926777</x:v>
      </x:c>
      <x:c r="F158" t="str">
        <x:v>Strongest eligible grid peak; candidate status is separate</x:v>
      </x:c>
      <x:c r="G158" s="24" t="n">
        <x:v>85.98858081990679</x:v>
      </x:c>
      <x:c r="H158" s="24" t="n">
        <x:v>10.63291740085279</x:v>
      </x:c>
      <x:c r="I158" s="24" t="n">
        <x:v>26.173472399522357</x:v>
      </x:c>
      <x:c r="J158" s="25" t="n">
        <x:v>430</x:v>
      </x:c>
      <x:c r="K158" s="25" t="n">
        <x:v>54</x:v>
      </x:c>
      <x:c r="L158" s="24" t="n">
        <x:v>30</x:v>
      </x:c>
      <x:c r="M158" s="24" t="n">
        <x:v>400</x:v>
      </x:c>
      <x:c r="N158" s="25" t="n">
        <x:v>193</x:v>
      </x:c>
      <x:c r="O158" s="25" t="n">
        <x:v>4</x:v>
      </x:c>
      <x:c r="P158" s="24" t="n">
        <x:v>175.26935163888604</x:v>
      </x:c>
      <x:c r="Q15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8"/>
      <x:c r="S158" t="str">
        <x:v>Preserve consumed record; new data/scope requires a new ID</x:v>
      </x:c>
      <x:c r="T158" t="str">
        <x:v>../Project Recherche Data/tpa-batch07-20260908/J1853-0004/run01/result.json</x:v>
      </x:c>
      <x:c r="U158" t="str">
        <x:v>c95c497338769225b363fb1ab8cfb7d6701115afca1516450f094ce7d6fb7a9d</x:v>
      </x:c>
      <x:c r="V158" t="str">
        <x:v>observed=4082c4776a492d984fbb83cb40b42a4b932bfe7221dcdfba7c6067b845bcdedf; calibration=fecdf2125e80cdd00ffce9c3265a3be4819cbe56b0c2750c88886dade3abac61</x:v>
      </x:c>
    </x:row>
    <x:row r="159" ht="15" hidden="0" customHeight="1">
      <x:c r="A159" t="str">
        <x:v>tpa-batch07-20260908-J1820-0427-run01</x:v>
      </x:c>
      <x:c r="B159" t="str">
        <x:v>J1820-0427</x:v>
      </x:c>
      <x:c r="C159" t="str">
        <x:v>TPA DR1; original circular search</x:v>
      </x:c>
      <x:c r="D159" t="str">
        <x:v>NO_TRIGGER</x:v>
      </x:c>
      <x:c r="E159" s="23" t="n">
        <x:v>88.90531551949638</x:v>
      </x:c>
      <x:c r="F159" t="str">
        <x:v>Strongest eligible grid peak; candidate status is separate</x:v>
      </x:c>
      <x:c r="G159" s="24" t="n">
        <x:v>77.4747505218705</x:v>
      </x:c>
      <x:c r="H159" s="24" t="n">
        <x:v>9.576612483771143</x:v>
      </x:c>
      <x:c r="I159" s="24" t="n">
        <x:v>26.19409113884008</x:v>
      </x:c>
      <x:c r="J159" s="25" t="n">
        <x:v>416</x:v>
      </x:c>
      <x:c r="K159" s="25" t="n">
        <x:v>52</x:v>
      </x:c>
      <x:c r="L159" s="24" t="n">
        <x:v>30</x:v>
      </x:c>
      <x:c r="M159" s="24" t="n">
        <x:v>400</x:v>
      </x:c>
      <x:c r="N159" s="25" t="n">
        <x:v>195</x:v>
      </x:c>
      <x:c r="O159" s="25" t="n">
        <x:v>4</x:v>
      </x:c>
      <x:c r="P159" s="24" t="n">
        <x:v>186.53197263054017</x:v>
      </x:c>
      <x:c r="Q15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59"/>
      <x:c r="S159" t="str">
        <x:v>Preserve consumed record; new data/scope requires a new ID</x:v>
      </x:c>
      <x:c r="T159" t="str">
        <x:v>../Project Recherche Data/tpa-batch07-20260908/J1820-0427/run01/result.json</x:v>
      </x:c>
      <x:c r="U159" t="str">
        <x:v>8d7586df0eb0bc142ed241a98c6a98003a2ba255b230497c1b4bc0a7f85bddfc</x:v>
      </x:c>
      <x:c r="V159" t="str">
        <x:v>observed=ee5620370d437bc03fe3d921697d760f0ad5418434c112079726bf84c91f7573; calibration=d296e9d5e86fb427976c8d2a3aa8d4211c8035f70b5cf4592dcbb315a504cb18</x:v>
      </x:c>
    </x:row>
    <x:row r="160" ht="15" hidden="0" customHeight="1">
      <x:c r="A160" t="str">
        <x:v>tpa-batch07-20260908-J1844+1454-run01</x:v>
      </x:c>
      <x:c r="B160" t="str">
        <x:v>J1844+1454</x:v>
      </x:c>
      <x:c r="C160" t="str">
        <x:v>TPA DR1; original circular search</x:v>
      </x:c>
      <x:c r="D160" t="str">
        <x:v>NO_TRIGGER</x:v>
      </x:c>
      <x:c r="E160" s="23" t="n">
        <x:v>67.70658976138735</x:v>
      </x:c>
      <x:c r="F160" t="str">
        <x:v>Strongest eligible grid peak; candidate status is separate</x:v>
      </x:c>
      <x:c r="G160" s="24" t="n">
        <x:v>42.20818666386414</x:v>
      </x:c>
      <x:c r="H160" s="24" t="n">
        <x:v>7.517352549347336</x:v>
      </x:c>
      <x:c r="I160" s="24" t="n">
        <x:v>26.224626083101654</x:v>
      </x:c>
      <x:c r="J160" s="25" t="n">
        <x:v>424</x:v>
      </x:c>
      <x:c r="K160" s="25" t="n">
        <x:v>53</x:v>
      </x:c>
      <x:c r="L160" s="24" t="n">
        <x:v>30</x:v>
      </x:c>
      <x:c r="M160" s="24" t="n">
        <x:v>400</x:v>
      </x:c>
      <x:c r="N160" s="25" t="n">
        <x:v>198</x:v>
      </x:c>
      <x:c r="O160" s="25" t="n">
        <x:v>12</x:v>
      </x:c>
      <x:c r="P160" s="24" t="n">
        <x:v>123.51447896502638</x:v>
      </x:c>
      <x:c r="Q16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0"/>
      <x:c r="S160" t="str">
        <x:v>Preserve consumed record; new data/scope requires a new ID</x:v>
      </x:c>
      <x:c r="T160" t="str">
        <x:v>../Project Recherche Data/tpa-batch07-20260908/J1844+1454/run01/result.json</x:v>
      </x:c>
      <x:c r="U160" t="str">
        <x:v>eb379033f701a9fa8af47a95381590b88e01a9760eaffa7d8ffe21cf19ba41e1</x:v>
      </x:c>
      <x:c r="V160" t="str">
        <x:v>observed=ebf00a36220b474f570d90135e4c2092c355abdf63aff39e59311a09377cd04e; calibration=70a9b34aa290c6b282afe688e77684ce79760cfc6758a2f45512bf70f144b0fb</x:v>
      </x:c>
    </x:row>
    <x:row r="161" ht="15" hidden="0" customHeight="1">
      <x:c r="A161" t="str">
        <x:v>tpa-batch08-20260908-J1801-2920-run01</x:v>
      </x:c>
      <x:c r="B161" t="str">
        <x:v>J1801-2920</x:v>
      </x:c>
      <x:c r="C161" t="str">
        <x:v>TPA DR1; original circular search</x:v>
      </x:c>
      <x:c r="D161" t="str">
        <x:v>NO_TRIGGER</x:v>
      </x:c>
      <x:c r="E161" s="23" t="n">
        <x:v>65.75256458744943</x:v>
      </x:c>
      <x:c r="F161" t="str">
        <x:v>Strongest eligible grid peak; candidate status is separate</x:v>
      </x:c>
      <x:c r="G161" s="24" t="n">
        <x:v>91.29104671137671</x:v>
      </x:c>
      <x:c r="H161" s="24" t="n">
        <x:v>12.06355720217622</x:v>
      </x:c>
      <x:c r="I161" s="24" t="n">
        <x:v>26.244726754808656</x:v>
      </x:c>
      <x:c r="J161" s="25" t="n">
        <x:v>415</x:v>
      </x:c>
      <x:c r="K161" s="25" t="n">
        <x:v>52</x:v>
      </x:c>
      <x:c r="L161" s="24" t="n">
        <x:v>30</x:v>
      </x:c>
      <x:c r="M161" s="24" t="n">
        <x:v>400</x:v>
      </x:c>
      <x:c r="N161" s="25" t="n">
        <x:v>200</x:v>
      </x:c>
      <x:c r="O161" s="25" t="n">
        <x:v>4</x:v>
      </x:c>
      <x:c r="P161" s="24" t="n">
        <x:v>191.94207651003734</x:v>
      </x:c>
      <x:c r="Q16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1"/>
      <x:c r="S161" t="str">
        <x:v>Preserve consumed record; new data/scope requires a new ID</x:v>
      </x:c>
      <x:c r="T161" t="str">
        <x:v>../Project Recherche Data/tpa-batch08-20260908/J1801-2920/run01/result.json</x:v>
      </x:c>
      <x:c r="U161" t="str">
        <x:v>bcaf01caa1b1468c1d151bb7f575d9305df8d848229b72a30adef0d9650dbeb1</x:v>
      </x:c>
      <x:c r="V161" t="str">
        <x:v>observed=0b06aa6c3482cc2936048c3087db3d307f96e8aa822d6c44f8293ed6e9d59869; calibration=fcd182bac67ca4ff9ce016dd3132cdb7ce8d406834de162d8344a1a1c6199bd3</x:v>
      </x:c>
    </x:row>
    <x:row r="162" ht="15" hidden="0" customHeight="1">
      <x:c r="A162" t="str">
        <x:v>tpa-batch08-20260908-J1841+0912-run01</x:v>
      </x:c>
      <x:c r="B162" t="str">
        <x:v>J1841+0912</x:v>
      </x:c>
      <x:c r="C162" t="str">
        <x:v>TPA DR1; original circular search</x:v>
      </x:c>
      <x:c r="D162" t="str">
        <x:v>NO_TRIGGER</x:v>
      </x:c>
      <x:c r="E162" s="23" t="n">
        <x:v>41.03962081079349</x:v>
      </x:c>
      <x:c r="F162" t="str">
        <x:v>Strongest eligible grid peak; candidate status is separate</x:v>
      </x:c>
      <x:c r="G162" s="24" t="n">
        <x:v>63.694636242437426</x:v>
      </x:c>
      <x:c r="H162" s="24" t="n">
        <x:v>6.438064545735557</x:v>
      </x:c>
      <x:c r="I162" s="24" t="n">
        <x:v>26.21449947918856</x:v>
      </x:c>
      <x:c r="J162" s="25" t="n">
        <x:v>432</x:v>
      </x:c>
      <x:c r="K162" s="25" t="n">
        <x:v>54</x:v>
      </x:c>
      <x:c r="L162" s="24" t="n">
        <x:v>30</x:v>
      </x:c>
      <x:c r="M162" s="24" t="n">
        <x:v>400</x:v>
      </x:c>
      <x:c r="N162" s="25" t="n">
        <x:v>197</x:v>
      </x:c>
      <x:c r="O162" s="25" t="n">
        <x:v>4</x:v>
      </x:c>
      <x:c r="P162" s="24" t="n">
        <x:v>196.19140248419737</x:v>
      </x:c>
      <x:c r="Q16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2"/>
      <x:c r="S162" t="str">
        <x:v>Preserve consumed record; new data/scope requires a new ID</x:v>
      </x:c>
      <x:c r="T162" t="str">
        <x:v>../Project Recherche Data/tpa-batch08-20260908/J1841+0912/run01/result.json</x:v>
      </x:c>
      <x:c r="U162" t="str">
        <x:v>d40c21892884edc255f768c763b45abf3abd9879e36d65ae1e94f8793c3ce2d7</x:v>
      </x:c>
      <x:c r="V162" t="str">
        <x:v>observed=d32676f8b0c6d309e0864060932ba4ab7d38fa351f9cb67584346bcc2d4bb36e; calibration=d9d6f3107a6f51f214420df74701a8caad1dc1c6c3fa21d8241f0c34debc3464</x:v>
      </x:c>
    </x:row>
    <x:row r="163" ht="15" hidden="0" customHeight="1">
      <x:c r="A163" t="str">
        <x:v>tpa-batch08-20260908-J1835-1020-run01</x:v>
      </x:c>
      <x:c r="B163" t="str">
        <x:v>J1835-1020</x:v>
      </x:c>
      <x:c r="C163" t="str">
        <x:v>TPA DR1; original circular search</x:v>
      </x:c>
      <x:c r="D163" t="str">
        <x:v>NO_TRIGGER</x:v>
      </x:c>
      <x:c r="E163" s="23" t="n">
        <x:v>145.47521751153016</x:v>
      </x:c>
      <x:c r="F163" t="str">
        <x:v>Strongest eligible grid peak; candidate status is separate</x:v>
      </x:c>
      <x:c r="G163" s="24" t="n">
        <x:v>89.91542785753472</x:v>
      </x:c>
      <x:c r="H163" s="24" t="n">
        <x:v>10.002041783152283</x:v>
      </x:c>
      <x:c r="I163" s="24" t="n">
        <x:v>26.23470167116157</x:v>
      </x:c>
      <x:c r="J163" s="25" t="n">
        <x:v>416</x:v>
      </x:c>
      <x:c r="K163" s="25" t="n">
        <x:v>52</x:v>
      </x:c>
      <x:c r="L163" s="24" t="n">
        <x:v>30</x:v>
      </x:c>
      <x:c r="M163" s="24" t="n">
        <x:v>400</x:v>
      </x:c>
      <x:c r="N163" s="25" t="n">
        <x:v>199</x:v>
      </x:c>
      <x:c r="O163" s="25" t="n">
        <x:v>4</x:v>
      </x:c>
      <x:c r="P163" s="24" t="n">
        <x:v>200.9787885438507</x:v>
      </x:c>
      <x:c r="Q16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3"/>
      <x:c r="S163" t="str">
        <x:v>Preserve consumed record; new data/scope requires a new ID</x:v>
      </x:c>
      <x:c r="T163" t="str">
        <x:v>../Project Recherche Data/tpa-batch08-20260908/J1835-1020/run01/result.json</x:v>
      </x:c>
      <x:c r="U163" t="str">
        <x:v>ada15c4dd9213992c8a3fd10f8ac0d2c5607eca7e9cd90242fafae55494432b8</x:v>
      </x:c>
      <x:c r="V163" t="str">
        <x:v>observed=18c809c29c9ec889fb57d364dc17125ab010cc858113b2655544de0c15e15081; calibration=dcefb5b4a0365c047b16f401bdc02c67e32055580956f0e0f524abd0e9c6d068</x:v>
      </x:c>
    </x:row>
    <x:row r="164" ht="15" hidden="0" customHeight="1">
      <x:c r="A164" t="str">
        <x:v>tpa-batch08-20260908-J1903+0135-run01</x:v>
      </x:c>
      <x:c r="B164" t="str">
        <x:v>J1903+0135</x:v>
      </x:c>
      <x:c r="C164" t="str">
        <x:v>TPA DR1; original circular search</x:v>
      </x:c>
      <x:c r="D164" t="str">
        <x:v>NO_TRIGGER</x:v>
      </x:c>
      <x:c r="E164" s="23" t="n">
        <x:v>120.25319548833947</x:v>
      </x:c>
      <x:c r="F164" t="str">
        <x:v>Strongest eligible grid peak; candidate status is separate</x:v>
      </x:c>
      <x:c r="G164" s="24" t="n">
        <x:v>72.90931000290543</x:v>
      </x:c>
      <x:c r="H164" s="24" t="n">
        <x:v>5.853288462400763</x:v>
      </x:c>
      <x:c r="I164" s="24" t="n">
        <x:v>26.224626083101654</x:v>
      </x:c>
      <x:c r="J164" s="25" t="n">
        <x:v>432</x:v>
      </x:c>
      <x:c r="K164" s="25" t="n">
        <x:v>54</x:v>
      </x:c>
      <x:c r="L164" s="24" t="n">
        <x:v>30</x:v>
      </x:c>
      <x:c r="M164" s="24" t="n">
        <x:v>400</x:v>
      </x:c>
      <x:c r="N164" s="25" t="n">
        <x:v>198</x:v>
      </x:c>
      <x:c r="O164" s="25" t="n">
        <x:v>4</x:v>
      </x:c>
      <x:c r="P164" s="24" t="n">
        <x:v>191.47914704017177</x:v>
      </x:c>
      <x:c r="Q16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4"/>
      <x:c r="S164" t="str">
        <x:v>Preserve consumed record; new data/scope requires a new ID</x:v>
      </x:c>
      <x:c r="T164" t="str">
        <x:v>../Project Recherche Data/tpa-batch08-20260908/J1903+0135/run01/result.json</x:v>
      </x:c>
      <x:c r="U164" t="str">
        <x:v>f8658b4733c07688b73172cef774ae8f2a7de4a7e102010cd54c869be55b27e4</x:v>
      </x:c>
      <x:c r="V164" t="str">
        <x:v>observed=592afc2fac264a02e206bda81d00f4f3a96eb6f1816666a39b190f15534f7ff0; calibration=7eb3ae047d9c78e4bfe20c3863cc9dfc9305c1e42baaf59267bee7b1f45452d8</x:v>
      </x:c>
    </x:row>
    <x:row r="165" ht="15" hidden="0" customHeight="1">
      <x:c r="A165" t="str">
        <x:v>tpa-batch08-20260908-J0953+0755-run01</x:v>
      </x:c>
      <x:c r="B165" t="str">
        <x:v>J0953+0755</x:v>
      </x:c>
      <x:c r="C165" t="str">
        <x:v>TPA DR1; original circular search</x:v>
      </x:c>
      <x:c r="D165" t="str">
        <x:v>NO_TRIGGER</x:v>
      </x:c>
      <x:c r="E165" s="23" t="n">
        <x:v>77.62735837492373</x:v>
      </x:c>
      <x:c r="F165" t="str">
        <x:v>Strongest eligible grid peak; candidate status is separate</x:v>
      </x:c>
      <x:c r="G165" s="24" t="n">
        <x:v>86.05118331586861</x:v>
      </x:c>
      <x:c r="H165" s="24" t="n">
        <x:v>8.872149941454323</x:v>
      </x:c>
      <x:c r="I165" s="24" t="n">
        <x:v>26.244726754808656</x:v>
      </x:c>
      <x:c r="J165" s="25" t="n">
        <x:v>416</x:v>
      </x:c>
      <x:c r="K165" s="25" t="n">
        <x:v>52</x:v>
      </x:c>
      <x:c r="L165" s="24" t="n">
        <x:v>30</x:v>
      </x:c>
      <x:c r="M165" s="24" t="n">
        <x:v>400</x:v>
      </x:c>
      <x:c r="N165" s="25" t="n">
        <x:v>200</x:v>
      </x:c>
      <x:c r="O165" s="25" t="n">
        <x:v>4</x:v>
      </x:c>
      <x:c r="P165" s="24" t="n">
        <x:v>207.51684264555286</x:v>
      </x:c>
      <x:c r="Q16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5"/>
      <x:c r="S165" t="str">
        <x:v>Preserve consumed record; new data/scope requires a new ID</x:v>
      </x:c>
      <x:c r="T165" t="str">
        <x:v>../Project Recherche Data/tpa-batch08-20260908/J0953+0755/run01/result.json</x:v>
      </x:c>
      <x:c r="U165" t="str">
        <x:v>425a6ebaf9ed0a5bf24f1997e4dfb9e8317991032681b389a4cb0285c401ddf5</x:v>
      </x:c>
      <x:c r="V165" t="str">
        <x:v>observed=a7d655640e44961ebfcc897ec9d70d7e6ae6be6eb19b3010bfee921705c3072b; calibration=29ba5bb02ecfab5f3bb5897b81b70f2cd1df2b10d7e665dc7bb922c7d6ac331d</x:v>
      </x:c>
    </x:row>
    <x:row r="166" ht="15" hidden="0" customHeight="1">
      <x:c r="A166" t="str">
        <x:v>tpa-batch08-20260908-J1902+0615-run01</x:v>
      </x:c>
      <x:c r="B166" t="str">
        <x:v>J1902+0615</x:v>
      </x:c>
      <x:c r="C166" t="str">
        <x:v>TPA DR1; original circular search</x:v>
      </x:c>
      <x:c r="D166" t="str">
        <x:v>NO_TRIGGER</x:v>
      </x:c>
      <x:c r="E166" s="23" t="n">
        <x:v>31.986013928823493</x:v>
      </x:c>
      <x:c r="F166" t="str">
        <x:v>Strongest eligible grid peak; candidate status is separate</x:v>
      </x:c>
      <x:c r="G166" s="24" t="n">
        <x:v>98.06928874657723</x:v>
      </x:c>
      <x:c r="H166" s="24" t="n">
        <x:v>15.407702409699276</x:v>
      </x:c>
      <x:c r="I166" s="24" t="n">
        <x:v>26.224626083101654</x:v>
      </x:c>
      <x:c r="J166" s="25" t="n">
        <x:v>440</x:v>
      </x:c>
      <x:c r="K166" s="25" t="n">
        <x:v>55</x:v>
      </x:c>
      <x:c r="L166" s="24" t="n">
        <x:v>30</x:v>
      </x:c>
      <x:c r="M166" s="24" t="n">
        <x:v>400</x:v>
      </x:c>
      <x:c r="N166" s="25" t="n">
        <x:v>198</x:v>
      </x:c>
      <x:c r="O166" s="25" t="n">
        <x:v>12</x:v>
      </x:c>
      <x:c r="P166" s="24" t="n">
        <x:v>167.8006986733837</x:v>
      </x:c>
      <x:c r="Q16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6"/>
      <x:c r="S166" t="str">
        <x:v>Preserve consumed record; new data/scope requires a new ID</x:v>
      </x:c>
      <x:c r="T166" t="str">
        <x:v>../Project Recherche Data/tpa-batch08-20260908/J1902+0615/run01/result.json</x:v>
      </x:c>
      <x:c r="U166" t="str">
        <x:v>1b47d57697ff9f0ed6ccd4fe67a627c4cadefeb5c0588886a2444a48ce27c78a</x:v>
      </x:c>
      <x:c r="V166" t="str">
        <x:v>observed=4a4cd0a41234e4d375b8b2dac15d080ab532b85f0715196f2d98b057e1024d39; calibration=36a8a9e420b664039ed19aa0129705091e33e21d54ad2f260f94d8193eb5528c</x:v>
      </x:c>
    </x:row>
    <x:row r="167" ht="15" hidden="0" customHeight="1">
      <x:c r="A167" t="str">
        <x:v>tpa-batch08-20260908-J1823+0550-run01</x:v>
      </x:c>
      <x:c r="B167" t="str">
        <x:v>J1823+0550</x:v>
      </x:c>
      <x:c r="C167" t="str">
        <x:v>TPA DR1; original circular search</x:v>
      </x:c>
      <x:c r="D167" t="str">
        <x:v>NO_TRIGGER</x:v>
      </x:c>
      <x:c r="E167" s="23" t="n">
        <x:v>32.3278320539571</x:v>
      </x:c>
      <x:c r="F167" t="str">
        <x:v>Strongest eligible grid peak; candidate status is separate</x:v>
      </x:c>
      <x:c r="G167" s="24" t="n">
        <x:v>104.4678642183014</x:v>
      </x:c>
      <x:c r="H167" s="24" t="n">
        <x:v>6.007421820819153</x:v>
      </x:c>
      <x:c r="I167" s="24" t="n">
        <x:v>26.23470167116157</x:v>
      </x:c>
      <x:c r="J167" s="25" t="n">
        <x:v>439</x:v>
      </x:c>
      <x:c r="K167" s="25" t="n">
        <x:v>55</x:v>
      </x:c>
      <x:c r="L167" s="24" t="n">
        <x:v>30</x:v>
      </x:c>
      <x:c r="M167" s="24" t="n">
        <x:v>400</x:v>
      </x:c>
      <x:c r="N167" s="25" t="n">
        <x:v>199</x:v>
      </x:c>
      <x:c r="O167" s="25" t="n">
        <x:v>4</x:v>
      </x:c>
      <x:c r="P167" s="24" t="n">
        <x:v>245.5551260168849</x:v>
      </x:c>
      <x:c r="Q16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7"/>
      <x:c r="S167" t="str">
        <x:v>Preserve consumed record; new data/scope requires a new ID</x:v>
      </x:c>
      <x:c r="T167" t="str">
        <x:v>../Project Recherche Data/tpa-batch08-20260908/J1823+0550/run01/result.json</x:v>
      </x:c>
      <x:c r="U167" t="str">
        <x:v>94d9408479ff3c58b1bd11058272b29b686833607df21d89fe798a459a8ee4e3</x:v>
      </x:c>
      <x:c r="V167" t="str">
        <x:v>observed=a6a8b329043a4eeff6330152065812ab29f97e770e5d15aef1b47414aff312fa; calibration=7447d7c7972c527c0eff297821f41cfa87e83a7589366529e2d495567111b389</x:v>
      </x:c>
    </x:row>
    <x:row r="168" ht="15" hidden="0" customHeight="1">
      <x:c r="A168" t="str">
        <x:v>tpa-batch08-20260908-J1750-3157-run01</x:v>
      </x:c>
      <x:c r="B168" t="str">
        <x:v>J1750-3157</x:v>
      </x:c>
      <x:c r="C168" t="str">
        <x:v>TPA DR1; original circular search</x:v>
      </x:c>
      <x:c r="D168" t="str">
        <x:v>NO_TRIGGER</x:v>
      </x:c>
      <x:c r="E168" s="23" t="n">
        <x:v>98.78823848044001</x:v>
      </x:c>
      <x:c r="F168" t="str">
        <x:v>Strongest eligible grid peak; candidate status is separate</x:v>
      </x:c>
      <x:c r="G168" s="24" t="n">
        <x:v>100.05043728633005</x:v>
      </x:c>
      <x:c r="H168" s="24" t="n">
        <x:v>8.03193373121536</x:v>
      </x:c>
      <x:c r="I168" s="24" t="n">
        <x:v>26.204321340173617</x:v>
      </x:c>
      <x:c r="J168" s="25" t="n">
        <x:v>408</x:v>
      </x:c>
      <x:c r="K168" s="25" t="n">
        <x:v>51</x:v>
      </x:c>
      <x:c r="L168" s="24" t="n">
        <x:v>30</x:v>
      </x:c>
      <x:c r="M168" s="24" t="n">
        <x:v>400</x:v>
      </x:c>
      <x:c r="N168" s="25" t="n">
        <x:v>196</x:v>
      </x:c>
      <x:c r="O168" s="25" t="n">
        <x:v>4</x:v>
      </x:c>
      <x:c r="P168" s="24" t="n">
        <x:v>253.53301957702018</x:v>
      </x:c>
      <x:c r="Q16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8"/>
      <x:c r="S168" t="str">
        <x:v>Preserve consumed record; new data/scope requires a new ID</x:v>
      </x:c>
      <x:c r="T168" t="str">
        <x:v>../Project Recherche Data/tpa-batch08-20260908/J1750-3157/run01/result.json</x:v>
      </x:c>
      <x:c r="U168" t="str">
        <x:v>69b18d6807c55502231bf51da7a0b86cce96f6c861afbc34e9375f2d0d3c3310</x:v>
      </x:c>
      <x:c r="V168" t="str">
        <x:v>observed=cb7165c14593f5f4c1637880d354a4d75e3aaccd816339b3d6b477b44dfd0b2c; calibration=f1bcabe28d3290cd3330f289fb478f3941272e26e7a0a434986d47cde928bee0</x:v>
      </x:c>
    </x:row>
    <x:row r="169" ht="15" hidden="0" customHeight="1">
      <x:c r="A169" t="str">
        <x:v>tpa-batch08-20260908-J1740+1311-run01</x:v>
      </x:c>
      <x:c r="B169" t="str">
        <x:v>J1740+1311</x:v>
      </x:c>
      <x:c r="C169" t="str">
        <x:v>TPA DR1; original circular search</x:v>
      </x:c>
      <x:c r="D169" t="str">
        <x:v>NO_TRIGGER</x:v>
      </x:c>
      <x:c r="E169" s="23" t="n">
        <x:v>40.29500916447185</x:v>
      </x:c>
      <x:c r="F169" t="str">
        <x:v>Strongest eligible grid peak; candidate status is separate</x:v>
      </x:c>
      <x:c r="G169" s="24" t="n">
        <x:v>95.98315666561834</x:v>
      </x:c>
      <x:c r="H169" s="24" t="n">
        <x:v>6.085961107709622</x:v>
      </x:c>
      <x:c r="I169" s="24" t="n">
        <x:v>26.244726754808656</x:v>
      </x:c>
      <x:c r="J169" s="25" t="n">
        <x:v>403</x:v>
      </x:c>
      <x:c r="K169" s="25" t="n">
        <x:v>53</x:v>
      </x:c>
      <x:c r="L169" s="24" t="n">
        <x:v>30</x:v>
      </x:c>
      <x:c r="M169" s="24" t="n">
        <x:v>400</x:v>
      </x:c>
      <x:c r="N169" s="25" t="n">
        <x:v>200</x:v>
      </x:c>
      <x:c r="O169" s="25" t="n">
        <x:v>4</x:v>
      </x:c>
      <x:c r="P169" s="24" t="n">
        <x:v>269.84599202459236</x:v>
      </x:c>
      <x:c r="Q16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69"/>
      <x:c r="S169" t="str">
        <x:v>Preserve consumed record; new data/scope requires a new ID</x:v>
      </x:c>
      <x:c r="T169" t="str">
        <x:v>../Project Recherche Data/tpa-batch08-20260908/J1740+1311/run01/result.json</x:v>
      </x:c>
      <x:c r="U169" t="str">
        <x:v>a1b43f4cb1f6802030a057ae059c7b06a064b80d31fba2728b745596018d0454</x:v>
      </x:c>
      <x:c r="V169" t="str">
        <x:v>observed=75f47d31ae9eb2044d64df5f55a2d955d2991a97864aea186d3d4150efe1321a; calibration=3bc1b7f623dbf8c791f9c0048b7722df854a8cb632feca0537df0992060151f5</x:v>
      </x:c>
    </x:row>
    <x:row r="170" ht="15" hidden="0" customHeight="1">
      <x:c r="A170" t="str">
        <x:v>tpa-batch08-20260908-J1745-3040-run01</x:v>
      </x:c>
      <x:c r="B170" t="str">
        <x:v>J1745-3040</x:v>
      </x:c>
      <x:c r="C170" t="str">
        <x:v>TPA DR1; original circular search</x:v>
      </x:c>
      <x:c r="D170" t="str">
        <x:v>NO_TRIGGER</x:v>
      </x:c>
      <x:c r="E170" s="23" t="n">
        <x:v>55.36222161855433</x:v>
      </x:c>
      <x:c r="F170" t="str">
        <x:v>Strongest eligible grid peak; candidate status is separate</x:v>
      </x:c>
      <x:c r="G170" s="24" t="n">
        <x:v>112.89682699865097</x:v>
      </x:c>
      <x:c r="H170" s="24" t="n">
        <x:v>10.005652021485755</x:v>
      </x:c>
      <x:c r="I170" s="24" t="n">
        <x:v>26.204321340173617</x:v>
      </x:c>
      <x:c r="J170" s="25" t="n">
        <x:v>408</x:v>
      </x:c>
      <x:c r="K170" s="25" t="n">
        <x:v>51</x:v>
      </x:c>
      <x:c r="L170" s="24" t="n">
        <x:v>30</x:v>
      </x:c>
      <x:c r="M170" s="24" t="n">
        <x:v>400</x:v>
      </x:c>
      <x:c r="N170" s="25" t="n">
        <x:v>196</x:v>
      </x:c>
      <x:c r="O170" s="25" t="n">
        <x:v>4</x:v>
      </x:c>
      <x:c r="P170" s="24" t="n">
        <x:v>265.5791884680648</x:v>
      </x:c>
      <x:c r="Q17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0"/>
      <x:c r="S170" t="str">
        <x:v>Preserve consumed record; new data/scope requires a new ID</x:v>
      </x:c>
      <x:c r="T170" t="str">
        <x:v>../Project Recherche Data/tpa-batch08-20260908/J1745-3040/run01/result.json</x:v>
      </x:c>
      <x:c r="U170" t="str">
        <x:v>1a7e986851bb1efcdd0d5e59b4b42421a99e5538661cd93bc659cb82d073d02a</x:v>
      </x:c>
      <x:c r="V170" t="str">
        <x:v>observed=af02e618fbd49443be01cb8f88d1a838a1df391b320f2f361da565a5a830626f; calibration=2132cf48484cc201c9145e0644069702a52b998ec0946c7f57f095e1f35e82a5</x:v>
      </x:c>
    </x:row>
    <x:row r="171" ht="15" hidden="0" customHeight="1">
      <x:c r="A171" t="str">
        <x:v>tpa-batch08-20260908-J1845-0434-run01</x:v>
      </x:c>
      <x:c r="B171" t="str">
        <x:v>J1845-0434</x:v>
      </x:c>
      <x:c r="C171" t="str">
        <x:v>TPA DR1; original circular search</x:v>
      </x:c>
      <x:c r="D171" t="str">
        <x:v>NO_TRIGGER</x:v>
      </x:c>
      <x:c r="E171" s="23" t="n">
        <x:v>47.73140831626614</x:v>
      </x:c>
      <x:c r="F171" t="str">
        <x:v>Strongest eligible grid peak; candidate status is separate</x:v>
      </x:c>
      <x:c r="G171" s="24" t="n">
        <x:v>73.60836552081095</x:v>
      </x:c>
      <x:c r="H171" s="24" t="n">
        <x:v>6.069615193040911</x:v>
      </x:c>
      <x:c r="I171" s="24" t="n">
        <x:v>26.19409113884008</x:v>
      </x:c>
      <x:c r="J171" s="25" t="n">
        <x:v>432</x:v>
      </x:c>
      <x:c r="K171" s="25" t="n">
        <x:v>54</x:v>
      </x:c>
      <x:c r="L171" s="24" t="n">
        <x:v>30</x:v>
      </x:c>
      <x:c r="M171" s="24" t="n">
        <x:v>400</x:v>
      </x:c>
      <x:c r="N171" s="25" t="n">
        <x:v>195</x:v>
      </x:c>
      <x:c r="O171" s="25" t="n">
        <x:v>11</x:v>
      </x:c>
      <x:c r="P171" s="24" t="n">
        <x:v>253.62660039695646</x:v>
      </x:c>
      <x:c r="Q17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1"/>
      <x:c r="S171" t="str">
        <x:v>Preserve consumed record; new data/scope requires a new ID</x:v>
      </x:c>
      <x:c r="T171" t="str">
        <x:v>../Project Recherche Data/tpa-batch08-20260908/J1845-0434/run01/result.json</x:v>
      </x:c>
      <x:c r="U171" t="str">
        <x:v>783a8391da6ed4530ca25634101353b421f07e9c797f6b871b5cfb2d682dae09</x:v>
      </x:c>
      <x:c r="V171" t="str">
        <x:v>observed=09e10c1753fc5937f5d747ff89f6f0827c416fd9607c8ee237c91dce92c15b8a; calibration=90a6d68a54779973a23534f5c418ea47e7895a7e63fc499f4e9dcd2af01e195a</x:v>
      </x:c>
    </x:row>
    <x:row r="172" ht="15" hidden="0" customHeight="1">
      <x:c r="A172" t="str">
        <x:v>tpa-batch08-20260908-J2048-1616-run01</x:v>
      </x:c>
      <x:c r="B172" t="str">
        <x:v>J2048-1616</x:v>
      </x:c>
      <x:c r="C172" t="str">
        <x:v>TPA DR1; original circular search</x:v>
      </x:c>
      <x:c r="D172" t="str">
        <x:v>NO_TRIGGER</x:v>
      </x:c>
      <x:c r="E172" s="23" t="n">
        <x:v>134.78533932786948</x:v>
      </x:c>
      <x:c r="F172" t="str">
        <x:v>Strongest eligible grid peak; candidate status is separate</x:v>
      </x:c>
      <x:c r="G172" s="24" t="n">
        <x:v>99.94180184926115</x:v>
      </x:c>
      <x:c r="H172" s="24" t="n">
        <x:v>5.715715833984126</x:v>
      </x:c>
      <x:c r="I172" s="24" t="n">
        <x:v>26.204321340173617</x:v>
      </x:c>
      <x:c r="J172" s="25" t="n">
        <x:v>424</x:v>
      </x:c>
      <x:c r="K172" s="25" t="n">
        <x:v>53</x:v>
      </x:c>
      <x:c r="L172" s="24" t="n">
        <x:v>30</x:v>
      </x:c>
      <x:c r="M172" s="24" t="n">
        <x:v>400</x:v>
      </x:c>
      <x:c r="N172" s="25" t="n">
        <x:v>196</x:v>
      </x:c>
      <x:c r="O172" s="25" t="n">
        <x:v>4</x:v>
      </x:c>
      <x:c r="P172" s="24" t="n">
        <x:v>279.06869554353216</x:v>
      </x:c>
      <x:c r="Q17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2"/>
      <x:c r="S172" t="str">
        <x:v>Preserve consumed record; new data/scope requires a new ID</x:v>
      </x:c>
      <x:c r="T172" t="str">
        <x:v>../Project Recherche Data/tpa-batch08-20260908/J2048-1616/run01/result.json</x:v>
      </x:c>
      <x:c r="U172" t="str">
        <x:v>ca8c06053c5e941581134a4af75d05110d4b45a0834020d2b1bdf7bcf9eacc21</x:v>
      </x:c>
      <x:c r="V172" t="str">
        <x:v>observed=1e472060d39c7e28b5674455570d2701ebecd829d5b63f04892718cfb02c42c9; calibration=a545a3a1689a25d259191db9a21b18d09f48069787a2aec00f346b8d0f835be3</x:v>
      </x:c>
    </x:row>
    <x:row r="173" ht="15" hidden="0" customHeight="1">
      <x:c r="A173" t="str">
        <x:v>tpa-batch08-20260908-J1607-0032-run01</x:v>
      </x:c>
      <x:c r="B173" t="str">
        <x:v>J1607-0032</x:v>
      </x:c>
      <x:c r="C173" t="str">
        <x:v>TPA DR1; original circular search</x:v>
      </x:c>
      <x:c r="D173" t="str">
        <x:v>NO_TRIGGER</x:v>
      </x:c>
      <x:c r="E173" s="23" t="n">
        <x:v>33.93419724151387</x:v>
      </x:c>
      <x:c r="F173" t="str">
        <x:v>Strongest eligible grid peak; candidate status is separate</x:v>
      </x:c>
      <x:c r="G173" s="24" t="n">
        <x:v>125.22953457203606</x:v>
      </x:c>
      <x:c r="H173" s="24" t="n">
        <x:v>7.978128127413319</x:v>
      </x:c>
      <x:c r="I173" s="24" t="n">
        <x:v>26.244726754808656</x:v>
      </x:c>
      <x:c r="J173" s="25" t="n">
        <x:v>403</x:v>
      </x:c>
      <x:c r="K173" s="25" t="n">
        <x:v>53</x:v>
      </x:c>
      <x:c r="L173" s="24" t="n">
        <x:v>30</x:v>
      </x:c>
      <x:c r="M173" s="24" t="n">
        <x:v>400</x:v>
      </x:c>
      <x:c r="N173" s="25" t="n">
        <x:v>200</x:v>
      </x:c>
      <x:c r="O173" s="25" t="n">
        <x:v>4</x:v>
      </x:c>
      <x:c r="P173" s="24" t="n">
        <x:v>284.7689728315654</x:v>
      </x:c>
      <x:c r="Q17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3"/>
      <x:c r="S173" t="str">
        <x:v>Preserve consumed record; new data/scope requires a new ID</x:v>
      </x:c>
      <x:c r="T173" t="str">
        <x:v>../Project Recherche Data/tpa-batch08-20260908/J1607-0032/run01/result.json</x:v>
      </x:c>
      <x:c r="U173" t="str">
        <x:v>8fb07a2e803f51a16f74e69555a307c38952d7a1dcf37a4a3afcff1d6cd09a39</x:v>
      </x:c>
      <x:c r="V173" t="str">
        <x:v>observed=cd9936e14703daf286e520d43d6187e61008693f89f48cf13077bdaba0ba6a0b; calibration=324981c5bd9a3cf4089c5828331bcc6db7e2b2a211be70efd5f76bd5d5104c10</x:v>
      </x:c>
    </x:row>
    <x:row r="174" ht="15" hidden="0" customHeight="1">
      <x:c r="A174" t="str">
        <x:v>tpa-batch08-20260908-J1720-2933-run01</x:v>
      </x:c>
      <x:c r="B174" t="str">
        <x:v>J1720-2933</x:v>
      </x:c>
      <x:c r="C174" t="str">
        <x:v>TPA DR1; original circular search</x:v>
      </x:c>
      <x:c r="D174" t="str">
        <x:v>NO_TRIGGER</x:v>
      </x:c>
      <x:c r="E174" s="23" t="n">
        <x:v>53.032979547271935</x:v>
      </x:c>
      <x:c r="F174" t="str">
        <x:v>Strongest eligible grid peak; candidate status is separate</x:v>
      </x:c>
      <x:c r="G174" s="24" t="n">
        <x:v>111.09794899841702</x:v>
      </x:c>
      <x:c r="H174" s="24" t="n">
        <x:v>8.071321915997773</x:v>
      </x:c>
      <x:c r="I174" s="24" t="n">
        <x:v>26.204321340173617</x:v>
      </x:c>
      <x:c r="J174" s="25" t="n">
        <x:v>416</x:v>
      </x:c>
      <x:c r="K174" s="25" t="n">
        <x:v>52</x:v>
      </x:c>
      <x:c r="L174" s="24" t="n">
        <x:v>30</x:v>
      </x:c>
      <x:c r="M174" s="24" t="n">
        <x:v>400</x:v>
      </x:c>
      <x:c r="N174" s="25" t="n">
        <x:v>196</x:v>
      </x:c>
      <x:c r="O174" s="25" t="n">
        <x:v>4</x:v>
      </x:c>
      <x:c r="P174" s="24" t="n">
        <x:v>304.88020078001784</x:v>
      </x:c>
      <x:c r="Q17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4"/>
      <x:c r="S174" t="str">
        <x:v>Preserve consumed record; new data/scope requires a new ID</x:v>
      </x:c>
      <x:c r="T174" t="str">
        <x:v>../Project Recherche Data/tpa-batch08-20260908/J1720-2933/run01/result.json</x:v>
      </x:c>
      <x:c r="U174" t="str">
        <x:v>22dfa98cb46a13fe97c51fb1d94f021464d4c843edf783c97816dcff97e98e3d</x:v>
      </x:c>
      <x:c r="V174" t="str">
        <x:v>observed=e06f0297a0c1fbcd6c06413f14930561e4e7677a5bfa87b0545ba6eee36640b6; calibration=15c9dd9fdd6ddacc8fecaa6ebf0232c2ce5040659dedd5c66e8dcf5aeeed012a</x:v>
      </x:c>
    </x:row>
    <x:row r="175" ht="15" hidden="0" customHeight="1">
      <x:c r="A175" t="str">
        <x:v>tpa-batch08-20260908-J1623-0908-run01</x:v>
      </x:c>
      <x:c r="B175" t="str">
        <x:v>J1623-0908</x:v>
      </x:c>
      <x:c r="C175" t="str">
        <x:v>TPA DR1; original circular search</x:v>
      </x:c>
      <x:c r="D175" t="str">
        <x:v>NO_TRIGGER</x:v>
      </x:c>
      <x:c r="E175" s="23" t="n">
        <x:v>92.25999779217722</x:v>
      </x:c>
      <x:c r="F175" t="str">
        <x:v>Strongest eligible grid peak; candidate status is separate</x:v>
      </x:c>
      <x:c r="G175" s="24" t="n">
        <x:v>134.68115925404265</x:v>
      </x:c>
      <x:c r="H175" s="24" t="n">
        <x:v>9.607763099717364</x:v>
      </x:c>
      <x:c r="I175" s="24" t="n">
        <x:v>26.36126457105661</x:v>
      </x:c>
      <x:c r="J175" s="25" t="n">
        <x:v>420</x:v>
      </x:c>
      <x:c r="K175" s="25" t="n">
        <x:v>53</x:v>
      </x:c>
      <x:c r="L175" s="24" t="n">
        <x:v>30</x:v>
      </x:c>
      <x:c r="M175" s="24" t="n">
        <x:v>400</x:v>
      </x:c>
      <x:c r="N175" s="25" t="n">
        <x:v>212</x:v>
      </x:c>
      <x:c r="O175" s="25" t="n">
        <x:v>3</x:v>
      </x:c>
      <x:c r="P175" s="24" t="n">
        <x:v>303.76335278983487</x:v>
      </x:c>
      <x:c r="Q17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5"/>
      <x:c r="S175" t="str">
        <x:v>Preserve consumed record; new data/scope requires a new ID</x:v>
      </x:c>
      <x:c r="T175" t="str">
        <x:v>../Project Recherche Data/tpa-batch08-20260908/J1623-0908/run01/result.json</x:v>
      </x:c>
      <x:c r="U175" t="str">
        <x:v>0ce0093c7372b6a5a7d8598b5ed494f14b2ba12a2ebff20ee1b92a6e1e5fbd34</x:v>
      </x:c>
      <x:c r="V175" t="str">
        <x:v>observed=1c1bdfc08a91e4994a95a4878ac5266bec2c94153f21e3c5b8099a19647bc846; calibration=da1fe11e2408334ee1d04e1d7fd22f417525b55e7e0c4d6bc5e9d6efc2d04413</x:v>
      </x:c>
    </x:row>
    <x:row r="176" ht="15" hidden="0" customHeight="1">
      <x:c r="A176" t="str">
        <x:v>tpa-batch08-20260908-J1703-3241-run01</x:v>
      </x:c>
      <x:c r="B176" t="str">
        <x:v>J1703-3241</x:v>
      </x:c>
      <x:c r="C176" t="str">
        <x:v>TPA DR1; original circular search</x:v>
      </x:c>
      <x:c r="D176" t="str">
        <x:v>NO_TRIGGER</x:v>
      </x:c>
      <x:c r="E176" s="23" t="n">
        <x:v>34.84007143768818</x:v>
      </x:c>
      <x:c r="F176" t="str">
        <x:v>Strongest eligible grid peak; candidate status is separate</x:v>
      </x:c>
      <x:c r="G176" s="24" t="n">
        <x:v>142.07627205990923</x:v>
      </x:c>
      <x:c r="H176" s="24" t="n">
        <x:v>8.054810880937257</x:v>
      </x:c>
      <x:c r="I176" s="24" t="n">
        <x:v>26.204321340173617</x:v>
      </x:c>
      <x:c r="J176" s="25" t="n">
        <x:v>416</x:v>
      </x:c>
      <x:c r="K176" s="25" t="n">
        <x:v>52</x:v>
      </x:c>
      <x:c r="L176" s="24" t="n">
        <x:v>30</x:v>
      </x:c>
      <x:c r="M176" s="24" t="n">
        <x:v>400</x:v>
      </x:c>
      <x:c r="N176" s="25" t="n">
        <x:v>196</x:v>
      </x:c>
      <x:c r="O176" s="25" t="n">
        <x:v>3</x:v>
      </x:c>
      <x:c r="P176" s="24" t="n">
        <x:v>317.63381576740665</x:v>
      </x:c>
      <x:c r="Q17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6"/>
      <x:c r="S176" t="str">
        <x:v>Preserve consumed record; new data/scope requires a new ID</x:v>
      </x:c>
      <x:c r="T176" t="str">
        <x:v>../Project Recherche Data/tpa-batch08-20260908/J1703-3241/run01/result.json</x:v>
      </x:c>
      <x:c r="U176" t="str">
        <x:v>272107ec7f87a513945e9b14e86ca89f53e5a7648f133fe1618b3ff4ff7b1c4e</x:v>
      </x:c>
      <x:c r="V176" t="str">
        <x:v>observed=dbf5810a30cd2e87fe3cbee0a6a090c74c1b839733fc66df7b469509963967ce; calibration=89df312504050f931c8598e38635dd51539027ea3fc53ef0d7e16abcfd3a71bb</x:v>
      </x:c>
    </x:row>
    <x:row r="177" ht="15" hidden="0" customHeight="1">
      <x:c r="A177" t="str">
        <x:v>tpa-batch08-20260908-J1844-0433-run01</x:v>
      </x:c>
      <x:c r="B177" t="str">
        <x:v>J1844-0433</x:v>
      </x:c>
      <x:c r="C177" t="str">
        <x:v>TPA DR1; original circular search</x:v>
      </x:c>
      <x:c r="D177" t="str">
        <x:v>NO_TRIGGER</x:v>
      </x:c>
      <x:c r="E177" s="23" t="n">
        <x:v>67.38017112927388</x:v>
      </x:c>
      <x:c r="F177" t="str">
        <x:v>Strongest eligible grid peak; candidate status is separate</x:v>
      </x:c>
      <x:c r="G177" s="24" t="n">
        <x:v>175.48561270951097</x:v>
      </x:c>
      <x:c r="H177" s="24" t="n">
        <x:v>14.14346220139227</x:v>
      </x:c>
      <x:c r="I177" s="24" t="n">
        <x:v>26.23470167116157</x:v>
      </x:c>
      <x:c r="J177" s="25" t="n">
        <x:v>432</x:v>
      </x:c>
      <x:c r="K177" s="25" t="n">
        <x:v>54</x:v>
      </x:c>
      <x:c r="L177" s="24" t="n">
        <x:v>30</x:v>
      </x:c>
      <x:c r="M177" s="24" t="n">
        <x:v>400</x:v>
      </x:c>
      <x:c r="N177" s="25" t="n">
        <x:v>199</x:v>
      </x:c>
      <x:c r="O177" s="25" t="n">
        <x:v>3</x:v>
      </x:c>
      <x:c r="P177" s="24" t="n">
        <x:v>311.8306835226327</x:v>
      </x:c>
      <x:c r="Q17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7"/>
      <x:c r="S177" t="str">
        <x:v>Preserve consumed record; new data/scope requires a new ID</x:v>
      </x:c>
      <x:c r="T177" t="str">
        <x:v>../Project Recherche Data/tpa-batch08-20260908/J1844-0433/run01/result.json</x:v>
      </x:c>
      <x:c r="U177" t="str">
        <x:v>0b9af9c8cf16118ccd8123e9cd7caeed37edcb01b24f6037658034c8bc9089aa</x:v>
      </x:c>
      <x:c r="V177" t="str">
        <x:v>observed=01c33621594c534085187fa1cf41dc2d6bd4a4c0b689ee79102b8aa82f343183; calibration=e34374ff15d055fac33461dc00d028dcfc3ef74d96176c357c29acf077c8dc66</x:v>
      </x:c>
    </x:row>
    <x:row r="178" ht="15" hidden="0" customHeight="1">
      <x:c r="A178" t="str">
        <x:v>tpa-batch08-20260908-J1041-1942-run01</x:v>
      </x:c>
      <x:c r="B178" t="str">
        <x:v>J1041-1942</x:v>
      </x:c>
      <x:c r="C178" t="str">
        <x:v>TPA DR1; original circular search</x:v>
      </x:c>
      <x:c r="D178" t="str">
        <x:v>NO_TRIGGER</x:v>
      </x:c>
      <x:c r="E178" s="23" t="n">
        <x:v>123.78895644400431</x:v>
      </x:c>
      <x:c r="F178" t="str">
        <x:v>Strongest eligible grid peak; candidate status is separate</x:v>
      </x:c>
      <x:c r="G178" s="24" t="n">
        <x:v>147.96584835035708</x:v>
      </x:c>
      <x:c r="H178" s="24" t="n">
        <x:v>9.955034545384375</x:v>
      </x:c>
      <x:c r="I178" s="24" t="n">
        <x:v>26.244726754808656</x:v>
      </x:c>
      <x:c r="J178" s="25" t="n">
        <x:v>387</x:v>
      </x:c>
      <x:c r="K178" s="25" t="n">
        <x:v>52</x:v>
      </x:c>
      <x:c r="L178" s="24" t="n">
        <x:v>30</x:v>
      </x:c>
      <x:c r="M178" s="24" t="n">
        <x:v>400</x:v>
      </x:c>
      <x:c r="N178" s="25" t="n">
        <x:v>200</x:v>
      </x:c>
      <x:c r="O178" s="25" t="n">
        <x:v>4</x:v>
      </x:c>
      <x:c r="P178" s="24" t="n">
        <x:v>327.6514511470589</x:v>
      </x:c>
      <x:c r="Q17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8"/>
      <x:c r="S178" t="str">
        <x:v>Preserve consumed record; new data/scope requires a new ID</x:v>
      </x:c>
      <x:c r="T178" t="str">
        <x:v>../Project Recherche Data/tpa-batch08-20260908/J1041-1942/run01/result.json</x:v>
      </x:c>
      <x:c r="U178" t="str">
        <x:v>6f3c3f6c32912b717f6b2e5e659eb40037cc78f8b13440a52e0184c360e08851</x:v>
      </x:c>
      <x:c r="V178" t="str">
        <x:v>observed=cc9b791e421fef445f4fe52e3a196bf53525a40b39899b6e8f93681f6e47957a; calibration=3a9a68b8ac8e2d2b3704910f9ea087fa2aca34b683d3dc3e1a59a0711319d0b2</x:v>
      </x:c>
    </x:row>
    <x:row r="179" ht="15" hidden="0" customHeight="1">
      <x:c r="A179" t="str">
        <x:v>tpa-batch08-20260908-J1136+1551-run01</x:v>
      </x:c>
      <x:c r="B179" t="str">
        <x:v>J1136+1551</x:v>
      </x:c>
      <x:c r="C179" t="str">
        <x:v>TPA DR1; original circular search</x:v>
      </x:c>
      <x:c r="D179" t="str">
        <x:v>NO_TRIGGER</x:v>
      </x:c>
      <x:c r="E179" s="23" t="n">
        <x:v>70.80333494430563</x:v>
      </x:c>
      <x:c r="F179" t="str">
        <x:v>Strongest eligible grid peak; candidate status is separate</x:v>
      </x:c>
      <x:c r="G179" s="24" t="n">
        <x:v>135.42934494553606</x:v>
      </x:c>
      <x:c r="H179" s="24" t="n">
        <x:v>10.428679285269165</x:v>
      </x:c>
      <x:c r="I179" s="24" t="n">
        <x:v>26.244726754808656</x:v>
      </x:c>
      <x:c r="J179" s="25" t="n">
        <x:v>405</x:v>
      </x:c>
      <x:c r="K179" s="25" t="n">
        <x:v>51</x:v>
      </x:c>
      <x:c r="L179" s="24" t="n">
        <x:v>30</x:v>
      </x:c>
      <x:c r="M179" s="24" t="n">
        <x:v>400</x:v>
      </x:c>
      <x:c r="N179" s="25" t="n">
        <x:v>200</x:v>
      </x:c>
      <x:c r="O179" s="25" t="n">
        <x:v>4</x:v>
      </x:c>
      <x:c r="P179" s="24" t="n">
        <x:v>317.769053499186</x:v>
      </x:c>
      <x:c r="Q17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79"/>
      <x:c r="S179" t="str">
        <x:v>Preserve consumed record; new data/scope requires a new ID</x:v>
      </x:c>
      <x:c r="T179" t="str">
        <x:v>../Project Recherche Data/tpa-batch08-20260908/J1136+1551/run01/result.json</x:v>
      </x:c>
      <x:c r="U179" t="str">
        <x:v>4cd258f3f8c0079d191f7d98121a3f434cb34d29a096fbca15bc2a078beac3c8</x:v>
      </x:c>
      <x:c r="V179" t="str">
        <x:v>observed=9b5745fa514a81b067f57edd4f356f9996b678833cba2855075b4d8d58084907; calibration=98abd5a7e123a3a11e04b5804158b0be4d47c4e43d8a6d7bd18cd12c0ba120d5</x:v>
      </x:c>
    </x:row>
    <x:row r="180" ht="15" hidden="0" customHeight="1">
      <x:c r="A180" t="str">
        <x:v>tpa-batch08-20260908-J1809-2109-run01</x:v>
      </x:c>
      <x:c r="B180" t="str">
        <x:v>J1809-2109</x:v>
      </x:c>
      <x:c r="C180" t="str">
        <x:v>TPA DR1; original circular search</x:v>
      </x:c>
      <x:c r="D180" t="str">
        <x:v>NO_TRIGGER</x:v>
      </x:c>
      <x:c r="E180" s="23" t="n">
        <x:v>30.85305594687813</x:v>
      </x:c>
      <x:c r="F180" t="str">
        <x:v>Strongest eligible grid peak; candidate status is separate</x:v>
      </x:c>
      <x:c r="G180" s="24" t="n">
        <x:v>161.96286737410622</x:v>
      </x:c>
      <x:c r="H180" s="24" t="n">
        <x:v>10.642086676342581</x:v>
      </x:c>
      <x:c r="I180" s="24" t="n">
        <x:v>26.244726754808656</x:v>
      </x:c>
      <x:c r="J180" s="25" t="n">
        <x:v>424</x:v>
      </x:c>
      <x:c r="K180" s="25" t="n">
        <x:v>53</x:v>
      </x:c>
      <x:c r="L180" s="24" t="n">
        <x:v>30</x:v>
      </x:c>
      <x:c r="M180" s="24" t="n">
        <x:v>400</x:v>
      </x:c>
      <x:c r="N180" s="25" t="n">
        <x:v>200</x:v>
      </x:c>
      <x:c r="O180" s="25" t="n">
        <x:v>4</x:v>
      </x:c>
      <x:c r="P180" s="24" t="n">
        <x:v>289.98996738149367</x:v>
      </x:c>
      <x:c r="Q18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0"/>
      <x:c r="S180" t="str">
        <x:v>Preserve consumed record; new data/scope requires a new ID</x:v>
      </x:c>
      <x:c r="T180" t="str">
        <x:v>../Project Recherche Data/tpa-batch08-20260908/J1809-2109/run01/result.json</x:v>
      </x:c>
      <x:c r="U180" t="str">
        <x:v>636b0f2e4a96785aaec0d6f68f3d51c07531dd8993ea65f17fa23c7f696dc72b</x:v>
      </x:c>
      <x:c r="V180" t="str">
        <x:v>observed=7b9010411c67e6a808899a68011631ec395f3ceb4f343eb47d60f33556970881; calibration=5635a5954e6415567917e41032c049f55e58d6cef0289b3664fc05b0ec3ccb95</x:v>
      </x:c>
    </x:row>
    <x:row r="181" ht="15" hidden="0" customHeight="1">
      <x:c r="A181" t="str">
        <x:v>tpa-batch08-20260908-J1916+1312-run01</x:v>
      </x:c>
      <x:c r="B181" t="str">
        <x:v>J1916+1312</x:v>
      </x:c>
      <x:c r="C181" t="str">
        <x:v>TPA DR1; original circular search</x:v>
      </x:c>
      <x:c r="D181" t="str">
        <x:v>NO_TRIGGER</x:v>
      </x:c>
      <x:c r="E181" s="23" t="n">
        <x:v>64.33095809216844</x:v>
      </x:c>
      <x:c r="F181" t="str">
        <x:v>Strongest eligible grid peak; candidate status is separate</x:v>
      </x:c>
      <x:c r="G181" s="24" t="n">
        <x:v>147.09698947906855</x:v>
      </x:c>
      <x:c r="H181" s="24" t="n">
        <x:v>10.255044797471331</x:v>
      </x:c>
      <x:c r="I181" s="24" t="n">
        <x:v>26.224626083101654</x:v>
      </x:c>
      <x:c r="J181" s="25" t="n">
        <x:v>432</x:v>
      </x:c>
      <x:c r="K181" s="25" t="n">
        <x:v>54</x:v>
      </x:c>
      <x:c r="L181" s="24" t="n">
        <x:v>30</x:v>
      </x:c>
      <x:c r="M181" s="24" t="n">
        <x:v>400</x:v>
      </x:c>
      <x:c r="N181" s="25" t="n">
        <x:v>198</x:v>
      </x:c>
      <x:c r="O181" s="25" t="n">
        <x:v>8</x:v>
      </x:c>
      <x:c r="P181" s="24" t="n">
        <x:v>359.66941211364906</x:v>
      </x:c>
      <x:c r="Q18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1"/>
      <x:c r="S181" t="str">
        <x:v>Preserve consumed record; new data/scope requires a new ID</x:v>
      </x:c>
      <x:c r="T181" t="str">
        <x:v>../Project Recherche Data/tpa-batch08-20260908/J1916+1312/run01/result.json</x:v>
      </x:c>
      <x:c r="U181" t="str">
        <x:v>904b92cb7a0becedea8ce3f759f63cb47628f7d7fae5b2f7b1d330ddaef458a5</x:v>
      </x:c>
      <x:c r="V181" t="str">
        <x:v>observed=c8f62f99286608f9fca7114922c5fbfa5cbb1c8b29a81d5043aedea4aa4372e1; calibration=c229c97c03f82b844a212a28411bedfa505ed158c6803440676f91dce49564b6</x:v>
      </x:c>
    </x:row>
    <x:row r="182" ht="15" hidden="0" customHeight="1">
      <x:c r="A182" t="str">
        <x:v>tpa-batch08-20260908-J1709-1640-run01</x:v>
      </x:c>
      <x:c r="B182" t="str">
        <x:v>J1709-1640</x:v>
      </x:c>
      <x:c r="C182" t="str">
        <x:v>TPA DR1; original circular search</x:v>
      </x:c>
      <x:c r="D182" t="str">
        <x:v>NO_TRIGGER</x:v>
      </x:c>
      <x:c r="E182" s="23" t="n">
        <x:v>48.126750156404746</x:v>
      </x:c>
      <x:c r="F182" t="str">
        <x:v>Strongest eligible grid peak; candidate status is separate</x:v>
      </x:c>
      <x:c r="G182" s="24" t="n">
        <x:v>193.1809342528779</x:v>
      </x:c>
      <x:c r="H182" s="24" t="n">
        <x:v>14.466033553586406</x:v>
      </x:c>
      <x:c r="I182" s="24" t="n">
        <x:v>26.575755631763805</x:v>
      </x:c>
      <x:c r="J182" s="25" t="n">
        <x:v>413</x:v>
      </x:c>
      <x:c r="K182" s="25" t="n">
        <x:v>52</x:v>
      </x:c>
      <x:c r="L182" s="24" t="n">
        <x:v>30</x:v>
      </x:c>
      <x:c r="M182" s="24" t="n">
        <x:v>400</x:v>
      </x:c>
      <x:c r="N182" s="25" t="n">
        <x:v>236</x:v>
      </x:c>
      <x:c r="O182" s="25" t="n">
        <x:v>5</x:v>
      </x:c>
      <x:c r="P182" s="24" t="n">
        <x:v>372.89538124028275</x:v>
      </x:c>
      <x:c r="Q18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2"/>
      <x:c r="S182" t="str">
        <x:v>Preserve consumed record; new data/scope requires a new ID</x:v>
      </x:c>
      <x:c r="T182" t="str">
        <x:v>../Project Recherche Data/tpa-batch08-20260908/J1709-1640/run01/result.json</x:v>
      </x:c>
      <x:c r="U182" t="str">
        <x:v>9438c5d7002a3aaaa78bb57d9534d7451231c23064f33feba65d904f458b5a98</x:v>
      </x:c>
      <x:c r="V182" t="str">
        <x:v>observed=e898c64248d2677637fee9a1651cb85972948705e884050c9c9cd999cd719b58; calibration=7c8a564f8ea1e0397804227abb41ea1a11d1645ef117a7eed2c8b723513cb069</x:v>
      </x:c>
    </x:row>
    <x:row r="183" ht="15" hidden="0" customHeight="1">
      <x:c r="A183" t="str">
        <x:v>tpa-batch08-20260908-J1926+1648-run01</x:v>
      </x:c>
      <x:c r="B183" t="str">
        <x:v>J1926+1648</x:v>
      </x:c>
      <x:c r="C183" t="str">
        <x:v>TPA DR1; original circular search</x:v>
      </x:c>
      <x:c r="D183" t="str">
        <x:v>NO_TRIGGER</x:v>
      </x:c>
      <x:c r="E183" s="23" t="n">
        <x:v>60.07946297004538</x:v>
      </x:c>
      <x:c r="F183" t="str">
        <x:v>Strongest eligible grid peak; candidate status is separate</x:v>
      </x:c>
      <x:c r="G183" s="24" t="n">
        <x:v>128.9093069513977</x:v>
      </x:c>
      <x:c r="H183" s="24" t="n">
        <x:v>8.574671671830561</x:v>
      </x:c>
      <x:c r="I183" s="24" t="n">
        <x:v>26.224626083101654</x:v>
      </x:c>
      <x:c r="J183" s="25" t="n">
        <x:v>431</x:v>
      </x:c>
      <x:c r="K183" s="25" t="n">
        <x:v>54</x:v>
      </x:c>
      <x:c r="L183" s="24" t="n">
        <x:v>30</x:v>
      </x:c>
      <x:c r="M183" s="24" t="n">
        <x:v>400</x:v>
      </x:c>
      <x:c r="N183" s="25" t="n">
        <x:v>198</x:v>
      </x:c>
      <x:c r="O183" s="25" t="n">
        <x:v>4</x:v>
      </x:c>
      <x:c r="P183" s="24" t="n">
        <x:v>355.5307098028842</x:v>
      </x:c>
      <x:c r="Q18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3"/>
      <x:c r="S183" t="str">
        <x:v>Preserve consumed record; new data/scope requires a new ID</x:v>
      </x:c>
      <x:c r="T183" t="str">
        <x:v>../Project Recherche Data/tpa-batch08-20260908/J1926+1648/run01/result.json</x:v>
      </x:c>
      <x:c r="U183" t="str">
        <x:v>dccbb6aef1d9bd7e89923d0a63d7fbfdc0bf559c9af61d0f2d9bde58d41e88a8</x:v>
      </x:c>
      <x:c r="V183" t="str">
        <x:v>observed=022e19fe479aeaae1da5e95f452226a3d46050ad0258166eeacaaff0dc812e42; calibration=4e27ab5bed6f2d6c79aa563fa6edec262a254fb37c131fcdda68dae84472851e</x:v>
      </x:c>
    </x:row>
    <x:row r="184" ht="15" hidden="0" customHeight="1">
      <x:c r="A184" t="str">
        <x:v>tpa-batch08-20260908-J1703-1846-run01</x:v>
      </x:c>
      <x:c r="B184" t="str">
        <x:v>J1703-1846</x:v>
      </x:c>
      <x:c r="C184" t="str">
        <x:v>TPA DR1; original circular search</x:v>
      </x:c>
      <x:c r="D184" t="str">
        <x:v>NO_TRIGGER</x:v>
      </x:c>
      <x:c r="E184" s="23" t="n">
        <x:v>41.18815809392223</x:v>
      </x:c>
      <x:c r="F184" t="str">
        <x:v>Strongest eligible grid peak; candidate status is separate</x:v>
      </x:c>
      <x:c r="G184" s="24" t="n">
        <x:v>155.12886515109665</x:v>
      </x:c>
      <x:c r="H184" s="24" t="n">
        <x:v>8.419129955677862</x:v>
      </x:c>
      <x:c r="I184" s="24" t="n">
        <x:v>26.36126457105661</x:v>
      </x:c>
      <x:c r="J184" s="25" t="n">
        <x:v>432</x:v>
      </x:c>
      <x:c r="K184" s="25" t="n">
        <x:v>54</x:v>
      </x:c>
      <x:c r="L184" s="24" t="n">
        <x:v>30</x:v>
      </x:c>
      <x:c r="M184" s="24" t="n">
        <x:v>400</x:v>
      </x:c>
      <x:c r="N184" s="25" t="n">
        <x:v>212</x:v>
      </x:c>
      <x:c r="O184" s="25" t="n">
        <x:v>3</x:v>
      </x:c>
      <x:c r="P184" s="24" t="n">
        <x:v>370.485111808229</x:v>
      </x:c>
      <x:c r="Q18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4"/>
      <x:c r="S184" t="str">
        <x:v>Preserve consumed record; new data/scope requires a new ID</x:v>
      </x:c>
      <x:c r="T184" t="str">
        <x:v>../Project Recherche Data/tpa-batch08-20260908/J1703-1846/run01/result.json</x:v>
      </x:c>
      <x:c r="U184" t="str">
        <x:v>08e0e9f3d3057a8c79d16e1ce48022f447cc4e6a6fae543c08f7dfdb5e755604</x:v>
      </x:c>
      <x:c r="V184" t="str">
        <x:v>observed=1df3f52c50d2f1068834b750ae7340bd84696c4edb147b7be1f48d88ad2e7af2; calibration=db0552b31d5fe484e75ae8fe51f63a020fdf4b946bb5b1c0bde40aef871ab320</x:v>
      </x:c>
    </x:row>
    <x:row r="185" ht="15" hidden="0" customHeight="1">
      <x:c r="A185" t="str">
        <x:v>tpa-batch08-20260908-J1555-2341-run01</x:v>
      </x:c>
      <x:c r="B185" t="str">
        <x:v>J1555-2341</x:v>
      </x:c>
      <x:c r="C185" t="str">
        <x:v>TPA DR1; original circular search</x:v>
      </x:c>
      <x:c r="D185" t="str">
        <x:v>NO_TRIGGER</x:v>
      </x:c>
      <x:c r="E185" s="23" t="n">
        <x:v>55.56129192656065</x:v>
      </x:c>
      <x:c r="F185" t="str">
        <x:v>Strongest eligible grid peak; candidate status is separate</x:v>
      </x:c>
      <x:c r="G185" s="24" t="n">
        <x:v>169.1408386927143</x:v>
      </x:c>
      <x:c r="H185" s="24" t="n">
        <x:v>11.003288412805222</x:v>
      </x:c>
      <x:c r="I185" s="24" t="n">
        <x:v>26.244726754808656</x:v>
      </x:c>
      <x:c r="J185" s="25" t="n">
        <x:v>432</x:v>
      </x:c>
      <x:c r="K185" s="25" t="n">
        <x:v>54</x:v>
      </x:c>
      <x:c r="L185" s="24" t="n">
        <x:v>30</x:v>
      </x:c>
      <x:c r="M185" s="24" t="n">
        <x:v>400</x:v>
      </x:c>
      <x:c r="N185" s="25" t="n">
        <x:v>200</x:v>
      </x:c>
      <x:c r="O185" s="25" t="n">
        <x:v>4</x:v>
      </x:c>
      <x:c r="P185" s="24" t="n">
        <x:v>370.1861318736013</x:v>
      </x:c>
      <x:c r="Q18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5"/>
      <x:c r="S185" t="str">
        <x:v>Preserve consumed record; new data/scope requires a new ID</x:v>
      </x:c>
      <x:c r="T185" t="str">
        <x:v>../Project Recherche Data/tpa-batch08-20260908/J1555-2341/run01/result.json</x:v>
      </x:c>
      <x:c r="U185" t="str">
        <x:v>a056bdc2f8df6f331d6f0842b5512d27145a2bda70e12f4053a2c2363f652573</x:v>
      </x:c>
      <x:c r="V185" t="str">
        <x:v>observed=8edeb5a3e2ea3f23102c337aef35e5a148e2be17183d185be7294943809a0388; calibration=0aaab27dec988e007728ae8e69f1e17a3c1be734f4c52b260170d8fb2ff54c0a</x:v>
      </x:c>
    </x:row>
    <x:row r="186" ht="15" hidden="0" customHeight="1">
      <x:c r="A186" t="str">
        <x:v>tpa-batch09-20260908-J1901+0716-run01</x:v>
      </x:c>
      <x:c r="B186" t="str">
        <x:v>J1901+0716</x:v>
      </x:c>
      <x:c r="C186" t="str">
        <x:v>TPA DR1; original circular search</x:v>
      </x:c>
      <x:c r="D186" t="str">
        <x:v>NO_TRIGGER</x:v>
      </x:c>
      <x:c r="E186" s="23" t="n">
        <x:v>70.55368901660901</x:v>
      </x:c>
      <x:c r="F186" t="str">
        <x:v>Strongest eligible grid peak; candidate status is separate</x:v>
      </x:c>
      <x:c r="G186" s="24" t="n">
        <x:v>141.68928041669724</x:v>
      </x:c>
      <x:c r="H186" s="24" t="n">
        <x:v>7.109367181434222</x:v>
      </x:c>
      <x:c r="I186" s="24" t="n">
        <x:v>26.44441742474809</x:v>
      </x:c>
      <x:c r="J186" s="25" t="n">
        <x:v>424</x:v>
      </x:c>
      <x:c r="K186" s="25" t="n">
        <x:v>53</x:v>
      </x:c>
      <x:c r="L186" s="24" t="n">
        <x:v>30</x:v>
      </x:c>
      <x:c r="M186" s="24" t="n">
        <x:v>400</x:v>
      </x:c>
      <x:c r="N186" s="25" t="n">
        <x:v>221</x:v>
      </x:c>
      <x:c r="O186" s="25" t="n">
        <x:v>5</x:v>
      </x:c>
      <x:c r="P186" s="24" t="n">
        <x:v>405.4253035249564</x:v>
      </x:c>
      <x:c r="Q18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6"/>
      <x:c r="S186" t="str">
        <x:v>Preserve consumed record; new data/scope requires a new ID</x:v>
      </x:c>
      <x:c r="T186" t="str">
        <x:v>../Project Recherche Data/tpa-batch09-20260908/J1901+0716/run01/result.json</x:v>
      </x:c>
      <x:c r="U186" t="str">
        <x:v>22d6473edbbe433ac07d74eb2c8ba206dce0505947cc66a488b6ea0bdfb69fee</x:v>
      </x:c>
      <x:c r="V186" t="str">
        <x:v>observed=b7f6b379d00a3624670fa9f7c8c8cd18a13facb9e1e2a546e15d4d1e57b51def; calibration=9ab06d935edddc1d4dc0827d2ec317b0bbe0097097ee286bd812389e1d0e1e86</x:v>
      </x:c>
    </x:row>
    <x:row r="187" ht="15" hidden="0" customHeight="1">
      <x:c r="A187" t="str">
        <x:v>tpa-batch09-20260908-J1918+1444-run01</x:v>
      </x:c>
      <x:c r="B187" t="str">
        <x:v>J1918+1444</x:v>
      </x:c>
      <x:c r="C187" t="str">
        <x:v>TPA DR1; original circular search</x:v>
      </x:c>
      <x:c r="D187" t="str">
        <x:v>NO_TRIGGER</x:v>
      </x:c>
      <x:c r="E187" s="23" t="n">
        <x:v>41.61217448325912</x:v>
      </x:c>
      <x:c r="F187" t="str">
        <x:v>Strongest eligible grid peak; candidate status is separate</x:v>
      </x:c>
      <x:c r="G187" s="24" t="n">
        <x:v>145.61627468098163</x:v>
      </x:c>
      <x:c r="H187" s="24" t="n">
        <x:v>9.261303958305962</x:v>
      </x:c>
      <x:c r="I187" s="24" t="n">
        <x:v>26.224626083101654</x:v>
      </x:c>
      <x:c r="J187" s="25" t="n">
        <x:v>416</x:v>
      </x:c>
      <x:c r="K187" s="25" t="n">
        <x:v>52</x:v>
      </x:c>
      <x:c r="L187" s="24" t="n">
        <x:v>30</x:v>
      </x:c>
      <x:c r="M187" s="24" t="n">
        <x:v>400</x:v>
      </x:c>
      <x:c r="N187" s="25" t="n">
        <x:v>198</x:v>
      </x:c>
      <x:c r="O187" s="25" t="n">
        <x:v>4</x:v>
      </x:c>
      <x:c r="P187" s="24" t="n">
        <x:v>376.7506405586074</x:v>
      </x:c>
      <x:c r="Q18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7"/>
      <x:c r="S187" t="str">
        <x:v>Preserve consumed record; new data/scope requires a new ID</x:v>
      </x:c>
      <x:c r="T187" t="str">
        <x:v>../Project Recherche Data/tpa-batch09-20260908/J1918+1444/run01/result.json</x:v>
      </x:c>
      <x:c r="U187" t="str">
        <x:v>2d9ce7796ada0d3d40b27aaa1a6fcd2dbcf5b7a7be7f5ee366927490b933b2c4</x:v>
      </x:c>
      <x:c r="V187" t="str">
        <x:v>observed=6b0ef8d3e63cdfa0bd6d473c1ea45de9a0e3725677819767a9f39f02dc1b1a45; calibration=43e286ec1d7d77922f207279a1e35dc534ebef31db497ff65e442cfc1f5aef67</x:v>
      </x:c>
    </x:row>
    <x:row r="188" ht="15" hidden="0" customHeight="1">
      <x:c r="A188" t="str">
        <x:v>tpa-batch09-20260908-J1801-0357-run01</x:v>
      </x:c>
      <x:c r="B188" t="str">
        <x:v>J1801-0357</x:v>
      </x:c>
      <x:c r="C188" t="str">
        <x:v>TPA DR1; original circular search</x:v>
      </x:c>
      <x:c r="D188" t="str">
        <x:v>NO_TRIGGER</x:v>
      </x:c>
      <x:c r="E188" s="23" t="n">
        <x:v>31.929718427548256</x:v>
      </x:c>
      <x:c r="F188" t="str">
        <x:v>Strongest eligible grid peak; candidate status is separate</x:v>
      </x:c>
      <x:c r="G188" s="24" t="n">
        <x:v>216.99941979187295</x:v>
      </x:c>
      <x:c r="H188" s="24" t="n">
        <x:v>11.296117343803214</x:v>
      </x:c>
      <x:c r="I188" s="24" t="n">
        <x:v>26.36126457105661</x:v>
      </x:c>
      <x:c r="J188" s="25" t="n">
        <x:v>455</x:v>
      </x:c>
      <x:c r="K188" s="25" t="n">
        <x:v>57</x:v>
      </x:c>
      <x:c r="L188" s="24" t="n">
        <x:v>30</x:v>
      </x:c>
      <x:c r="M188" s="24" t="n">
        <x:v>400</x:v>
      </x:c>
      <x:c r="N188" s="25" t="n">
        <x:v>212</x:v>
      </x:c>
      <x:c r="O188" s="25" t="n">
        <x:v>3</x:v>
      </x:c>
      <x:c r="P188" s="24" t="n">
        <x:v>385.1966419500734</x:v>
      </x:c>
      <x:c r="Q18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8"/>
      <x:c r="S188" t="str">
        <x:v>Preserve consumed record; new data/scope requires a new ID</x:v>
      </x:c>
      <x:c r="T188" t="str">
        <x:v>../Project Recherche Data/tpa-batch09-20260908/J1801-0357/run01/result.json</x:v>
      </x:c>
      <x:c r="U188" t="str">
        <x:v>88b8f1032410ebaa0c72f1ae2bf9bb72c7e9784f9bb4df37199f545d6395d6b4</x:v>
      </x:c>
      <x:c r="V188" t="str">
        <x:v>observed=5e47275e07d64b5f29e4129f2cdf311091bd34a548573de037b6543c2e3edf1b; calibration=fa3ed80e9b933b166d8b1feceb85f685e817468df5efb464acae357bfb4664f9</x:v>
      </x:c>
    </x:row>
    <x:row r="189" ht="15" hidden="0" customHeight="1">
      <x:c r="A189" t="str">
        <x:v>tpa-batch09-20260908-J1738-3211-run01</x:v>
      </x:c>
      <x:c r="B189" t="str">
        <x:v>J1738-3211</x:v>
      </x:c>
      <x:c r="C189" t="str">
        <x:v>TPA DR1; original circular search</x:v>
      </x:c>
      <x:c r="D189" t="str">
        <x:v>NO_TRIGGER</x:v>
      </x:c>
      <x:c r="E189" s="23" t="n">
        <x:v>80.99888246164136</x:v>
      </x:c>
      <x:c r="F189" t="str">
        <x:v>Strongest eligible grid peak; candidate status is separate</x:v>
      </x:c>
      <x:c r="G189" s="24" t="n">
        <x:v>177.80847184007007</x:v>
      </x:c>
      <x:c r="H189" s="24" t="n">
        <x:v>8.932989008220623</x:v>
      </x:c>
      <x:c r="I189" s="24" t="n">
        <x:v>26.204321340173617</x:v>
      </x:c>
      <x:c r="J189" s="25" t="n">
        <x:v>424</x:v>
      </x:c>
      <x:c r="K189" s="25" t="n">
        <x:v>53</x:v>
      </x:c>
      <x:c r="L189" s="24" t="n">
        <x:v>30</x:v>
      </x:c>
      <x:c r="M189" s="24" t="n">
        <x:v>400</x:v>
      </x:c>
      <x:c r="N189" s="25" t="n">
        <x:v>196</x:v>
      </x:c>
      <x:c r="O189" s="25" t="n">
        <x:v>4</x:v>
      </x:c>
      <x:c r="P189" s="24" t="n">
        <x:v>423.2761320515418</x:v>
      </x:c>
      <x:c r="Q18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89"/>
      <x:c r="S189" t="str">
        <x:v>Preserve consumed record; new data/scope requires a new ID</x:v>
      </x:c>
      <x:c r="T189" t="str">
        <x:v>../Project Recherche Data/tpa-batch09-20260908/J1738-3211/run01/result.json</x:v>
      </x:c>
      <x:c r="U189" t="str">
        <x:v>c2af2004e42af3ec46ca3efad7caf1b448b7b77f8ed415a4330f58ad5507959a</x:v>
      </x:c>
      <x:c r="V189" t="str">
        <x:v>observed=f1ad2210f0190b5fa8a5b78a02e5c9634822f9906529d1b5943508021711c82a; calibration=712fd8b341a5f852b99aca6aeb7e1f5ba4e486bfb003a3df9c5bef9ad06c9d81</x:v>
      </x:c>
    </x:row>
    <x:row r="190" ht="15" hidden="0" customHeight="1">
      <x:c r="A190" t="str">
        <x:v>tpa-batch09-20260908-J1949-2524-run01</x:v>
      </x:c>
      <x:c r="B190" t="str">
        <x:v>J1949-2524</x:v>
      </x:c>
      <x:c r="C190" t="str">
        <x:v>TPA DR1; original circular search</x:v>
      </x:c>
      <x:c r="D190" t="str">
        <x:v>NO_TRIGGER</x:v>
      </x:c>
      <x:c r="E190" s="23" t="n">
        <x:v>37.297404263291064</x:v>
      </x:c>
      <x:c r="F190" t="str">
        <x:v>Strongest eligible grid peak; candidate status is separate</x:v>
      </x:c>
      <x:c r="G190" s="24" t="n">
        <x:v>185.88454863243692</x:v>
      </x:c>
      <x:c r="H190" s="24" t="n">
        <x:v>8.662727270187023</x:v>
      </x:c>
      <x:c r="I190" s="24" t="n">
        <x:v>26.44441742474809</x:v>
      </x:c>
      <x:c r="J190" s="25" t="n">
        <x:v>400</x:v>
      </x:c>
      <x:c r="K190" s="25" t="n">
        <x:v>53</x:v>
      </x:c>
      <x:c r="L190" s="24" t="n">
        <x:v>30</x:v>
      </x:c>
      <x:c r="M190" s="24" t="n">
        <x:v>400</x:v>
      </x:c>
      <x:c r="N190" s="25" t="n">
        <x:v>221</x:v>
      </x:c>
      <x:c r="O190" s="25" t="n">
        <x:v>4</x:v>
      </x:c>
      <x:c r="P190" s="24" t="n">
        <x:v>414.313444775155</x:v>
      </x:c>
      <x:c r="Q19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0"/>
      <x:c r="S190" t="str">
        <x:v>Preserve consumed record; new data/scope requires a new ID</x:v>
      </x:c>
      <x:c r="T190" t="str">
        <x:v>../Project Recherche Data/tpa-batch09-20260908/J1949-2524/run01/result.json</x:v>
      </x:c>
      <x:c r="U190" t="str">
        <x:v>f567816e948bde8aec2933f4b139d9ac97bb87340da0f9e134f03bc80cb29ad9</x:v>
      </x:c>
      <x:c r="V190" t="str">
        <x:v>observed=ca4e8b7b51f1105a86618f87aaa0e9a1ecad79bbd3e926f73cb67f00b626933e; calibration=30ed639a0dd885c01d32c246dc610f13b9e14c76a3f0314199fd9fc23a9cf01d</x:v>
      </x:c>
    </x:row>
    <x:row r="191" ht="15" hidden="0" customHeight="1">
      <x:c r="A191" t="str">
        <x:v>tpa-batch09-20260908-J1741-0840-run01</x:v>
      </x:c>
      <x:c r="B191" t="str">
        <x:v>J1741-0840</x:v>
      </x:c>
      <x:c r="C191" t="str">
        <x:v>TPA DR1; original circular search</x:v>
      </x:c>
      <x:c r="D191" t="str">
        <x:v>NO_TRIGGER</x:v>
      </x:c>
      <x:c r="E191" s="23" t="n">
        <x:v>51.56098758932005</x:v>
      </x:c>
      <x:c r="F191" t="str">
        <x:v>Strongest eligible grid peak; candidate status is separate</x:v>
      </x:c>
      <x:c r="G191" s="24" t="n">
        <x:v>188.5691325326496</x:v>
      </x:c>
      <x:c r="H191" s="24" t="n">
        <x:v>9.251417411417215</x:v>
      </x:c>
      <x:c r="I191" s="24" t="n">
        <x:v>26.244726754808656</x:v>
      </x:c>
      <x:c r="J191" s="25" t="n">
        <x:v>424</x:v>
      </x:c>
      <x:c r="K191" s="25" t="n">
        <x:v>53</x:v>
      </x:c>
      <x:c r="L191" s="24" t="n">
        <x:v>30</x:v>
      </x:c>
      <x:c r="M191" s="24" t="n">
        <x:v>400</x:v>
      </x:c>
      <x:c r="N191" s="25" t="n">
        <x:v>200</x:v>
      </x:c>
      <x:c r="O191" s="25" t="n">
        <x:v>4</x:v>
      </x:c>
      <x:c r="P191" s="24" t="n">
        <x:v>459.5035265601191</x:v>
      </x:c>
      <x:c r="Q19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1"/>
      <x:c r="S191" t="str">
        <x:v>Preserve consumed record; new data/scope requires a new ID</x:v>
      </x:c>
      <x:c r="T191" t="str">
        <x:v>../Project Recherche Data/tpa-batch09-20260908/J1741-0840/run01/result.json</x:v>
      </x:c>
      <x:c r="U191" t="str">
        <x:v>1f0b4ba3697cecbcd9678ef32df1135ada3a23b28a94caffe7cf2a7c80432569</x:v>
      </x:c>
      <x:c r="V191" t="str">
        <x:v>observed=6223c261daf148f6325d176a578c06cef96771bec227fbe29ed8b87b4980cfd4; calibration=052b3d60953cc7eeca86069685532c11e49a4e5ab918a4542a1ad8d964606613</x:v>
      </x:c>
    </x:row>
    <x:row r="192" ht="15" hidden="0" customHeight="1">
      <x:c r="A192" t="str">
        <x:v>tpa-batch09-20260908-J1828-1101-run01</x:v>
      </x:c>
      <x:c r="B192" t="str">
        <x:v>J1828-1101</x:v>
      </x:c>
      <x:c r="C192" t="str">
        <x:v>TPA DR1; original circular search</x:v>
      </x:c>
      <x:c r="D192" t="str">
        <x:v>NO_TRIGGER</x:v>
      </x:c>
      <x:c r="E192" s="23" t="n">
        <x:v>33.13964379723558</x:v>
      </x:c>
      <x:c r="F192" t="str">
        <x:v>Strongest eligible grid peak; candidate status is separate</x:v>
      </x:c>
      <x:c r="G192" s="24" t="n">
        <x:v>216.91012147611764</x:v>
      </x:c>
      <x:c r="H192" s="24" t="n">
        <x:v>6.355715307216126</x:v>
      </x:c>
      <x:c r="I192" s="24" t="n">
        <x:v>26.19409113884008</x:v>
      </x:c>
      <x:c r="J192" s="25" t="n">
        <x:v>592</x:v>
      </x:c>
      <x:c r="K192" s="25" t="n">
        <x:v>74</x:v>
      </x:c>
      <x:c r="L192" s="24" t="n">
        <x:v>30</x:v>
      </x:c>
      <x:c r="M192" s="24" t="n">
        <x:v>400</x:v>
      </x:c>
      <x:c r="N192" s="25" t="n">
        <x:v>195</x:v>
      </x:c>
      <x:c r="O192" s="25" t="n">
        <x:v>10</x:v>
      </x:c>
      <x:c r="P192" s="24" t="n">
        <x:v>458.44407790315563</x:v>
      </x:c>
      <x:c r="Q19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2"/>
      <x:c r="S192" t="str">
        <x:v>Preserve consumed record; new data/scope requires a new ID</x:v>
      </x:c>
      <x:c r="T192" t="str">
        <x:v>../Project Recherche Data/tpa-batch09-20260908/J1828-1101/run01/result.json</x:v>
      </x:c>
      <x:c r="U192" t="str">
        <x:v>1692a7dad091cc02f3df87a23869062b7a89a89b9b6b6ca3891344400df68452</x:v>
      </x:c>
      <x:c r="V192" t="str">
        <x:v>observed=8a7e9ac0cdb2cb57985f362cdddc00b8e2d1c10687efba0275943b2e91703a58; calibration=0f86773909c5fd81bde1de3cc0b5f9e15ebdb9ce6f2145662ced2fb7c5bb9ca1</x:v>
      </x:c>
    </x:row>
    <x:row r="193" ht="15" hidden="0" customHeight="1">
      <x:c r="A193" t="str">
        <x:v>tpa-batch09-20260908-J1841-0157-run01</x:v>
      </x:c>
      <x:c r="B193" t="str">
        <x:v>J1841-0157</x:v>
      </x:c>
      <x:c r="C193" t="str">
        <x:v>TPA DR1; original circular search</x:v>
      </x:c>
      <x:c r="D193" t="str">
        <x:v>NO_TRIGGER</x:v>
      </x:c>
      <x:c r="E193" s="23" t="n">
        <x:v>101.60054673005928</x:v>
      </x:c>
      <x:c r="F193" t="str">
        <x:v>Strongest eligible grid peak; candidate status is separate</x:v>
      </x:c>
      <x:c r="G193" s="24" t="n">
        <x:v>253.20603821611914</x:v>
      </x:c>
      <x:c r="H193" s="24" t="n">
        <x:v>11.916989711721754</x:v>
      </x:c>
      <x:c r="I193" s="24" t="n">
        <x:v>26.23470167116157</x:v>
      </x:c>
      <x:c r="J193" s="25" t="n">
        <x:v>440</x:v>
      </x:c>
      <x:c r="K193" s="25" t="n">
        <x:v>55</x:v>
      </x:c>
      <x:c r="L193" s="24" t="n">
        <x:v>30</x:v>
      </x:c>
      <x:c r="M193" s="24" t="n">
        <x:v>400</x:v>
      </x:c>
      <x:c r="N193" s="25" t="n">
        <x:v>199</x:v>
      </x:c>
      <x:c r="O193" s="25" t="n">
        <x:v>4</x:v>
      </x:c>
      <x:c r="P193" s="24" t="n">
        <x:v>552.5804649082797</x:v>
      </x:c>
      <x:c r="Q19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3"/>
      <x:c r="S193" t="str">
        <x:v>Preserve consumed record; new data/scope requires a new ID</x:v>
      </x:c>
      <x:c r="T193" t="str">
        <x:v>../Project Recherche Data/tpa-batch09-20260908/J1841-0157/run01/result.json</x:v>
      </x:c>
      <x:c r="U193" t="str">
        <x:v>4dbfaa852c3c811fea2ce2d61576cacfde11a1fff0c1e55efe03be722bb3666a</x:v>
      </x:c>
      <x:c r="V193" t="str">
        <x:v>observed=21fb31a707a93df295cfb1798b21207bcdd5948bf75b73461b52851ae9787a12; calibration=b73c48e9520ddc5fe20f76c6c42a0cffe614cfa1a69073fd5f6b7ad59f9d574b</x:v>
      </x:c>
    </x:row>
    <x:row r="194" ht="15" hidden="0" customHeight="1">
      <x:c r="A194" t="str">
        <x:v>tpa-batch09-20260908-J1833-0338-run01</x:v>
      </x:c>
      <x:c r="B194" t="str">
        <x:v>J1833-0338</x:v>
      </x:c>
      <x:c r="C194" t="str">
        <x:v>TPA DR1; original circular search</x:v>
      </x:c>
      <x:c r="D194" t="str">
        <x:v>NO_TRIGGER</x:v>
      </x:c>
      <x:c r="E194" s="23" t="n">
        <x:v>31.532949596696366</x:v>
      </x:c>
      <x:c r="F194" t="str">
        <x:v>Strongest eligible grid peak; candidate status is separate</x:v>
      </x:c>
      <x:c r="G194" s="24" t="n">
        <x:v>106.74258276335543</x:v>
      </x:c>
      <x:c r="H194" s="24" t="n">
        <x:v>11.787232184213984</x:v>
      </x:c>
      <x:c r="I194" s="24" t="n">
        <x:v>26.23470167116157</x:v>
      </x:c>
      <x:c r="J194" s="25" t="n">
        <x:v>424</x:v>
      </x:c>
      <x:c r="K194" s="25" t="n">
        <x:v>53</x:v>
      </x:c>
      <x:c r="L194" s="24" t="n">
        <x:v>30</x:v>
      </x:c>
      <x:c r="M194" s="24" t="n">
        <x:v>400</x:v>
      </x:c>
      <x:c r="N194" s="25" t="n">
        <x:v>199</x:v>
      </x:c>
      <x:c r="O194" s="25" t="n">
        <x:v>23</x:v>
      </x:c>
      <x:c r="P194" s="24" t="n">
        <x:v>264.9982879394701</x:v>
      </x:c>
      <x:c r="Q19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4"/>
      <x:c r="S194" t="str">
        <x:v>Preserve consumed record; new data/scope requires a new ID</x:v>
      </x:c>
      <x:c r="T194" t="str">
        <x:v>../Project Recherche Data/tpa-batch09-20260908/J1833-0338/run01/result.json</x:v>
      </x:c>
      <x:c r="U194" t="str">
        <x:v>b5fa8c5a3c64e90d24337781a0b138b53cbc6cd84fdb7d1271af8e1af4d9f1c7</x:v>
      </x:c>
      <x:c r="V194" t="str">
        <x:v>observed=215455cec01d4f50f4fa5e8d4ecb6f6edcba6dc862fd4b44e4637d601f21d518; calibration=93609320bc3a9d98f3bbb3cbcebd39ab7368d435610ba096ba46bd44b0570748</x:v>
      </x:c>
    </x:row>
    <x:row r="195" ht="15" hidden="0" customHeight="1">
      <x:c r="A195" t="str">
        <x:v>tpa-batch09-20260908-J0846-3533-run01</x:v>
      </x:c>
      <x:c r="B195" t="str">
        <x:v>J0846-3533</x:v>
      </x:c>
      <x:c r="C195" t="str">
        <x:v>TPA DR1; original circular search</x:v>
      </x:c>
      <x:c r="D195" t="str">
        <x:v>NO_TRIGGER</x:v>
      </x:c>
      <x:c r="E195" s="23" t="n">
        <x:v>156.89616627365317</x:v>
      </x:c>
      <x:c r="F195" t="str">
        <x:v>Strongest eligible grid peak; candidate status is separate</x:v>
      </x:c>
      <x:c r="G195" s="24" t="n">
        <x:v>320.06823702446394</x:v>
      </x:c>
      <x:c r="H195" s="24" t="n">
        <x:v>12.996385599810221</x:v>
      </x:c>
      <x:c r="I195" s="24" t="n">
        <x:v>26.244726754808656</x:v>
      </x:c>
      <x:c r="J195" s="25" t="n">
        <x:v>416</x:v>
      </x:c>
      <x:c r="K195" s="25" t="n">
        <x:v>52</x:v>
      </x:c>
      <x:c r="L195" s="24" t="n">
        <x:v>30</x:v>
      </x:c>
      <x:c r="M195" s="24" t="n">
        <x:v>400</x:v>
      </x:c>
      <x:c r="N195" s="25" t="n">
        <x:v>200</x:v>
      </x:c>
      <x:c r="O195" s="25" t="n">
        <x:v>4</x:v>
      </x:c>
      <x:c r="P195" s="24" t="n">
        <x:v>508.55414699567393</x:v>
      </x:c>
      <x:c r="Q19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5"/>
      <x:c r="S195" t="str">
        <x:v>Preserve consumed record; new data/scope requires a new ID</x:v>
      </x:c>
      <x:c r="T195" t="str">
        <x:v>../Project Recherche Data/tpa-batch09-20260908/J0846-3533/run01/result.json</x:v>
      </x:c>
      <x:c r="U195" t="str">
        <x:v>b043324140db3ec212b59de32502a31667a51cbae920e9241143573968bc1e57</x:v>
      </x:c>
      <x:c r="V195" t="str">
        <x:v>observed=fedd14a524b157d5b49081b377bd42ad18b6ae247aa43ad26686706b6d55a60d; calibration=a8fd8b4e92c5bce8ba51ff98850dddf7825b23499e69f62575f559d48c0b3300</x:v>
      </x:c>
    </x:row>
    <x:row r="196" ht="15" hidden="0" customHeight="1">
      <x:c r="A196" t="str">
        <x:v>tpa-batch09-20260908-J1740+1000-run01</x:v>
      </x:c>
      <x:c r="B196" t="str">
        <x:v>J1740+1000</x:v>
      </x:c>
      <x:c r="C196" t="str">
        <x:v>TPA DR1; original circular search</x:v>
      </x:c>
      <x:c r="D196" t="str">
        <x:v>NO_TRIGGER</x:v>
      </x:c>
      <x:c r="E196" s="23" t="n">
        <x:v>189.0495341514592</x:v>
      </x:c>
      <x:c r="F196" t="str">
        <x:v>Strongest eligible grid peak; candidate status is separate</x:v>
      </x:c>
      <x:c r="G196" s="24" t="n">
        <x:v>398.2752409184552</x:v>
      </x:c>
      <x:c r="H196" s="24" t="n">
        <x:v>7.483483912931453</x:v>
      </x:c>
      <x:c r="I196" s="24" t="n">
        <x:v>26.244726754808656</x:v>
      </x:c>
      <x:c r="J196" s="25" t="n">
        <x:v>416</x:v>
      </x:c>
      <x:c r="K196" s="25" t="n">
        <x:v>52</x:v>
      </x:c>
      <x:c r="L196" s="24" t="n">
        <x:v>30</x:v>
      </x:c>
      <x:c r="M196" s="24" t="n">
        <x:v>400</x:v>
      </x:c>
      <x:c r="N196" s="25" t="n">
        <x:v>200</x:v>
      </x:c>
      <x:c r="O196" s="25" t="n">
        <x:v>4</x:v>
      </x:c>
      <x:c r="P196" s="24" t="n">
        <x:v>499.78321848144435</x:v>
      </x:c>
      <x:c r="Q19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6"/>
      <x:c r="S196" t="str">
        <x:v>Preserve consumed record; new data/scope requires a new ID</x:v>
      </x:c>
      <x:c r="T196" t="str">
        <x:v>../Project Recherche Data/tpa-batch09-20260908/J1740+1000/run01/result.json</x:v>
      </x:c>
      <x:c r="U196" t="str">
        <x:v>943588f7aa543846df6e467486b043985ccc756dd7297c922b04802fd741b67d</x:v>
      </x:c>
      <x:c r="V196" t="str">
        <x:v>observed=629c1ace6686b9c546ba87141b64e8a394ec942b864fab90866ffc1eaee62ef6; calibration=59f8c653ac278cc5437f594d2fb34ccfc6dc2f7b79168397040a1f4c3170665d</x:v>
      </x:c>
    </x:row>
    <x:row r="197" ht="15" hidden="0" customHeight="1">
      <x:c r="A197" t="str">
        <x:v>tpa-batch09-20260908-J1919+0021-run01</x:v>
      </x:c>
      <x:c r="B197" t="str">
        <x:v>J1919+0021</x:v>
      </x:c>
      <x:c r="C197" t="str">
        <x:v>TPA DR1; original circular search</x:v>
      </x:c>
      <x:c r="D197" t="str">
        <x:v>NO_TRIGGER</x:v>
      </x:c>
      <x:c r="E197" s="23" t="n">
        <x:v>182.27198190931512</x:v>
      </x:c>
      <x:c r="F197" t="str">
        <x:v>Strongest eligible grid peak; candidate status is separate</x:v>
      </x:c>
      <x:c r="G197" s="24" t="n">
        <x:v>222.44653108880212</x:v>
      </x:c>
      <x:c r="H197" s="24" t="n">
        <x:v>7.683929793271689</x:v>
      </x:c>
      <x:c r="I197" s="24" t="n">
        <x:v>26.224626083101654</x:v>
      </x:c>
      <x:c r="J197" s="25" t="n">
        <x:v>435</x:v>
      </x:c>
      <x:c r="K197" s="25" t="n">
        <x:v>55</x:v>
      </x:c>
      <x:c r="L197" s="24" t="n">
        <x:v>30</x:v>
      </x:c>
      <x:c r="M197" s="24" t="n">
        <x:v>400</x:v>
      </x:c>
      <x:c r="N197" s="25" t="n">
        <x:v>198</x:v>
      </x:c>
      <x:c r="O197" s="25" t="n">
        <x:v>4</x:v>
      </x:c>
      <x:c r="P197" s="24" t="n">
        <x:v>556.6143907873874</x:v>
      </x:c>
      <x:c r="Q19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7"/>
      <x:c r="S197" t="str">
        <x:v>Preserve consumed record; new data/scope requires a new ID</x:v>
      </x:c>
      <x:c r="T197" t="str">
        <x:v>../Project Recherche Data/tpa-batch09-20260908/J1919+0021/run01/result.json</x:v>
      </x:c>
      <x:c r="U197" t="str">
        <x:v>149c3fe13cacc7015412abb59fbf1cc85f289a6c739dba50391413713dfb5a9d</x:v>
      </x:c>
      <x:c r="V197" t="str">
        <x:v>observed=66b95703c63ac47714e6a43aca2f44b2bd79652d4b72f4b484e894b6fb821d24; calibration=7bfd3c9d91ca519eec61e5d3822ee977d8d7721328ed77a52a36542522be9502</x:v>
      </x:c>
    </x:row>
    <x:row r="198" ht="15" hidden="0" customHeight="1">
      <x:c r="A198" t="str">
        <x:v>tpa-batch09-20260908-J1830-1059-run01</x:v>
      </x:c>
      <x:c r="B198" t="str">
        <x:v>J1830-1059</x:v>
      </x:c>
      <x:c r="C198" t="str">
        <x:v>TPA DR1; original circular search</x:v>
      </x:c>
      <x:c r="D198" t="str">
        <x:v>NO_TRIGGER</x:v>
      </x:c>
      <x:c r="E198" s="23" t="n">
        <x:v>42.71151506793051</x:v>
      </x:c>
      <x:c r="F198" t="str">
        <x:v>Strongest eligible grid peak; candidate status is separate</x:v>
      </x:c>
      <x:c r="G198" s="24" t="n">
        <x:v>102.3668728338841</x:v>
      </x:c>
      <x:c r="H198" s="24" t="n">
        <x:v>6.355214464383115</x:v>
      </x:c>
      <x:c r="I198" s="24" t="n">
        <x:v>26.173472399522357</x:v>
      </x:c>
      <x:c r="J198" s="25" t="n">
        <x:v>400</x:v>
      </x:c>
      <x:c r="K198" s="25" t="n">
        <x:v>50</x:v>
      </x:c>
      <x:c r="L198" s="24" t="n">
        <x:v>30</x:v>
      </x:c>
      <x:c r="M198" s="24" t="n">
        <x:v>400</x:v>
      </x:c>
      <x:c r="N198" s="25" t="n">
        <x:v>193</x:v>
      </x:c>
      <x:c r="O198" s="25" t="n">
        <x:v>22</x:v>
      </x:c>
      <x:c r="P198" s="24" t="n">
        <x:v>286.8248640994884</x:v>
      </x:c>
      <x:c r="Q19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8"/>
      <x:c r="S198" t="str">
        <x:v>Preserve consumed record; new data/scope requires a new ID</x:v>
      </x:c>
      <x:c r="T198" t="str">
        <x:v>../Project Recherche Data/tpa-batch09-20260908/J1830-1059/run01/result.json</x:v>
      </x:c>
      <x:c r="U198" t="str">
        <x:v>e110baac717ed00bd2adb733cd65056de2efff4fb261c0d7d5ab8ca33a29fcfc</x:v>
      </x:c>
      <x:c r="V198" t="str">
        <x:v>observed=8baa0d0da2906cd8f97974a365726ead3bfff50a8a3a52d61917bc1e5bf67d5a; calibration=dffbe025f665af017d956bddaa19c03a5e597f72aaf6bad4bfad66128e98ad0a</x:v>
      </x:c>
    </x:row>
    <x:row r="199" ht="15" hidden="0" customHeight="1">
      <x:c r="A199" t="str">
        <x:v>tpa-batch09-20260908-J1603-2712-run01</x:v>
      </x:c>
      <x:c r="B199" t="str">
        <x:v>J1603-2712</x:v>
      </x:c>
      <x:c r="C199" t="str">
        <x:v>TPA DR1; original circular search</x:v>
      </x:c>
      <x:c r="D199" t="str">
        <x:v>NO_TRIGGER</x:v>
      </x:c>
      <x:c r="E199" s="23" t="n">
        <x:v>114.56666339518627</x:v>
      </x:c>
      <x:c r="F199" t="str">
        <x:v>Strongest eligible grid peak; candidate status is separate</x:v>
      </x:c>
      <x:c r="G199" s="24" t="n">
        <x:v>258.31249573369973</x:v>
      </x:c>
      <x:c r="H199" s="24" t="n">
        <x:v>10.44276156273993</x:v>
      </x:c>
      <x:c r="I199" s="24" t="n">
        <x:v>26.244726754808656</x:v>
      </x:c>
      <x:c r="J199" s="25" t="n">
        <x:v>436</x:v>
      </x:c>
      <x:c r="K199" s="25" t="n">
        <x:v>56</x:v>
      </x:c>
      <x:c r="L199" s="24" t="n">
        <x:v>30</x:v>
      </x:c>
      <x:c r="M199" s="24" t="n">
        <x:v>400</x:v>
      </x:c>
      <x:c r="N199" s="25" t="n">
        <x:v>200</x:v>
      </x:c>
      <x:c r="O199" s="25" t="n">
        <x:v>4</x:v>
      </x:c>
      <x:c r="P199" s="24" t="n">
        <x:v>593.0176744056034</x:v>
      </x:c>
      <x:c r="Q19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199"/>
      <x:c r="S199" t="str">
        <x:v>Preserve consumed record; new data/scope requires a new ID</x:v>
      </x:c>
      <x:c r="T199" t="str">
        <x:v>../Project Recherche Data/tpa-batch09-20260908/J1603-2712/run01/result.json</x:v>
      </x:c>
      <x:c r="U199" t="str">
        <x:v>acc7c5bc751a590e396f31d508f19c21a34bf11a25f165ea15c81aa445677b00</x:v>
      </x:c>
      <x:c r="V199" t="str">
        <x:v>observed=a62126cfddd1327554f69b8bbd5837ef4973c8e846571ed7a421d783b23f7a16; calibration=a81da9052586a71e8bdd40169f60421da4a9b9cd4ae92461c8dd98bc648a3395</x:v>
      </x:c>
    </x:row>
    <x:row r="200" ht="15" hidden="0" customHeight="1">
      <x:c r="A200" t="str">
        <x:v>tpa-batch09-20260908-J1752-2806-run01</x:v>
      </x:c>
      <x:c r="B200" t="str">
        <x:v>J1752-2806</x:v>
      </x:c>
      <x:c r="C200" t="str">
        <x:v>TPA DR1; original circular search</x:v>
      </x:c>
      <x:c r="D200" t="str">
        <x:v>NO_TRIGGER</x:v>
      </x:c>
      <x:c r="E200" s="23" t="n">
        <x:v>110.97366280219946</x:v>
      </x:c>
      <x:c r="F200" t="str">
        <x:v>Strongest eligible grid peak; candidate status is separate</x:v>
      </x:c>
      <x:c r="G200" s="24" t="n">
        <x:v>303.5409325130532</x:v>
      </x:c>
      <x:c r="H200" s="24" t="n">
        <x:v>14.675179151724917</x:v>
      </x:c>
      <x:c r="I200" s="24" t="n">
        <x:v>26.204321340173617</x:v>
      </x:c>
      <x:c r="J200" s="25" t="n">
        <x:v>400</x:v>
      </x:c>
      <x:c r="K200" s="25" t="n">
        <x:v>50</x:v>
      </x:c>
      <x:c r="L200" s="24" t="n">
        <x:v>30</x:v>
      </x:c>
      <x:c r="M200" s="24" t="n">
        <x:v>400</x:v>
      </x:c>
      <x:c r="N200" s="25" t="n">
        <x:v>196</x:v>
      </x:c>
      <x:c r="O200" s="25" t="n">
        <x:v>17</x:v>
      </x:c>
      <x:c r="P200" s="24" t="n">
        <x:v>376.9051364288323</x:v>
      </x:c>
      <x:c r="Q20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0"/>
      <x:c r="S200" t="str">
        <x:v>Preserve consumed record; new data/scope requires a new ID</x:v>
      </x:c>
      <x:c r="T200" t="str">
        <x:v>../Project Recherche Data/tpa-batch09-20260908/J1752-2806/run01/result.json</x:v>
      </x:c>
      <x:c r="U200" t="str">
        <x:v>02cd731203a523040d38d05128406ba369c5f611040900a721fa1449e93ae2f5</x:v>
      </x:c>
      <x:c r="V200" t="str">
        <x:v>observed=1f1e41920dbf3c8c107b6ae64478f05cd1b76300778f96cb545509c0af777110; calibration=564996ed8a111375d197ffde6330d713015332c6e32ab3b858cfe029e53fb1d8</x:v>
      </x:c>
    </x:row>
    <x:row r="201" ht="15" hidden="0" customHeight="1">
      <x:c r="A201" t="str">
        <x:v>tpa-batch09-20260908-J1851+1259-run01</x:v>
      </x:c>
      <x:c r="B201" t="str">
        <x:v>J1851+1259</x:v>
      </x:c>
      <x:c r="C201" t="str">
        <x:v>TPA DR1; original circular search</x:v>
      </x:c>
      <x:c r="D201" t="str">
        <x:v>NO_TRIGGER</x:v>
      </x:c>
      <x:c r="E201" s="23" t="n">
        <x:v>90.9560912982145</x:v>
      </x:c>
      <x:c r="F201" t="str">
        <x:v>Strongest eligible grid peak; candidate status is separate</x:v>
      </x:c>
      <x:c r="G201" s="24" t="n">
        <x:v>307.23525934134705</x:v>
      </x:c>
      <x:c r="H201" s="24" t="n">
        <x:v>9.296735247451407</x:v>
      </x:c>
      <x:c r="I201" s="24" t="n">
        <x:v>26.224626083101654</x:v>
      </x:c>
      <x:c r="J201" s="25" t="n">
        <x:v>408</x:v>
      </x:c>
      <x:c r="K201" s="25" t="n">
        <x:v>51</x:v>
      </x:c>
      <x:c r="L201" s="24" t="n">
        <x:v>30</x:v>
      </x:c>
      <x:c r="M201" s="24" t="n">
        <x:v>400</x:v>
      </x:c>
      <x:c r="N201" s="25" t="n">
        <x:v>198</x:v>
      </x:c>
      <x:c r="O201" s="25" t="n">
        <x:v>4</x:v>
      </x:c>
      <x:c r="P201" s="24" t="n">
        <x:v>723.5987539332618</x:v>
      </x:c>
      <x:c r="Q201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1"/>
      <x:c r="S201" t="str">
        <x:v>Preserve consumed record; new data/scope requires a new ID</x:v>
      </x:c>
      <x:c r="T201" t="str">
        <x:v>../Project Recherche Data/tpa-batch09-20260908/J1851+1259/run01/result.json</x:v>
      </x:c>
      <x:c r="U201" t="str">
        <x:v>534d8eb3499f4634db4dd688d0e4bad3d1d84dfa247a5fdf67c215a1dfd9be18</x:v>
      </x:c>
      <x:c r="V201" t="str">
        <x:v>observed=2352478d5a38e019a807cb51326b9da899aae08eed1160c6b9ef06eb4a44aba4; calibration=32356b8ed01fccc4b445ac7e28f823e04ac06a1c1a5c8f1f4fcebf02da2fdbd8</x:v>
      </x:c>
    </x:row>
    <x:row r="202" ht="15" hidden="0" customHeight="1">
      <x:c r="A202" t="str">
        <x:v>tpa-batch09-20260908-J1825-1446-run01</x:v>
      </x:c>
      <x:c r="B202" t="str">
        <x:v>J1825-1446</x:v>
      </x:c>
      <x:c r="C202" t="str">
        <x:v>TPA DR1; original circular search</x:v>
      </x:c>
      <x:c r="D202" t="str">
        <x:v>NO_TRIGGER</x:v>
      </x:c>
      <x:c r="E202" s="23" t="n">
        <x:v>40.90090280499328</x:v>
      </x:c>
      <x:c r="F202" t="str">
        <x:v>Strongest eligible grid peak; candidate status is separate</x:v>
      </x:c>
      <x:c r="G202" s="24" t="n">
        <x:v>301.39487175906794</x:v>
      </x:c>
      <x:c r="H202" s="24" t="n">
        <x:v>15.887547424505225</x:v>
      </x:c>
      <x:c r="I202" s="24" t="n">
        <x:v>26.19409113884008</x:v>
      </x:c>
      <x:c r="J202" s="25" t="n">
        <x:v>376</x:v>
      </x:c>
      <x:c r="K202" s="25" t="n">
        <x:v>47</x:v>
      </x:c>
      <x:c r="L202" s="24" t="n">
        <x:v>30</x:v>
      </x:c>
      <x:c r="M202" s="24" t="n">
        <x:v>400</x:v>
      </x:c>
      <x:c r="N202" s="25" t="n">
        <x:v>195</x:v>
      </x:c>
      <x:c r="O202" s="25" t="n">
        <x:v>4</x:v>
      </x:c>
      <x:c r="P202" s="24" t="n">
        <x:v>564.1431464702991</x:v>
      </x:c>
      <x:c r="Q202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2"/>
      <x:c r="S202" t="str">
        <x:v>Preserve consumed record; new data/scope requires a new ID</x:v>
      </x:c>
      <x:c r="T202" t="str">
        <x:v>../Project Recherche Data/tpa-batch09-20260908/J1825-1446/run01/result.json</x:v>
      </x:c>
      <x:c r="U202" t="str">
        <x:v>ed7d7ea027bc9547d26f61bddf80ac6fd3f3335fd257ef66e2e68539944e7f77</x:v>
      </x:c>
      <x:c r="V202" t="str">
        <x:v>observed=e338db44b360a78213ff9e850c91f7d07abf1b9f46a3393fbde98ee42b3234cc; calibration=2e44b59b6c3a19faf9003d545a50caa0d3f634cf85ce8908885f67ad5708f38e</x:v>
      </x:c>
    </x:row>
    <x:row r="203" ht="15" hidden="0" customHeight="1">
      <x:c r="A203" t="str">
        <x:v>tpa-batch09-20260908-J1856-0526-run01</x:v>
      </x:c>
      <x:c r="B203" t="str">
        <x:v>J1856-0526</x:v>
      </x:c>
      <x:c r="C203" t="str">
        <x:v>TPA DR1; original circular search</x:v>
      </x:c>
      <x:c r="D203" t="str">
        <x:v>NO_TRIGGER</x:v>
      </x:c>
      <x:c r="E203" s="23" t="n">
        <x:v>35.06337365517426</x:v>
      </x:c>
      <x:c r="F203" t="str">
        <x:v>Strongest eligible grid peak; candidate status is separate</x:v>
      </x:c>
      <x:c r="G203" s="24" t="n">
        <x:v>313.1055339225018</x:v>
      </x:c>
      <x:c r="H203" s="24" t="n">
        <x:v>7.322318633189181</x:v>
      </x:c>
      <x:c r="I203" s="24" t="n">
        <x:v>26.44441742474809</x:v>
      </x:c>
      <x:c r="J203" s="25" t="n">
        <x:v>415</x:v>
      </x:c>
      <x:c r="K203" s="25" t="n">
        <x:v>56</x:v>
      </x:c>
      <x:c r="L203" s="24" t="n">
        <x:v>30</x:v>
      </x:c>
      <x:c r="M203" s="24" t="n">
        <x:v>400</x:v>
      </x:c>
      <x:c r="N203" s="25" t="n">
        <x:v>221</x:v>
      </x:c>
      <x:c r="O203" s="25" t="n">
        <x:v>4</x:v>
      </x:c>
      <x:c r="P203" s="24" t="n">
        <x:v>803.0543477505504</x:v>
      </x:c>
      <x:c r="Q203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3"/>
      <x:c r="S203" t="str">
        <x:v>Preserve consumed record; new data/scope requires a new ID</x:v>
      </x:c>
      <x:c r="T203" t="str">
        <x:v>../Project Recherche Data/tpa-batch09-20260908/J1856-0526/run01/result.json</x:v>
      </x:c>
      <x:c r="U203" t="str">
        <x:v>ccd5ea51a5361754aa5f594dc53cadc4414b658d37cb4f06c580fb896290c3ad</x:v>
      </x:c>
      <x:c r="V203" t="str">
        <x:v>observed=22df35ecd6401f83e319d8090c0bbc99a98c96fec0ff4a5b0bba34f50ba5d846; calibration=49e2d20015e8e8e95ed98e526c2ddcd9d0f7b33ff3043ca8a7fe2f86846dbe62</x:v>
      </x:c>
    </x:row>
    <x:row r="204" ht="15" hidden="0" customHeight="1">
      <x:c r="A204" t="str">
        <x:v>tpa-batch09-20260908-J2155-3118-run01</x:v>
      </x:c>
      <x:c r="B204" t="str">
        <x:v>J2155-3118</x:v>
      </x:c>
      <x:c r="C204" t="str">
        <x:v>TPA DR1; original circular search</x:v>
      </x:c>
      <x:c r="D204" t="str">
        <x:v>NO_TRIGGER</x:v>
      </x:c>
      <x:c r="E204" s="23" t="n">
        <x:v>32.05065087219575</x:v>
      </x:c>
      <x:c r="F204" t="str">
        <x:v>Strongest eligible grid peak; candidate status is separate</x:v>
      </x:c>
      <x:c r="G204" s="24" t="n">
        <x:v>533.9767184908637</x:v>
      </x:c>
      <x:c r="H204" s="24" t="n">
        <x:v>10.439546182230389</x:v>
      </x:c>
      <x:c r="I204" s="24" t="n">
        <x:v>26.183808339839242</x:v>
      </x:c>
      <x:c r="J204" s="25" t="n">
        <x:v>373</x:v>
      </x:c>
      <x:c r="K204" s="25" t="n">
        <x:v>52</x:v>
      </x:c>
      <x:c r="L204" s="24" t="n">
        <x:v>30</x:v>
      </x:c>
      <x:c r="M204" s="24" t="n">
        <x:v>400</x:v>
      </x:c>
      <x:c r="N204" s="25" t="n">
        <x:v>194</x:v>
      </x:c>
      <x:c r="O204" s="25" t="n">
        <x:v>4</x:v>
      </x:c>
      <x:c r="P204" s="24" t="n">
        <x:v>993.236537239858</x:v>
      </x:c>
      <x:c r="Q204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4"/>
      <x:c r="S204" t="str">
        <x:v>Preserve consumed record; new data/scope requires a new ID</x:v>
      </x:c>
      <x:c r="T204" t="str">
        <x:v>../Project Recherche Data/tpa-batch09-20260908/J2155-3118/run01/result.json</x:v>
      </x:c>
      <x:c r="U204" t="str">
        <x:v>8929550ac093e52a1a0bad1a3c51e6a450db552d0041e933e55102b9fba76310</x:v>
      </x:c>
      <x:c r="V204" t="str">
        <x:v>observed=f7d03335ae8f7d70102e32b5dae86a64cac634533761115cdf207aebdbd9cd29; calibration=650339961daa0a5aa044990ddc766b1adc128acbadafef42775000d125bf8992</x:v>
      </x:c>
    </x:row>
    <x:row r="205" ht="15" hidden="0" customHeight="1">
      <x:c r="A205" t="str">
        <x:v>tpa-batch09-20260908-J1945-0040-run01</x:v>
      </x:c>
      <x:c r="B205" t="str">
        <x:v>J1945-0040</x:v>
      </x:c>
      <x:c r="C205" t="str">
        <x:v>TPA DR1; original circular search</x:v>
      </x:c>
      <x:c r="D205" t="str">
        <x:v>NO_TRIGGER</x:v>
      </x:c>
      <x:c r="E205" s="23" t="n">
        <x:v>32.14917732343317</x:v>
      </x:c>
      <x:c r="F205" t="str">
        <x:v>Strongest eligible grid peak; candidate status is separate</x:v>
      </x:c>
      <x:c r="G205" s="24" t="n">
        <x:v>444.43894681168496</x:v>
      </x:c>
      <x:c r="H205" s="24" t="n">
        <x:v>7.352499259379428</x:v>
      </x:c>
      <x:c r="I205" s="24" t="n">
        <x:v>26.224626083101654</x:v>
      </x:c>
      <x:c r="J205" s="25" t="n">
        <x:v>415</x:v>
      </x:c>
      <x:c r="K205" s="25" t="n">
        <x:v>52</x:v>
      </x:c>
      <x:c r="L205" s="24" t="n">
        <x:v>30</x:v>
      </x:c>
      <x:c r="M205" s="24" t="n">
        <x:v>400</x:v>
      </x:c>
      <x:c r="N205" s="25" t="n">
        <x:v>198</x:v>
      </x:c>
      <x:c r="O205" s="25" t="n">
        <x:v>4</x:v>
      </x:c>
      <x:c r="P205" s="24" t="n">
        <x:v>1114.5597529827803</x:v>
      </x:c>
      <x:c r="Q205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5"/>
      <x:c r="S205" t="str">
        <x:v>Preserve consumed record; new data/scope requires a new ID</x:v>
      </x:c>
      <x:c r="T205" t="str">
        <x:v>../Project Recherche Data/tpa-batch09-20260908/J1945-0040/run01/result.json</x:v>
      </x:c>
      <x:c r="U205" t="str">
        <x:v>d3c7a4f102864660ed30b764fdaddb4c2d312971570b3406d62d0e2611cb2efd</x:v>
      </x:c>
      <x:c r="V205" t="str">
        <x:v>observed=d905774eea6b8300f1e54c2dfff08417ba7694f70c208d9363273e68c233499a; calibration=1c5460f3976abd898380a59e11fc6d3b4592e440109a5e9866fe160514b88d8b</x:v>
      </x:c>
    </x:row>
    <x:row r="206" ht="15" hidden="0" customHeight="1">
      <x:c r="A206" t="str">
        <x:v>tpa-batch09-20260908-J1921+1419-run01</x:v>
      </x:c>
      <x:c r="B206" t="str">
        <x:v>J1921+1419</x:v>
      </x:c>
      <x:c r="C206" t="str">
        <x:v>TPA DR1; original circular search</x:v>
      </x:c>
      <x:c r="D206" t="str">
        <x:v>NO_TRIGGER</x:v>
      </x:c>
      <x:c r="E206" s="23" t="n">
        <x:v>114.0531896140252</x:v>
      </x:c>
      <x:c r="F206" t="str">
        <x:v>Strongest eligible grid peak; candidate status is separate</x:v>
      </x:c>
      <x:c r="G206" s="24" t="n">
        <x:v>452.89385684848196</x:v>
      </x:c>
      <x:c r="H206" s="24" t="n">
        <x:v>8.551620673422239</x:v>
      </x:c>
      <x:c r="I206" s="24" t="n">
        <x:v>26.173472399522357</x:v>
      </x:c>
      <x:c r="J206" s="25" t="n">
        <x:v>406</x:v>
      </x:c>
      <x:c r="K206" s="25" t="n">
        <x:v>51</x:v>
      </x:c>
      <x:c r="L206" s="24" t="n">
        <x:v>30</x:v>
      </x:c>
      <x:c r="M206" s="24" t="n">
        <x:v>400</x:v>
      </x:c>
      <x:c r="N206" s="25" t="n">
        <x:v>193</x:v>
      </x:c>
      <x:c r="O206" s="25" t="n">
        <x:v>4</x:v>
      </x:c>
      <x:c r="P206" s="24" t="n">
        <x:v>1127.8244252494962</x:v>
      </x:c>
      <x:c r="Q206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6"/>
      <x:c r="S206" t="str">
        <x:v>Preserve consumed record; new data/scope requires a new ID</x:v>
      </x:c>
      <x:c r="T206" t="str">
        <x:v>../Project Recherche Data/tpa-batch09-20260908/J1921+1419/run01/result.json</x:v>
      </x:c>
      <x:c r="U206" t="str">
        <x:v>77cd244114d35010e853740994eadc843a9404f64c085d0eca39d753935322d1</x:v>
      </x:c>
      <x:c r="V206" t="str">
        <x:v>observed=6eaffc6685264df43b829e549140818a9317383a2ccef9b5ea979537f64672b1; calibration=b4694f386fdd6943eed52ba5e0b26bb9385417d4469c2c69988cc43b4eaad22c</x:v>
      </x:c>
    </x:row>
    <x:row r="207" ht="15" hidden="0" customHeight="1">
      <x:c r="A207" t="str">
        <x:v>tpa-batch09-20260908-J1905+0709-run01</x:v>
      </x:c>
      <x:c r="B207" t="str">
        <x:v>J1905+0709</x:v>
      </x:c>
      <x:c r="C207" t="str">
        <x:v>TPA DR1; original circular search</x:v>
      </x:c>
      <x:c r="D207" t="str">
        <x:v>NO_TRIGGER</x:v>
      </x:c>
      <x:c r="E207" s="23" t="n">
        <x:v>31.668047185729478</x:v>
      </x:c>
      <x:c r="F207" t="str">
        <x:v>Strongest eligible grid peak; candidate status is separate</x:v>
      </x:c>
      <x:c r="G207" s="24" t="n">
        <x:v>774.0490258212939</x:v>
      </x:c>
      <x:c r="H207" s="24" t="n">
        <x:v>8.364453845347786</x:v>
      </x:c>
      <x:c r="I207" s="24" t="n">
        <x:v>26.224626083101654</x:v>
      </x:c>
      <x:c r="J207" s="25" t="n">
        <x:v>440</x:v>
      </x:c>
      <x:c r="K207" s="25" t="n">
        <x:v>55</x:v>
      </x:c>
      <x:c r="L207" s="24" t="n">
        <x:v>30</x:v>
      </x:c>
      <x:c r="M207" s="24" t="n">
        <x:v>400</x:v>
      </x:c>
      <x:c r="N207" s="25" t="n">
        <x:v>198</x:v>
      </x:c>
      <x:c r="O207" s="25" t="n">
        <x:v>4</x:v>
      </x:c>
      <x:c r="P207" s="24" t="n">
        <x:v>1264.1159530446985</x:v>
      </x:c>
      <x:c r="Q207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7"/>
      <x:c r="S207" t="str">
        <x:v>Preserve consumed record; new data/scope requires a new ID</x:v>
      </x:c>
      <x:c r="T207" t="str">
        <x:v>../Project Recherche Data/tpa-batch09-20260908/J1905+0709/run01/result.json</x:v>
      </x:c>
      <x:c r="U207" t="str">
        <x:v>0ee55daa000331411952682cc259e4d3d341f3da4ed6324ee38b23edf4ca2fb1</x:v>
      </x:c>
      <x:c r="V207" t="str">
        <x:v>observed=b58bac9ae443559298deab58c3785485633483a4ed2315ac5e86fbb7ae959050; calibration=ad958530e50824c6109c5a73581f33bc7f106a2ee057a252370966e15fbf736b</x:v>
      </x:c>
    </x:row>
    <x:row r="208" ht="15" hidden="0" customHeight="1">
      <x:c r="A208" t="str">
        <x:v>tpa-batch09-20260908-J1825-0935-run01</x:v>
      </x:c>
      <x:c r="B208" t="str">
        <x:v>J1825-0935</x:v>
      </x:c>
      <x:c r="C208" t="str">
        <x:v>TPA DR1; original circular search</x:v>
      </x:c>
      <x:c r="D208" t="str">
        <x:v>NO_TRIGGER</x:v>
      </x:c>
      <x:c r="E208" s="23" t="n">
        <x:v>40.51965275906369</x:v>
      </x:c>
      <x:c r="F208" t="str">
        <x:v>Strongest eligible grid peak; candidate status is separate</x:v>
      </x:c>
      <x:c r="G208" s="24" t="n">
        <x:v>400.583247995178</x:v>
      </x:c>
      <x:c r="H208" s="24" t="n">
        <x:v>6.00264332509312</x:v>
      </x:c>
      <x:c r="I208" s="24" t="n">
        <x:v>26.506783279621466</x:v>
      </x:c>
      <x:c r="J208" s="25" t="n">
        <x:v>456</x:v>
      </x:c>
      <x:c r="K208" s="25" t="n">
        <x:v>57</x:v>
      </x:c>
      <x:c r="L208" s="24" t="n">
        <x:v>30</x:v>
      </x:c>
      <x:c r="M208" s="24" t="n">
        <x:v>400</x:v>
      </x:c>
      <x:c r="N208" s="25" t="n">
        <x:v>228</x:v>
      </x:c>
      <x:c r="O208" s="25" t="n">
        <x:v>10</x:v>
      </x:c>
      <x:c r="P208" s="24" t="n">
        <x:v>1211.1589977993092</x:v>
      </x:c>
      <x:c r="Q208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8"/>
      <x:c r="S208" t="str">
        <x:v>Preserve consumed record; new data/scope requires a new ID</x:v>
      </x:c>
      <x:c r="T208" t="str">
        <x:v>../Project Recherche Data/tpa-batch09-20260908/J1825-0935/run01/result.json</x:v>
      </x:c>
      <x:c r="U208" t="str">
        <x:v>d09fec052cfaa5c1b4acd55e758db89afb0a7264e714cd47e0dfd0d60cc0fbba</x:v>
      </x:c>
      <x:c r="V208" t="str">
        <x:v>observed=b249849ddc6f7f3e368a45124c9ac17c7869f35d68bd8c5e7568fe420ef812ce; calibration=b46ac1f1f20113f18b7ec7132256dda54e436d7cefc20402300f7f8b4414aa47</x:v>
      </x:c>
    </x:row>
    <x:row r="209" ht="15" hidden="0" customHeight="1">
      <x:c r="A209" t="str">
        <x:v>tpa-batch09-20260908-J1946+1805-run01</x:v>
      </x:c>
      <x:c r="B209" t="str">
        <x:v>J1946+1805</x:v>
      </x:c>
      <x:c r="C209" t="str">
        <x:v>TPA DR1; original circular search</x:v>
      </x:c>
      <x:c r="D209" t="str">
        <x:v>NO_TRIGGER</x:v>
      </x:c>
      <x:c r="E209" s="23" t="n">
        <x:v>35.17005999568394</x:v>
      </x:c>
      <x:c r="F209" t="str">
        <x:v>Strongest eligible grid peak; candidate status is separate</x:v>
      </x:c>
      <x:c r="G209" s="24" t="n">
        <x:v>583.8323545243288</x:v>
      </x:c>
      <x:c r="H209" s="24" t="n">
        <x:v>7.101754106369697</x:v>
      </x:c>
      <x:c r="I209" s="24" t="n">
        <x:v>26.224626083101654</x:v>
      </x:c>
      <x:c r="J209" s="25" t="n">
        <x:v>408</x:v>
      </x:c>
      <x:c r="K209" s="25" t="n">
        <x:v>51</x:v>
      </x:c>
      <x:c r="L209" s="24" t="n">
        <x:v>30</x:v>
      </x:c>
      <x:c r="M209" s="24" t="n">
        <x:v>400</x:v>
      </x:c>
      <x:c r="N209" s="25" t="n">
        <x:v>198</x:v>
      </x:c>
      <x:c r="O209" s="25" t="n">
        <x:v>4</x:v>
      </x:c>
      <x:c r="P209" s="24" t="n">
        <x:v>1415.5993873276893</x:v>
      </x:c>
      <x:c r="Q209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09"/>
      <x:c r="S209" t="str">
        <x:v>Preserve consumed record; new data/scope requires a new ID</x:v>
      </x:c>
      <x:c r="T209" t="str">
        <x:v>../Project Recherche Data/tpa-batch09-20260908/J1946+1805/run01/result.json</x:v>
      </x:c>
      <x:c r="U209" t="str">
        <x:v>7e90b73b6d01f78c17da8654135a7860efb529ab242830ad68d98cce542ac865</x:v>
      </x:c>
      <x:c r="V209" t="str">
        <x:v>observed=f792d8638c381bda699eef27154fa9ec0a3e958f26edfb2c6983cd9252dc520c; calibration=c720ec7427d56bb0d794e3fce826a5840c6a6280e7a3282a0c716fcb8aa5dfd2</x:v>
      </x:c>
    </x:row>
    <x:row r="210" ht="15" hidden="0" customHeight="1">
      <x:c r="A210" t="str">
        <x:v>tpa-batch09-20260908-J1921+1948-run01</x:v>
      </x:c>
      <x:c r="B210" t="str">
        <x:v>J1921+1948</x:v>
      </x:c>
      <x:c r="C210" t="str">
        <x:v>TPA DR1; original circular search</x:v>
      </x:c>
      <x:c r="D210" t="str">
        <x:v>NO_TRIGGER</x:v>
      </x:c>
      <x:c r="E210" s="23" t="n">
        <x:v>43.60850291674097</x:v>
      </x:c>
      <x:c r="F210" t="str">
        <x:v>Strongest eligible grid peak; candidate status is separate</x:v>
      </x:c>
      <x:c r="G210" s="24" t="n">
        <x:v>621.2693654766567</x:v>
      </x:c>
      <x:c r="H210" s="24" t="n">
        <x:v>9.043310235635811</x:v>
      </x:c>
      <x:c r="I210" s="24" t="n">
        <x:v>26.224626083101654</x:v>
      </x:c>
      <x:c r="J210" s="25" t="n">
        <x:v>432</x:v>
      </x:c>
      <x:c r="K210" s="25" t="n">
        <x:v>54</x:v>
      </x:c>
      <x:c r="L210" s="24" t="n">
        <x:v>30</x:v>
      </x:c>
      <x:c r="M210" s="24" t="n">
        <x:v>400</x:v>
      </x:c>
      <x:c r="N210" s="25" t="n">
        <x:v>198</x:v>
      </x:c>
      <x:c r="O210" s="25" t="n">
        <x:v>4</x:v>
      </x:c>
      <x:c r="P210" s="24" t="n">
        <x:v>1404.6794770572542</x:v>
      </x:c>
      <x:c r="Q210" t="str">
        <x:v>Fixed published noise and epoch DM. Conditional Gaussian fixed covariance/design; 1.0% union-bound allowance for at most 25 fixed grids. 95% detection probability; circular on-grid signal; fixed published noise; not a posterior upper limit</x:v>
      </x:c>
      <x:c r="R210"/>
      <x:c r="S210" t="str">
        <x:v>Preserve consumed record; new data/scope requires a new ID</x:v>
      </x:c>
      <x:c r="T210" t="str">
        <x:v>../Project Recherche Data/tpa-batch09-20260908/J1921+1948/run01/result.json</x:v>
      </x:c>
      <x:c r="U210" t="str">
        <x:v>e44e919838c585c6cb02cb8772e4e74828e7d9059df01bcc34a1766a83534cc9</x:v>
      </x:c>
      <x:c r="V210" t="str">
        <x:v>observed=79bd5702050c399d7f97772b6ce305302587f3f068682e9f4062de3599c9754b; calibration=28b1b252cbdb4af7435cc8ec451b37dbf9cca68c5258bf634f7e008f697b45b2</x:v>
      </x:c>
    </x:row>
    <x:row r="211" ht="15" hidden="0" customHeight="1">
      <x:c r="A211" t="str">
        <x:v>tpa-batch10-20260908-J2006-0807-run01</x:v>
      </x:c>
      <x:c r="B211" t="str">
        <x:v>J2006-0807</x:v>
      </x:c>
      <x:c r="C211" t="str">
        <x:v>TPA DR1; original circular search</x:v>
      </x:c>
      <x:c r="D211" t="str">
        <x:v>NO_TRIGGER</x:v>
      </x:c>
      <x:c r="E211" s="23" t="n">
        <x:v>46.917831735812804</x:v>
      </x:c>
      <x:c r="F211" t="str">
        <x:v>Strongest eligible grid peak; candidate status is separate</x:v>
      </x:c>
      <x:c r="G211" s="24" t="n">
        <x:v>607.834103769264</x:v>
      </x:c>
      <x:c r="H211" s="24" t="n">
        <x:v>8.537098180314105</x:v>
      </x:c>
      <x:c r="I211" s="24" t="n">
        <x:v>23.339858427559786</x:v>
      </x:c>
      <x:c r="J211" s="25" t="n">
        <x:v>391</x:v>
      </x:c>
      <x:c r="K211" s="25" t="n">
        <x:v>53</x:v>
      </x:c>
      <x:c r="L211" s="24" t="n">
        <x:v>30</x:v>
      </x:c>
      <x:c r="M211" s="24" t="n">
        <x:v>400</x:v>
      </x:c>
      <x:c r="N211" s="25" t="n">
        <x:v>195</x:v>
      </x:c>
      <x:c r="O211" s="25" t="n">
        <x:v>4</x:v>
      </x:c>
      <x:c r="P211" s="24" t="n">
        <x:v>1469.3842504535266</x:v>
      </x:c>
      <x:c r="Q211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1"/>
      <x:c r="S211" t="str">
        <x:v>Preserve consumed record; new data/scope requires a new ID</x:v>
      </x:c>
      <x:c r="T211" t="str">
        <x:v>../Project Recherche Data/tpa-batch10-20260908/J2006-0807/run01/result.json</x:v>
      </x:c>
      <x:c r="U211" t="str">
        <x:v>d3d9b855433fc6c1aaf46eb15d63d457523d73205f626a001297bd61b8f8888c</x:v>
      </x:c>
      <x:c r="V211" t="str">
        <x:v>observed=cf772fcbe08c9c5af326fef588cf82b0b064a86b7e0a571e4ef38f8a24642c6a; calibration=aae4f4d26c599590332b6375608043fc78eebd94e94fbf07ffb4713d3b54e52c</x:v>
      </x:c>
    </x:row>
    <x:row r="212" ht="15" hidden="0" customHeight="1">
      <x:c r="A212" t="str">
        <x:v>tpa-batch10-20260908-J1827-0750-run01</x:v>
      </x:c>
      <x:c r="B212" t="str">
        <x:v>J1827-0750</x:v>
      </x:c>
      <x:c r="C212" t="str">
        <x:v>TPA DR1; original circular search</x:v>
      </x:c>
      <x:c r="D212" t="str">
        <x:v>NO_TRIGGER</x:v>
      </x:c>
      <x:c r="E212" s="23" t="n">
        <x:v>32.49305557104864</x:v>
      </x:c>
      <x:c r="F212" t="str">
        <x:v>Strongest eligible grid peak; candidate status is separate</x:v>
      </x:c>
      <x:c r="G212" s="24" t="n">
        <x:v>422.5490349846995</x:v>
      </x:c>
      <x:c r="H212" s="24" t="n">
        <x:v>14.067779299922035</x:v>
      </x:c>
      <x:c r="I212" s="24" t="n">
        <x:v>23.380468959881277</x:v>
      </x:c>
      <x:c r="J212" s="25" t="n">
        <x:v>432</x:v>
      </x:c>
      <x:c r="K212" s="25" t="n">
        <x:v>54</x:v>
      </x:c>
      <x:c r="L212" s="24" t="n">
        <x:v>30</x:v>
      </x:c>
      <x:c r="M212" s="24" t="n">
        <x:v>400</x:v>
      </x:c>
      <x:c r="N212" s="25" t="n">
        <x:v>199</x:v>
      </x:c>
      <x:c r="O212" s="25" t="n">
        <x:v>31</x:v>
      </x:c>
      <x:c r="P212" s="24" t="n">
        <x:v>801.9638670696246</x:v>
      </x:c>
      <x:c r="Q212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2"/>
      <x:c r="S212" t="str">
        <x:v>Preserve consumed record; new data/scope requires a new ID</x:v>
      </x:c>
      <x:c r="T212" t="str">
        <x:v>../Project Recherche Data/tpa-batch10-20260908/J1827-0750/run01/result.json</x:v>
      </x:c>
      <x:c r="U212" t="str">
        <x:v>cc895988d12daffd3af17e2fc8cc3b5d57a8902b2b6536b929a063c925a649f8</x:v>
      </x:c>
      <x:c r="V212" t="str">
        <x:v>observed=f6edf1bbe27f0db7dc34af2daaa9841e270e4124b8e69f7c584998fa4bf072cc; calibration=9cd91b433942e913ffba75e0f01af44df24b48831bf241fa43f755e389c02d1c</x:v>
      </x:c>
    </x:row>
    <x:row r="213" ht="15" hidden="0" customHeight="1">
      <x:c r="A213" t="str">
        <x:v>tpa-batch10-20260908-J1543+0929-run01</x:v>
      </x:c>
      <x:c r="B213" t="str">
        <x:v>J1543+0929</x:v>
      </x:c>
      <x:c r="C213" t="str">
        <x:v>TPA DR1; original circular search</x:v>
      </x:c>
      <x:c r="D213" t="str">
        <x:v>NO_TRIGGER</x:v>
      </x:c>
      <x:c r="E213" s="23" t="n">
        <x:v>103.23776490264551</x:v>
      </x:c>
      <x:c r="F213" t="str">
        <x:v>Strongest eligible grid peak; candidate status is separate</x:v>
      </x:c>
      <x:c r="G213" s="24" t="n">
        <x:v>780.112254332458</x:v>
      </x:c>
      <x:c r="H213" s="24" t="n">
        <x:v>12.967646208661012</x:v>
      </x:c>
      <x:c r="I213" s="24" t="n">
        <x:v>23.380468959881277</x:v>
      </x:c>
      <x:c r="J213" s="25" t="n">
        <x:v>415</x:v>
      </x:c>
      <x:c r="K213" s="25" t="n">
        <x:v>52</x:v>
      </x:c>
      <x:c r="L213" s="24" t="n">
        <x:v>30</x:v>
      </x:c>
      <x:c r="M213" s="24" t="n">
        <x:v>400</x:v>
      </x:c>
      <x:c r="N213" s="25" t="n">
        <x:v>199</x:v>
      </x:c>
      <x:c r="O213" s="25" t="n">
        <x:v>4</x:v>
      </x:c>
      <x:c r="P213" s="24" t="n">
        <x:v>1457.5453276785086</x:v>
      </x:c>
      <x:c r="Q213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3"/>
      <x:c r="S213" t="str">
        <x:v>Preserve consumed record; new data/scope requires a new ID</x:v>
      </x:c>
      <x:c r="T213" t="str">
        <x:v>../Project Recherche Data/tpa-batch10-20260908/J1543+0929/run01/result.json</x:v>
      </x:c>
      <x:c r="U213" t="str">
        <x:v>36a7245ece9e232b14bb870a5270722fcc14f910bfff7ca942ce37a6e4982d23</x:v>
      </x:c>
      <x:c r="V213" t="str">
        <x:v>observed=a5e73168043fb0c13f0f991791bd3830a246629143d237c5339e1d637b902b8d; calibration=3b9add3c6777c5ac4f199150b3634a311d6403952b75c08b13ac27e70dbd87e2</x:v>
      </x:c>
    </x:row>
    <x:row r="214" ht="15" hidden="0" customHeight="1">
      <x:c r="A214" t="str">
        <x:v>tpa-batch10-20260908-J1842-0359-run01</x:v>
      </x:c>
      <x:c r="B214" t="str">
        <x:v>J1842-0359</x:v>
      </x:c>
      <x:c r="C214" t="str">
        <x:v>TPA DR1; original circular search</x:v>
      </x:c>
      <x:c r="D214" t="str">
        <x:v>NO_TRIGGER</x:v>
      </x:c>
      <x:c r="E214" s="23" t="n">
        <x:v>63.37644050158589</x:v>
      </x:c>
      <x:c r="F214" t="str">
        <x:v>Strongest eligible grid peak; candidate status is separate</x:v>
      </x:c>
      <x:c r="G214" s="24" t="n">
        <x:v>929.5420068120873</x:v>
      </x:c>
      <x:c r="H214" s="24" t="n">
        <x:v>12.633311402534872</x:v>
      </x:c>
      <x:c r="I214" s="24" t="n">
        <x:v>23.380468959881277</x:v>
      </x:c>
      <x:c r="J214" s="25" t="n">
        <x:v>440</x:v>
      </x:c>
      <x:c r="K214" s="25" t="n">
        <x:v>55</x:v>
      </x:c>
      <x:c r="L214" s="24" t="n">
        <x:v>30</x:v>
      </x:c>
      <x:c r="M214" s="24" t="n">
        <x:v>400</x:v>
      </x:c>
      <x:c r="N214" s="25" t="n">
        <x:v>199</x:v>
      </x:c>
      <x:c r="O214" s="25" t="n">
        <x:v>4</x:v>
      </x:c>
      <x:c r="P214" s="24" t="n">
        <x:v>2103.059194961646</x:v>
      </x:c>
      <x:c r="Q214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4"/>
      <x:c r="S214" t="str">
        <x:v>Preserve consumed record; new data/scope requires a new ID</x:v>
      </x:c>
      <x:c r="T214" t="str">
        <x:v>../Project Recherche Data/tpa-batch10-20260908/J1842-0359/run01/result.json</x:v>
      </x:c>
      <x:c r="U214" t="str">
        <x:v>8616147755a9f27aade577c1185698b77cc58402916aa612ab5ec2e521894e8d</x:v>
      </x:c>
      <x:c r="V214" t="str">
        <x:v>observed=49c1925c029d3cf3ec4900c014fb2d54a1bfca9834f8e6c66b12ef6e0b023d7d; calibration=ffd0e2eac36c1ed817b81bc5b0ac24b4854b1adc62391ea14638cb955255f1e6</x:v>
      </x:c>
    </x:row>
    <x:row r="215" ht="15" hidden="0" customHeight="1">
      <x:c r="A215" t="str">
        <x:v>tpa-batch10-20260908-J0729-1448-run01</x:v>
      </x:c>
      <x:c r="B215" t="str">
        <x:v>J0729-1448</x:v>
      </x:c>
      <x:c r="C215" t="str">
        <x:v>TPA DR1; original circular search</x:v>
      </x:c>
      <x:c r="D215" t="str">
        <x:v>NO_TRIGGER</x:v>
      </x:c>
      <x:c r="E215" s="23" t="n">
        <x:v>96.47276382738656</x:v>
      </x:c>
      <x:c r="F215" t="str">
        <x:v>Strongest eligible grid peak; candidate status is separate</x:v>
      </x:c>
      <x:c r="G215" s="24" t="n">
        <x:v>846.2956759502653</x:v>
      </x:c>
      <x:c r="H215" s="24" t="n">
        <x:v>8.71915629988196</x:v>
      </x:c>
      <x:c r="I215" s="24" t="n">
        <x:v>23.32957562855895</x:v>
      </x:c>
      <x:c r="J215" s="25" t="n">
        <x:v>397</x:v>
      </x:c>
      <x:c r="K215" s="25" t="n">
        <x:v>50</x:v>
      </x:c>
      <x:c r="L215" s="24" t="n">
        <x:v>30</x:v>
      </x:c>
      <x:c r="M215" s="24" t="n">
        <x:v>400</x:v>
      </x:c>
      <x:c r="N215" s="25" t="n">
        <x:v>194</x:v>
      </x:c>
      <x:c r="O215" s="25" t="n">
        <x:v>36</x:v>
      </x:c>
      <x:c r="P215" s="24" t="n">
        <x:v>732.0483122785408</x:v>
      </x:c>
      <x:c r="Q215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5"/>
      <x:c r="S215" t="str">
        <x:v>Preserve consumed record; new data/scope requires a new ID</x:v>
      </x:c>
      <x:c r="T215" t="str">
        <x:v>../Project Recherche Data/tpa-batch10-20260908/J0729-1448/run01/result.json</x:v>
      </x:c>
      <x:c r="U215" t="str">
        <x:v>74da1a879eb9c9511118597a72d8e5f889f9b8fd5b8dbff944fe09f469422e51</x:v>
      </x:c>
      <x:c r="V215" t="str">
        <x:v>observed=f1cee97f358c0fd33de7a8454d159df31e7a0da123847fe224de5da703fdb7df; calibration=d98eb4af430d0cccd1f8584faac521ca8148f69f2e7f31f2d3ae7aadeb13689a</x:v>
      </x:c>
    </x:row>
    <x:row r="216" ht="15" hidden="0" customHeight="1">
      <x:c r="A216" t="str">
        <x:v>tpa-batch10-20260908-J1750-3503-run01</x:v>
      </x:c>
      <x:c r="B216" t="str">
        <x:v>J1750-3503</x:v>
      </x:c>
      <x:c r="C216" t="str">
        <x:v>TPA DR1; original circular search</x:v>
      </x:c>
      <x:c r="D216" t="str">
        <x:v>NO_TRIGGER</x:v>
      </x:c>
      <x:c r="E216" s="23" t="n">
        <x:v>71.63984481806374</x:v>
      </x:c>
      <x:c r="F216" t="str">
        <x:v>Strongest eligible grid peak; candidate status is separate</x:v>
      </x:c>
      <x:c r="G216" s="24" t="n">
        <x:v>1485.9721114544918</x:v>
      </x:c>
      <x:c r="H216" s="24" t="n">
        <x:v>5.222400022542835</x:v>
      </x:c>
      <x:c r="I216" s="24" t="n">
        <x:v>23.400469126550444</x:v>
      </x:c>
      <x:c r="J216" s="25" t="n">
        <x:v>373</x:v>
      </x:c>
      <x:c r="K216" s="25" t="n">
        <x:v>54</x:v>
      </x:c>
      <x:c r="L216" s="24" t="n">
        <x:v>30</x:v>
      </x:c>
      <x:c r="M216" s="24" t="n">
        <x:v>400</x:v>
      </x:c>
      <x:c r="N216" s="25" t="n">
        <x:v>201</x:v>
      </x:c>
      <x:c r="O216" s="25" t="n">
        <x:v>4</x:v>
      </x:c>
      <x:c r="P216" s="24" t="n">
        <x:v>4069.2990403735257</x:v>
      </x:c>
      <x:c r="Q216" t="str">
        <x:v>Fixed published noise and epoch DM. Conditional Gaussian fixed covariance/design; 1.0% union-bound allowance for at most 6 fixed grids. 95% detection probability; circular on-grid signal; fixed published noise; not a posterior upper limit</x:v>
      </x:c>
      <x:c r="R216"/>
      <x:c r="S216" t="str">
        <x:v>Preserve consumed record; new data/scope requires a new ID</x:v>
      </x:c>
      <x:c r="T216" t="str">
        <x:v>../Project Recherche Data/tpa-batch10-20260908/J1750-3503/run01/result.json</x:v>
      </x:c>
      <x:c r="U216" t="str">
        <x:v>8de300099fff9e4d29897ec2c0d25654fd213eae670805890a6c28e5133ab1ff</x:v>
      </x:c>
      <x:c r="V216" t="str">
        <x:v>observed=86d1bedd4bbf9117be18a3cdef8ab9d7d9960f5024153cb576f0d35ae031895e; calibration=3ff8564bfc952a1239481d48439fd6e66f4368958813f7c2e91610ee3424de0b</x:v>
      </x:c>
    </x:row>
    <x:row r="217" ht="15" hidden="0" customHeight="1">
      <x:c r="A217" t="str">
        <x:v>ng15-batch01-20260908-J1911+1347-run01</x:v>
      </x:c>
      <x:c r="B217" t="str">
        <x:v>J1911+1347</x:v>
      </x:c>
      <x:c r="C217" t="str">
        <x:v>NANOGrav15 v2.1.0; wideband circular search</x:v>
      </x:c>
      <x:c r="D217" t="str">
        <x:v>NO_TRIGGER</x:v>
      </x:c>
      <x:c r="E217" s="23" t="n">
        <x:v>57.76102731572721</x:v>
      </x:c>
      <x:c r="F217" t="str">
        <x:v>Strongest eligible grid peak; candidate status is separate</x:v>
      </x:c>
      <x:c r="G217" s="24" t="n">
        <x:v>0.154521705423378</x:v>
      </x:c>
      <x:c r="H217" s="24" t="n">
        <x:v>9.728283110196159</x:v>
      </x:c>
      <x:c r="I217" s="24" t="n">
        <x:v>26.821690260053348</x:v>
      </x:c>
      <x:c r="J217" s="25" t="n">
        <x:v>126</x:v>
      </x:c>
      <x:c r="K217" s="25" t="n">
        <x:v>70</x:v>
      </x:c>
      <x:c r="L217" s="24" t="n">
        <x:v>30</x:v>
      </x:c>
      <x:c r="M217" s="24" t="n">
        <x:v>1276.5187036775715</x:v>
      </x:c>
      <x:c r="N217" s="25" t="n">
        <x:v>417</x:v>
      </x:c>
      <x:c r="O217" s="25" t="n">
        <x:v>10</x:v>
      </x:c>
      <x:c r="P217" s="24" t="n">
        <x:v>0.36649546629631236</x:v>
      </x:c>
      <x:c r="Q217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17"/>
      <x:c r="S217" t="str">
        <x:v>Preserve consumed record; new data/scope requires a new ID</x:v>
      </x:c>
      <x:c r="T217" t="str">
        <x:v>../Project Recherche Data/ng15-batch01-20260908/J1911+1347/run01/result.json</x:v>
      </x:c>
      <x:c r="U217" t="str">
        <x:v>3336277e40d1f314ff3267ac565cc50d89d9a3cc2106938eb286934b1bbf28b1</x:v>
      </x:c>
      <x:c r="V217" t="str">
        <x:v>observed=8aff4317ba6a6686a123cb7a383e3368ed9d66865dd556cf389e94f80884818c; calibration=06fbf8b62d7f223f3aef15b44a82622e3111d9daa0947eed353982212f0bb084</x:v>
      </x:c>
    </x:row>
    <x:row r="218" ht="15" hidden="0" customHeight="1">
      <x:c r="A218" t="str">
        <x:v>ng15-batch01-20260908-J0645+5158-run01</x:v>
      </x:c>
      <x:c r="B218" t="str">
        <x:v>J0645+5158</x:v>
      </x:c>
      <x:c r="C218" t="str">
        <x:v>NANOGrav15 v2.1.0; wideband circular search</x:v>
      </x:c>
      <x:c r="D218" t="str">
        <x:v>NO_TRIGGER</x:v>
      </x:c>
      <x:c r="E218" s="23" t="n">
        <x:v>43.72857969454669</x:v>
      </x:c>
      <x:c r="F218" t="str">
        <x:v>Strongest eligible grid peak; candidate status is separate</x:v>
      </x:c>
      <x:c r="G218" s="24" t="n">
        <x:v>0.2952890553447658</x:v>
      </x:c>
      <x:c r="H218" s="24" t="n">
        <x:v>26.221242559606758</x:v>
      </x:c>
      <x:c r="I218" s="24" t="n">
        <x:v>27.305041858939624</x:v>
      </x:c>
      <x:c r="J218" s="25" t="n">
        <x:v>289</x:v>
      </x:c>
      <x:c r="K218" s="25" t="n">
        <x:v>193</x:v>
      </x:c>
      <x:c r="L218" s="24" t="n">
        <x:v>30</x:v>
      </x:c>
      <x:c r="M218" s="24" t="n">
        <x:v>1617.9574486982274</x:v>
      </x:c>
      <x:c r="N218" s="25" t="n">
        <x:v>531</x:v>
      </x:c>
      <x:c r="O218" s="25" t="n">
        <x:v>12</x:v>
      </x:c>
      <x:c r="P218" s="24" t="n">
        <x:v>0.4234257505750306</x:v>
      </x:c>
      <x:c r="Q218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18"/>
      <x:c r="S218" t="str">
        <x:v>Preserve consumed record; new data/scope requires a new ID</x:v>
      </x:c>
      <x:c r="T218" t="str">
        <x:v>../Project Recherche Data/ng15-batch01-20260908/J0645+5158/run01/result.json</x:v>
      </x:c>
      <x:c r="U218" t="str">
        <x:v>efd4ff4064c17b9e724c6fe24fe20c573edde0bdcbf848f90f88f663a3a4e0e2</x:v>
      </x:c>
      <x:c r="V218" t="str">
        <x:v>observed=0e63c2e309160273ee87cfd9965253d99af7fdc101f9c1ba42dd19a2a124bf87; calibration=eab7dca00c816a2ab07af62fc0df194bf0e08453aa0a9573083b852cb613da51</x:v>
      </x:c>
    </x:row>
    <x:row r="219" ht="15" hidden="0" customHeight="1">
      <x:c r="A219" t="str">
        <x:v>ng15-batch01-20260908-J1923+2515-run01</x:v>
      </x:c>
      <x:c r="B219" t="str">
        <x:v>J1923+2515</x:v>
      </x:c>
      <x:c r="C219" t="str">
        <x:v>NANOGrav15 v2.1.0; wideband circular search</x:v>
      </x:c>
      <x:c r="D219" t="str">
        <x:v>NO_TRIGGER</x:v>
      </x:c>
      <x:c r="E219" s="23" t="n">
        <x:v>244.3292259747255</x:v>
      </x:c>
      <x:c r="F219" t="str">
        <x:v>Strongest eligible grid peak; candidate status is separate</x:v>
      </x:c>
      <x:c r="G219" s="24" t="n">
        <x:v>0.3909408628839917</x:v>
      </x:c>
      <x:c r="H219" s="24" t="n">
        <x:v>18.14859779165257</x:v>
      </x:c>
      <x:c r="I219" s="24" t="n">
        <x:v>27.327514005473475</x:v>
      </x:c>
      <x:c r="J219" s="25" t="n">
        <x:v>170</x:v>
      </x:c>
      <x:c r="K219" s="25" t="n">
        <x:v>92</x:v>
      </x:c>
      <x:c r="L219" s="24" t="n">
        <x:v>30</x:v>
      </x:c>
      <x:c r="M219" s="24" t="n">
        <x:v>1637.005814030661</x:v>
      </x:c>
      <x:c r="N219" s="25" t="n">
        <x:v>537</x:v>
      </x:c>
      <x:c r="O219" s="25" t="n">
        <x:v>12</x:v>
      </x:c>
      <x:c r="P219" s="24" t="n">
        <x:v>0.6687830664620452</x:v>
      </x:c>
      <x:c r="Q219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19"/>
      <x:c r="S219" t="str">
        <x:v>Preserve consumed record; new data/scope requires a new ID</x:v>
      </x:c>
      <x:c r="T219" t="str">
        <x:v>../Project Recherche Data/ng15-batch01-20260908/J1923+2515/run01/result.json</x:v>
      </x:c>
      <x:c r="U219" t="str">
        <x:v>73f743333d0d798bafb2da300f443926736bd70063df3499778111618e89ac66</x:v>
      </x:c>
      <x:c r="V219" t="str">
        <x:v>observed=4ba53bc6ee790a4ea7fb1351a3c2880369d2a9f5b31cb000f823d4514b12b564; calibration=5fa4fcd45c4e83ae9b5580bbc7c5933bd89e955bea64c70356cc8f1c5a54ede2</x:v>
      </x:c>
    </x:row>
    <x:row r="220" ht="15" hidden="0" customHeight="1">
      <x:c r="A220" t="str">
        <x:v>ng15-batch01-20260908-J1944+0907-run01</x:v>
      </x:c>
      <x:c r="B220" t="str">
        <x:v>J1944+0907</x:v>
      </x:c>
      <x:c r="C220" t="str">
        <x:v>NANOGrav15 v2.1.0; wideband circular search</x:v>
      </x:c>
      <x:c r="D220" t="str">
        <x:v>NO_TRIGGER</x:v>
      </x:c>
      <x:c r="E220" s="23" t="n">
        <x:v>823.9991815489631</x:v>
      </x:c>
      <x:c r="F220" t="str">
        <x:v>Strongest eligible grid peak; candidate status is separate</x:v>
      </x:c>
      <x:c r="G220" s="24" t="n">
        <x:v>0.3778203366314153</x:v>
      </x:c>
      <x:c r="H220" s="24" t="n">
        <x:v>16.493187498781566</x:v>
      </x:c>
      <x:c r="I220" s="24" t="n">
        <x:v>27.342356374148707</x:v>
      </x:c>
      <x:c r="J220" s="25" t="n">
        <x:v>180</x:v>
      </x:c>
      <x:c r="K220" s="25" t="n">
        <x:v>98</x:v>
      </x:c>
      <x:c r="L220" s="24" t="n">
        <x:v>30</x:v>
      </x:c>
      <x:c r="M220" s="24" t="n">
        <x:v>1647.998363097926</x:v>
      </x:c>
      <x:c r="N220" s="25" t="n">
        <x:v>541</x:v>
      </x:c>
      <x:c r="O220" s="25" t="n">
        <x:v>10</x:v>
      </x:c>
      <x:c r="P220" s="24" t="n">
        <x:v>0.6330766602329491</x:v>
      </x:c>
      <x:c r="Q220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0"/>
      <x:c r="S220" t="str">
        <x:v>Preserve consumed record; new data/scope requires a new ID</x:v>
      </x:c>
      <x:c r="T220" t="str">
        <x:v>../Project Recherche Data/ng15-batch01-20260908/J1944+0907/run01/result.json</x:v>
      </x:c>
      <x:c r="U220" t="str">
        <x:v>08cee2fdd7bd32bd13ebf5f5c0fd001c3a8edddc53c89f076926e6047e694b1d</x:v>
      </x:c>
      <x:c r="V220" t="str">
        <x:v>observed=76a1ecbfe07ded6158e7483d371026086dc3051bf90b0a01075351d4d0bc607b; calibration=3a55935a38f51cc6ca85fe1ba8068f419ed455e5a1cc1bee56db675dff5c5b05</x:v>
      </x:c>
    </x:row>
    <x:row r="221" ht="15" hidden="0" customHeight="1">
      <x:c r="A221" t="str">
        <x:v>ng15-batch01-20260908-J0340+4130-run01</x:v>
      </x:c>
      <x:c r="B221" t="str">
        <x:v>J0340+4130</x:v>
      </x:c>
      <x:c r="C221" t="str">
        <x:v>NANOGrav15 v2.1.0; wideband circular search</x:v>
      </x:c>
      <x:c r="D221" t="str">
        <x:v>NO_TRIGGER</x:v>
      </x:c>
      <x:c r="E221" s="23" t="n">
        <x:v>35.70566698891543</x:v>
      </x:c>
      <x:c r="F221" t="str">
        <x:v>Strongest eligible grid peak; candidate status is separate</x:v>
      </x:c>
      <x:c r="G221" s="24" t="n">
        <x:v>0.555408052724636</x:v>
      </x:c>
      <x:c r="H221" s="24" t="n">
        <x:v>9.890521056226424</x:v>
      </x:c>
      <x:c r="I221" s="24" t="n">
        <x:v>27.132046062620926</x:v>
      </x:c>
      <x:c r="J221" s="25" t="n">
        <x:v>228</x:v>
      </x:c>
      <x:c r="K221" s="25" t="n">
        <x:v>198</x:v>
      </x:c>
      <x:c r="L221" s="24" t="n">
        <x:v>30</x:v>
      </x:c>
      <x:c r="M221" s="24" t="n">
        <x:v>1485.3557467388819</x:v>
      </x:c>
      <x:c r="N221" s="25" t="n">
        <x:v>487</x:v>
      </x:c>
      <x:c r="O221" s="25" t="n">
        <x:v>8</x:v>
      </x:c>
      <x:c r="P221" s="24" t="n">
        <x:v>1.14251863565919</x:v>
      </x:c>
      <x:c r="Q221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1"/>
      <x:c r="S221" t="str">
        <x:v>Preserve consumed record; new data/scope requires a new ID</x:v>
      </x:c>
      <x:c r="T221" t="str">
        <x:v>../Project Recherche Data/ng15-batch01-20260908/J0340+4130/run01/result.json</x:v>
      </x:c>
      <x:c r="U221" t="str">
        <x:v>e1e60ee2ce1a0d79e38c191fc19d70cd481ed7c7aa7be7e69d82243d33dd5f92</x:v>
      </x:c>
      <x:c r="V221" t="str">
        <x:v>observed=e412525a3cbd691776ab9e424264458b886ea2822d3bc8b6067ec35f1a44f406; calibration=8670f038a07fa20f646168b74975715459fd2f4c5a0f7dedd7506710170ab8c0</x:v>
      </x:c>
    </x:row>
    <x:row r="222" ht="15" hidden="0" customHeight="1">
      <x:c r="A222" t="str">
        <x:v>ng15-batch01-20260908-J1453+1902-run01</x:v>
      </x:c>
      <x:c r="B222" t="str">
        <x:v>J1453+1902</x:v>
      </x:c>
      <x:c r="C222" t="str">
        <x:v>NANOGrav15 v2.1.0; wideband circular search</x:v>
      </x:c>
      <x:c r="D222" t="str">
        <x:v>PERIODIC_SIGNAL_CANDIDATE</x:v>
      </x:c>
      <x:c r="E222" s="23" t="n">
        <x:v>118.42725685587168</x:v>
      </x:c>
      <x:c r="F222" t="str">
        <x:v>Strongest eligible grid peak; candidate status is separate</x:v>
      </x:c>
      <x:c r="G222" s="24" t="n">
        <x:v>1.5262366740398308</x:v>
      </x:c>
      <x:c r="H222" s="24" t="n">
        <x:v>34.91423261298593</x:v>
      </x:c>
      <x:c r="I222" s="24" t="n">
        <x:v>26.82648068150526</x:v>
      </x:c>
      <x:c r="J222" s="25" t="n">
        <x:v>122</x:v>
      </x:c>
      <x:c r="K222" s="25" t="n">
        <x:v>73</x:v>
      </x:c>
      <x:c r="L222" s="24" t="n">
        <x:v>30</x:v>
      </x:c>
      <x:c r="M222" s="24" t="n">
        <x:v>1279.0143740434141</x:v>
      </x:c>
      <x:c r="N222" s="25" t="n">
        <x:v>418</x:v>
      </x:c>
      <x:c r="O222" s="25" t="n">
        <x:v>14</x:v>
      </x:c>
      <x:c r="P222" s="24" t="n">
        <x:v>1.806741160590691</x:v>
      </x:c>
      <x:c r="Q222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2"/>
      <x:c r="S222" t="str">
        <x:v>Preserve consumed record; new data/scope requires a new ID</x:v>
      </x:c>
      <x:c r="T222" t="str">
        <x:v>../Project Recherche Data/ng15-batch01-20260908/J1453+1902/run01/result.json</x:v>
      </x:c>
      <x:c r="U222" t="str">
        <x:v>975c9baf7109cf683b00d2f882bbf531bc52a37aac47d1d1228152d4f8fc8436</x:v>
      </x:c>
      <x:c r="V222" t="str">
        <x:v>observed=210861f90175bb7e00931c6af9cd32b646bc51a9cef8364d9957ae4367fbb337; calibration=6519164900a1595ba7ccbc83decf0f5822efe25e6b5bc3fbe4539f25cc7b1386</x:v>
      </x:c>
    </x:row>
    <x:row r="223" ht="15" hidden="0" customHeight="1">
      <x:c r="A223" t="str">
        <x:v>ng15-batch01-20260908-J0030+0451-run01</x:v>
      </x:c>
      <x:c r="B223" t="str">
        <x:v>J0030+0451</x:v>
      </x:c>
      <x:c r="C223" t="str">
        <x:v>NANOGrav15 v2.1.0; wideband circular search</x:v>
      </x:c>
      <x:c r="D223" t="str">
        <x:v>NO_TRIGGER</x:v>
      </x:c>
      <x:c r="E223" s="23" t="n">
        <x:v>34.123216434548866</x:v>
      </x:c>
      <x:c r="F223" t="str">
        <x:v>Strongest eligible grid peak; candidate status is separate</x:v>
      </x:c>
      <x:c r="G223" s="24" t="n">
        <x:v>0.1199600457895583</x:v>
      </x:c>
      <x:c r="H223" s="24" t="n">
        <x:v>14.786502638138437</x:v>
      </x:c>
      <x:c r="I223" s="24" t="n">
        <x:v>28.43232821815043</x:v>
      </x:c>
      <x:c r="J223" s="25" t="n">
        <x:v>724</x:v>
      </x:c>
      <x:c r="K223" s="25" t="n">
        <x:v>299</x:v>
      </x:c>
      <x:c r="L223" s="24" t="n">
        <x:v>30</x:v>
      </x:c>
      <x:c r="M223" s="24" t="n">
        <x:v>2000</x:v>
      </x:c>
      <x:c r="N223" s="25" t="n">
        <x:v>933</x:v>
      </x:c>
      <x:c r="O223" s="25" t="n">
        <x:v>12</x:v>
      </x:c>
      <x:c r="P223" s="24" t="n">
        <x:v>0.22151118949975518</x:v>
      </x:c>
      <x:c r="Q223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3"/>
      <x:c r="S223" t="str">
        <x:v>Preserve consumed record; new data/scope requires a new ID</x:v>
      </x:c>
      <x:c r="T223" t="str">
        <x:v>../Project Recherche Data/ng15-batch01-20260908/J0030+0451/run01/result.json</x:v>
      </x:c>
      <x:c r="U223" t="str">
        <x:v>f715e031afd409336f48fa49fa3fd116723c1da6698c8c05112a305962f0e02c</x:v>
      </x:c>
      <x:c r="V223" t="str">
        <x:v>observed=858e27b56361c086fec0d1fbb8d46bd5ae0b3417d338f62fd7153186301411fd; calibration=49627e903b33b12a45562705847ff22a29461c85aa88b1632047786699694142</x:v>
      </x:c>
    </x:row>
    <x:row r="224" ht="15" hidden="0" customHeight="1">
      <x:c r="A224" t="str">
        <x:v>ng15-batch01-20260908-J0931-1902-run01</x:v>
      </x:c>
      <x:c r="B224" t="str">
        <x:v>J0931-1902</x:v>
      </x:c>
      <x:c r="C224" t="str">
        <x:v>NANOGrav15 v2.1.0; wideband circular search</x:v>
      </x:c>
      <x:c r="D224" t="str">
        <x:v>NO_TRIGGER</x:v>
      </x:c>
      <x:c r="E224" s="23" t="n">
        <x:v>47.12572369207603</x:v>
      </x:c>
      <x:c r="F224" t="str">
        <x:v>Strongest eligible grid peak; candidate status is separate</x:v>
      </x:c>
      <x:c r="G224" s="24" t="n">
        <x:v>0.6318940879798961</x:v>
      </x:c>
      <x:c r="H224" s="24" t="n">
        <x:v>9.615375776166408</x:v>
      </x:c>
      <x:c r="I224" s="24" t="n">
        <x:v>26.850262174548302</x:v>
      </x:c>
      <x:c r="J224" s="25" t="n">
        <x:v>190</x:v>
      </x:c>
      <x:c r="K224" s="25" t="n">
        <x:v>165</x:v>
      </x:c>
      <x:c r="L224" s="24" t="n">
        <x:v>30</x:v>
      </x:c>
      <x:c r="M224" s="24" t="n">
        <x:v>1295.9574015320904</x:v>
      </x:c>
      <x:c r="N224" s="25" t="n">
        <x:v>423</x:v>
      </x:c>
      <x:c r="O224" s="25" t="n">
        <x:v>11</x:v>
      </x:c>
      <x:c r="P224" s="24" t="n">
        <x:v>1.3705453407123431</x:v>
      </x:c>
      <x:c r="Q224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4"/>
      <x:c r="S224" t="str">
        <x:v>Preserve consumed record; new data/scope requires a new ID</x:v>
      </x:c>
      <x:c r="T224" t="str">
        <x:v>../Project Recherche Data/ng15-batch01-20260908/J0931-1902/run01/result.json</x:v>
      </x:c>
      <x:c r="U224" t="str">
        <x:v>769a51fd96050688987698ef8ccd8567d1c5592e6f7971b40b4381404cb6e8e2</x:v>
      </x:c>
      <x:c r="V224" t="str">
        <x:v>observed=23664f8c5981b209a6bf84230b26871d54c6cf5ed833e3c73b7628e5887175a5; calibration=efddadf6b7e819587de4c9ff36296331c905874d387881089182f9c68925a776</x:v>
      </x:c>
    </x:row>
    <x:row r="225" ht="15" hidden="0" customHeight="1">
      <x:c r="A225" t="str">
        <x:v>ng15-batch01-20260908-J1730-2304-run01</x:v>
      </x:c>
      <x:c r="B225" t="str">
        <x:v>J1730-2304</x:v>
      </x:c>
      <x:c r="C225" t="str">
        <x:v>NANOGrav15 v2.1.0; wideband circular search</x:v>
      </x:c>
      <x:c r="D225" t="str">
        <x:v>NO_TRIGGER</x:v>
      </x:c>
      <x:c r="E225" s="23" t="n">
        <x:v>32.91972599687123</x:v>
      </x:c>
      <x:c r="F225" t="str">
        <x:v>Strongest eligible grid peak; candidate status is separate</x:v>
      </x:c>
      <x:c r="G225" s="24" t="n">
        <x:v>1.321649801235007</x:v>
      </x:c>
      <x:c r="H225" s="24" t="n">
        <x:v>11.332344924777948</x:v>
      </x:c>
      <x:c r="I225" s="24" t="n">
        <x:v>25.3621276325739</x:v>
      </x:c>
      <x:c r="J225" s="25" t="n">
        <x:v>93</x:v>
      </x:c>
      <x:c r="K225" s="25" t="n">
        <x:v>72</x:v>
      </x:c>
      <x:c r="L225" s="24" t="n">
        <x:v>30</x:v>
      </x:c>
      <x:c r="M225" s="24" t="n">
        <x:v>628.7667665402405</x:v>
      </x:c>
      <x:c r="N225" s="25" t="n">
        <x:v>201</x:v>
      </x:c>
      <x:c r="O225" s="25" t="n">
        <x:v>13</x:v>
      </x:c>
      <x:c r="P225" s="24" t="n">
        <x:v>1.6762076710816887</x:v>
      </x:c>
      <x:c r="Q225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5"/>
      <x:c r="S225" t="str">
        <x:v>Preserve consumed record; new data/scope requires a new ID</x:v>
      </x:c>
      <x:c r="T225" t="str">
        <x:v>../Project Recherche Data/ng15-batch01-20260908/J1730-2304/run01/result.json</x:v>
      </x:c>
      <x:c r="U225" t="str">
        <x:v>37ab8b9d4850746aa9f51ba6c8a2671fcea885c5ea0f918cf20a5e21061a5a58</x:v>
      </x:c>
      <x:c r="V225" t="str">
        <x:v>observed=88470f239c88be1260e888f690c9c912c3c9d07b2a0331b380f219afc0e51da5; calibration=0d1d0429b986fcbed70fc6e69e1074f9bf64b9bbcc668e0383390eba1c062f80</x:v>
      </x:c>
    </x:row>
    <x:row r="226" ht="15" hidden="0" customHeight="1">
      <x:c r="A226" t="str">
        <x:v>ng15-batch01-20260908-J1744-1134-run01</x:v>
      </x:c>
      <x:c r="B226" t="str">
        <x:v>J1744-1134</x:v>
      </x:c>
      <x:c r="C226" t="str">
        <x:v>NANOGrav15 v2.1.0; wideband circular search</x:v>
      </x:c>
      <x:c r="D226" t="str">
        <x:v>NO_TRIGGER</x:v>
      </x:c>
      <x:c r="E226" s="23" t="n">
        <x:v>59.964133509276856</x:v>
      </x:c>
      <x:c r="F226" t="str">
        <x:v>Strongest eligible grid peak; candidate status is separate</x:v>
      </x:c>
      <x:c r="G226" s="24" t="n">
        <x:v>0.21175619560689057</x:v>
      </x:c>
      <x:c r="H226" s="24" t="n">
        <x:v>16.499172069880125</x:v>
      </x:c>
      <x:c r="I226" s="24" t="n">
        <x:v>28.449404095626505</x:v>
      </x:c>
      <x:c r="J226" s="25" t="n">
        <x:v>433</x:v>
      </x:c>
      <x:c r="K226" s="25" t="n">
        <x:v>316</x:v>
      </x:c>
      <x:c r="L226" s="24" t="n">
        <x:v>30</x:v>
      </x:c>
      <x:c r="M226" s="24" t="n">
        <x:v>2000</x:v>
      </x:c>
      <x:c r="N226" s="25" t="n">
        <x:v>941</x:v>
      </x:c>
      <x:c r="O226" s="25" t="n">
        <x:v>12</x:v>
      </x:c>
      <x:c r="P226" s="24" t="n">
        <x:v>0.3212647257221818</x:v>
      </x:c>
      <x:c r="Q226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6"/>
      <x:c r="S226" t="str">
        <x:v>Preserve consumed record; new data/scope requires a new ID</x:v>
      </x:c>
      <x:c r="T226" t="str">
        <x:v>../Project Recherche Data/ng15-batch01-20260908/J1744-1134/run01/result.json</x:v>
      </x:c>
      <x:c r="U226" t="str">
        <x:v>2ddd3e62b7f86cdaffc8f1708e28aa135482423c361ea8c092895fc0a8d50bfe</x:v>
      </x:c>
      <x:c r="V226" t="str">
        <x:v>observed=8014fc40abd3045da513d11de8bf417602bd60af95049a5f1e0ce30258718aaa; calibration=39445bf8acd899625cc6d24e313980b96420e344c29108b0d6593912e6fc9093</x:v>
      </x:c>
    </x:row>
    <x:row r="227" ht="15" hidden="0" customHeight="1">
      <x:c r="A227" t="str">
        <x:v>ng15-batch01-20260908-J1747-4036-run01</x:v>
      </x:c>
      <x:c r="B227" t="str">
        <x:v>J1747-4036</x:v>
      </x:c>
      <x:c r="C227" t="str">
        <x:v>NANOGrav15 v2.1.0; wideband circular search</x:v>
      </x:c>
      <x:c r="D227" t="str">
        <x:v>NO_TRIGGER</x:v>
      </x:c>
      <x:c r="E227" s="23" t="n">
        <x:v>31.687437630401437</x:v>
      </x:c>
      <x:c r="F227" t="str">
        <x:v>Strongest eligible grid peak; candidate status is separate</x:v>
      </x:c>
      <x:c r="G227" s="24" t="n">
        <x:v>1.5695175382050366</x:v>
      </x:c>
      <x:c r="H227" s="24" t="n">
        <x:v>15.963869463589921</x:v>
      </x:c>
      <x:c r="I227" s="24" t="n">
        <x:v>27.127935064256732</x:v>
      </x:c>
      <x:c r="J227" s="25" t="n">
        <x:v>222</x:v>
      </x:c>
      <x:c r="K227" s="25" t="n">
        <x:v>183</x:v>
      </x:c>
      <x:c r="L227" s="24" t="n">
        <x:v>30</x:v>
      </x:c>
      <x:c r="M227" s="24" t="n">
        <x:v>1482.9720811027873</x:v>
      </x:c>
      <x:c r="N227" s="25" t="n">
        <x:v>486</x:v>
      </x:c>
      <x:c r="O227" s="25" t="n">
        <x:v>9</x:v>
      </x:c>
      <x:c r="P227" s="24" t="n">
        <x:v>2.1323151353562446</x:v>
      </x:c>
      <x:c r="Q227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7"/>
      <x:c r="S227" t="str">
        <x:v>Preserve consumed record; new data/scope requires a new ID</x:v>
      </x:c>
      <x:c r="T227" t="str">
        <x:v>../Project Recherche Data/ng15-batch01-20260908/J1747-4036/run01/result.json</x:v>
      </x:c>
      <x:c r="U227" t="str">
        <x:v>dd23712b782db6967a7bbfea93ddba6da5b56f17eb9c83e368e45f5ec155d58f</x:v>
      </x:c>
      <x:c r="V227" t="str">
        <x:v>observed=07916e9215b22e9a8191c1228c70a84c7b6c5e01368f329feeae8a4680b8d5fd; calibration=3365d1be7fe4716755b2853c86911ce97cbf027e59d5c611ea94503e6817179c</x:v>
      </x:c>
    </x:row>
    <x:row r="228" ht="15" hidden="0" customHeight="1">
      <x:c r="A228" t="str">
        <x:v>ng15-batch01-20260908-J1832-0836-run01</x:v>
      </x:c>
      <x:c r="B228" t="str">
        <x:v>J1832-0836</x:v>
      </x:c>
      <x:c r="C228" t="str">
        <x:v>NANOGrav15 v2.1.0; wideband circular search</x:v>
      </x:c>
      <x:c r="D228" t="str">
        <x:v>NO_TRIGGER</x:v>
      </x:c>
      <x:c r="E228" s="23" t="n">
        <x:v>117.77731906994681</x:v>
      </x:c>
      <x:c r="F228" t="str">
        <x:v>Strongest eligible grid peak; candidate status is separate</x:v>
      </x:c>
      <x:c r="G228" s="24" t="n">
        <x:v>0.19895202869850423</x:v>
      </x:c>
      <x:c r="H228" s="24" t="n">
        <x:v>11.883194073035847</x:v>
      </x:c>
      <x:c r="I228" s="24" t="n">
        <x:v>26.850262174548302</x:v>
      </x:c>
      <x:c r="J228" s="25" t="n">
        <x:v>207</x:v>
      </x:c>
      <x:c r="K228" s="25" t="n">
        <x:v>172</x:v>
      </x:c>
      <x:c r="L228" s="24" t="n">
        <x:v>30</x:v>
      </x:c>
      <x:c r="M228" s="24" t="n">
        <x:v>1295.550509769415</x:v>
      </x:c>
      <x:c r="N228" s="25" t="n">
        <x:v>423</x:v>
      </x:c>
      <x:c r="O228" s="25" t="n">
        <x:v>9</x:v>
      </x:c>
      <x:c r="P228" s="24" t="n">
        <x:v>0.4265956602628851</x:v>
      </x:c>
      <x:c r="Q228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8"/>
      <x:c r="S228" t="str">
        <x:v>Preserve consumed record; new data/scope requires a new ID</x:v>
      </x:c>
      <x:c r="T228" t="str">
        <x:v>../Project Recherche Data/ng15-batch01-20260908/J1832-0836/run01/result.json</x:v>
      </x:c>
      <x:c r="U228" t="str">
        <x:v>34252f6a1371d293d012df6036d07af893e5be89b3a74d104024b9026a4d7582</x:v>
      </x:c>
      <x:c r="V228" t="str">
        <x:v>observed=7022d88c323be8e68da8f6672e17cae3b0f83885b1ae075a1f72033a2369ba21; calibration=c76d7d373e864201b9e99c274581e41465d642608def6bccd7a37f03e3692ae3</x:v>
      </x:c>
    </x:row>
    <x:row r="229" ht="15" hidden="0" customHeight="1">
      <x:c r="A229" t="str">
        <x:v>ng15-batch01-20260908-J1843-1113-run01</x:v>
      </x:c>
      <x:c r="B229" t="str">
        <x:v>J1843-1113</x:v>
      </x:c>
      <x:c r="C229" t="str">
        <x:v>NANOGrav15 v2.1.0; wideband circular search</x:v>
      </x:c>
      <x:c r="D229" t="str">
        <x:v>NO_TRIGGER</x:v>
      </x:c>
      <x:c r="E229" s="23" t="n">
        <x:v>210.43592751645824</x:v>
      </x:c>
      <x:c r="F229" t="str">
        <x:v>Strongest eligible grid peak; candidate status is separate</x:v>
      </x:c>
      <x:c r="G229" s="24" t="n">
        <x:v>0.3019068827119252</x:v>
      </x:c>
      <x:c r="H229" s="24" t="n">
        <x:v>13.012294552386653</x:v>
      </x:c>
      <x:c r="I229" s="24" t="n">
        <x:v>25.372053211258155</x:v>
      </x:c>
      <x:c r="J229" s="25" t="n">
        <x:v>103</x:v>
      </x:c>
      <x:c r="K229" s="25" t="n">
        <x:v>79</x:v>
      </x:c>
      <x:c r="L229" s="24" t="n">
        <x:v>30</x:v>
      </x:c>
      <x:c r="M229" s="24" t="n">
        <x:v>631.3077825493747</x:v>
      </x:c>
      <x:c r="N229" s="25" t="n">
        <x:v>202</x:v>
      </x:c>
      <x:c r="O229" s="25" t="n">
        <x:v>14</x:v>
      </x:c>
      <x:c r="P229" s="24" t="n">
        <x:v>0.6506591558511072</x:v>
      </x:c>
      <x:c r="Q229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29"/>
      <x:c r="S229" t="str">
        <x:v>Preserve consumed record; new data/scope requires a new ID</x:v>
      </x:c>
      <x:c r="T229" t="str">
        <x:v>../Project Recherche Data/ng15-batch01-20260908/J1843-1113/run01/result.json</x:v>
      </x:c>
      <x:c r="U229" t="str">
        <x:v>0a1b8d6fb93be53cffa3b46f4f8f306d4ba99293d53ac76c38669700e7069394</x:v>
      </x:c>
      <x:c r="V229" t="str">
        <x:v>observed=94a7f157547531a231d93bec48246935031f1b450eade446d9411093e098f7e4; calibration=a67bf4fe269cce3b2a6c4af04e8fa19cf73b1de455cb3a7da39b08a0677c2d00</x:v>
      </x:c>
    </x:row>
    <x:row r="230" ht="15" hidden="0" customHeight="1">
      <x:c r="A230" t="str">
        <x:v>ng15-batch01-20260908-J2010-1323-run01</x:v>
      </x:c>
      <x:c r="B230" t="str">
        <x:v>J2010-1323</x:v>
      </x:c>
      <x:c r="C230" t="str">
        <x:v>NANOGrav15 v2.1.0; wideband circular search</x:v>
      </x:c>
      <x:c r="D230" t="str">
        <x:v>NO_TRIGGER</x:v>
      </x:c>
      <x:c r="E230" s="23" t="n">
        <x:v>44.02338777169755</x:v>
      </x:c>
      <x:c r="F230" t="str">
        <x:v>Strongest eligible grid peak; candidate status is separate</x:v>
      </x:c>
      <x:c r="G230" s="24" t="n">
        <x:v>0.20376130899687947</x:v>
      </x:c>
      <x:c r="H230" s="24" t="n">
        <x:v>10.303086411729677</x:v>
      </x:c>
      <x:c r="I230" s="24" t="n">
        <x:v>27.656458660744097</x:v>
      </x:c>
      <x:c r="J230" s="25" t="n">
        <x:v>350</x:v>
      </x:c>
      <x:c r="K230" s="25" t="n">
        <x:v>241</x:v>
      </x:c>
      <x:c r="L230" s="24" t="n">
        <x:v>30</x:v>
      </x:c>
      <x:c r="M230" s="24" t="n">
        <x:v>1923.822045623183</x:v>
      </x:c>
      <x:c r="N230" s="25" t="n">
        <x:v>633</x:v>
      </x:c>
      <x:c r="O230" s="25" t="n">
        <x:v>10</x:v>
      </x:c>
      <x:c r="P230" s="24" t="n">
        <x:v>0.4851002424130832</x:v>
      </x:c>
      <x:c r="Q230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30"/>
      <x:c r="S230" t="str">
        <x:v>Preserve consumed record; new data/scope requires a new ID</x:v>
      </x:c>
      <x:c r="T230" t="str">
        <x:v>../Project Recherche Data/ng15-batch01-20260908/J2010-1323/run01/result.json</x:v>
      </x:c>
      <x:c r="U230" t="str">
        <x:v>fc10755ad37d561a52112d18b51bb11e518c35871eda5635ea985814665c3d74</x:v>
      </x:c>
      <x:c r="V230" t="str">
        <x:v>observed=58d87f9062245e520a212d460f4174bef05a3890b133ae4fdb0dd4117b577dce; calibration=4643d50482108b2ee1f993f40461a99c6042b60b4f40a6786eab89d3c5b031d1</x:v>
      </x:c>
    </x:row>
    <x:row r="231" ht="15" hidden="0" customHeight="1">
      <x:c r="A231" t="str">
        <x:v>ng15-batch01-20260908-J2124-3358-run01</x:v>
      </x:c>
      <x:c r="B231" t="str">
        <x:v>J2124-3358</x:v>
      </x:c>
      <x:c r="C231" t="str">
        <x:v>NANOGrav15 v2.1.0; wideband circular search</x:v>
      </x:c>
      <x:c r="D231" t="str">
        <x:v>NO_TRIGGER</x:v>
      </x:c>
      <x:c r="E231" s="23" t="n">
        <x:v>49.398307606399214</x:v>
      </x:c>
      <x:c r="F231" t="str">
        <x:v>Strongest eligible grid peak; candidate status is separate</x:v>
      </x:c>
      <x:c r="G231" s="24" t="n">
        <x:v>0.8033400920178276</x:v>
      </x:c>
      <x:c r="H231" s="24" t="n">
        <x:v>14.176672541285818</x:v>
      </x:c>
      <x:c r="I231" s="24" t="n">
        <x:v>25.372053211258155</x:v>
      </x:c>
      <x:c r="J231" s="25" t="n">
        <x:v>104</x:v>
      </x:c>
      <x:c r="K231" s="25" t="n">
        <x:v>75</x:v>
      </x:c>
      <x:c r="L231" s="24" t="n">
        <x:v>30</x:v>
      </x:c>
      <x:c r="M231" s="24" t="n">
        <x:v>632.29833736191</x:v>
      </x:c>
      <x:c r="N231" s="25" t="n">
        <x:v>202</x:v>
      </x:c>
      <x:c r="O231" s="25" t="n">
        <x:v>14</x:v>
      </x:c>
      <x:c r="P231" s="24" t="n">
        <x:v>1.5527871986894355</x:v>
      </x:c>
      <x:c r="Q231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31"/>
      <x:c r="S231" t="str">
        <x:v>Preserve consumed record; new data/scope requires a new ID</x:v>
      </x:c>
      <x:c r="T231" t="str">
        <x:v>../Project Recherche Data/ng15-batch01-20260908/J2124-3358/run01/result.json</x:v>
      </x:c>
      <x:c r="U231" t="str">
        <x:v>1e92546575d3b3c2ce31f4404719c8c2e28d15f36282fdfb2a5dcd1eb1a86d38</x:v>
      </x:c>
      <x:c r="V231" t="str">
        <x:v>observed=94326d97713c2d97c63b02ec9badb018192bbb53f1b65fca1dc5b2b897ce88ae; calibration=8fe09ea3d6cd862762195cbc5f5e989f8c8cd5ba919d7a4bb2c1759f7162f5f2</x:v>
      </x:c>
    </x:row>
    <x:row r="232" ht="15" hidden="0" customHeight="1">
      <x:c r="A232" t="str">
        <x:v>ng15-batch01-20260908-J2322+2057-run01</x:v>
      </x:c>
      <x:c r="B232" t="str">
        <x:v>J2322+2057</x:v>
      </x:c>
      <x:c r="C232" t="str">
        <x:v>NANOGrav15 v2.1.0; wideband circular search</x:v>
      </x:c>
      <x:c r="D232" t="str">
        <x:v>NO_TRIGGER</x:v>
      </x:c>
      <x:c r="E232" s="23" t="n">
        <x:v>126.26037010506106</x:v>
      </x:c>
      <x:c r="F232" t="str">
        <x:v>Strongest eligible grid peak; candidate status is separate</x:v>
      </x:c>
      <x:c r="G232" s="24" t="n">
        <x:v>0.30907718465845324</x:v>
      </x:c>
      <x:c r="H232" s="24" t="n">
        <x:v>9.867582705619192</x:v>
      </x:c>
      <x:c r="I232" s="24" t="n">
        <x:v>26.29215980804329</x:v>
      </x:c>
      <x:c r="J232" s="25" t="n">
        <x:v>130</x:v>
      </x:c>
      <x:c r="K232" s="25" t="n">
        <x:v>60</x:v>
      </x:c>
      <x:c r="L232" s="24" t="n">
        <x:v>30</x:v>
      </x:c>
      <x:c r="M232" s="24" t="n">
        <x:v>984.8308868194763</x:v>
      </x:c>
      <x:c r="N232" s="25" t="n">
        <x:v>320</x:v>
      </x:c>
      <x:c r="O232" s="25" t="n">
        <x:v>15</x:v>
      </x:c>
      <x:c r="P232" s="24" t="n">
        <x:v>0.7927669317408298</x:v>
      </x:c>
      <x:c r="Q232" t="str">
        <x:v>Fixed released wideband noise; joint TOA and DM likelihood. Conditional Gaussian fixed covariance/design; 1.0% union-bound allowance for at most 16 fixed grids. 95% detection probability; circular on-grid signal; fixed published noise; not a posterior upper limit</x:v>
      </x:c>
      <x:c r="R232"/>
      <x:c r="S232" t="str">
        <x:v>Preserve consumed record; new data/scope requires a new ID</x:v>
      </x:c>
      <x:c r="T232" t="str">
        <x:v>../Project Recherche Data/ng15-batch01-20260908/J2322+2057/run01/result.json</x:v>
      </x:c>
      <x:c r="U232" t="str">
        <x:v>36ed4b6e6ba41893a752417df2306a715097905eef2d028184e70bb07aab4d41</x:v>
      </x:c>
      <x:c r="V232" t="str">
        <x:v>observed=70e668b4561446cf42b3460da07fa3fa8287fc56482c45b2ee6fdddaa82c3dd8; calibration=88ed00c7b797b11c6ba121859bef1f91d8dff03e4463fd2510edb0b9105ee14a</x:v>
      </x:c>
    </x:row>
    <x:row r="233" ht="15" hidden="0" customHeight="1">
      <x:c r="A233" t="str">
        <x:v>pta-campaign01-20260908-ppta-J0711-6830-run01</x:v>
      </x:c>
      <x:c r="B233" t="str">
        <x:v>J0711-6830</x:v>
      </x:c>
      <x:c r="C233" t="str">
        <x:v>PPTA DR3 v2; circular search</x:v>
      </x:c>
      <x:c r="D233" t="str">
        <x:v>NO_TRIGGER</x:v>
      </x:c>
      <x:c r="E233" s="23" t="n">
        <x:v>47.2044988706732</x:v>
      </x:c>
      <x:c r="F233" t="str">
        <x:v>Strongest eligible grid peak; candidate status is separate</x:v>
      </x:c>
      <x:c r="G233" s="24" t="n">
        <x:v>0.18318886193915482</x:v>
      </x:c>
      <x:c r="H233" s="24" t="n">
        <x:v>16.451149637387076</x:v>
      </x:c>
      <x:c r="I233" s="24" t="n">
        <x:v>28.971596888756274</x:v>
      </x:c>
      <x:c r="J233" s="25" t="n">
        <x:v>5538</x:v>
      </x:c>
      <x:c r="K233" s="25" t="n">
        <x:v>800</x:v>
      </x:c>
      <x:c r="L233" s="24" t="n">
        <x:v>30</x:v>
      </x:c>
      <x:c r="M233" s="24" t="n">
        <x:v>2000</x:v>
      </x:c>
      <x:c r="N233" s="25" t="n">
        <x:v>1086</x:v>
      </x:c>
      <x:c r="O233" s="25" t="n">
        <x:v>7</x:v>
      </x:c>
      <x:c r="P233" s="24" t="n">
        <x:v>0.3228050495749681</x:v>
      </x:c>
      <x:c r="Q233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3"/>
      <x:c r="S233" t="str">
        <x:v>Preserve consumed record; new data/scope requires a new ID</x:v>
      </x:c>
      <x:c r="T233" t="str">
        <x:v>../Project Recherche Data/pta-campaign01-20260908/ppta/J0711-6830/run01/result.json</x:v>
      </x:c>
      <x:c r="U233" t="str">
        <x:v>3b188cf861a8655f179574318b383aa10216d74ecfd42438d441190996294eea</x:v>
      </x:c>
      <x:c r="V233" t="str">
        <x:v>observed=5c9a197a3719aceea4c5ac983e971f3ffcdc73a7a7077a1f3626a742306b7ef3; calibration=cede251715e11b9cc4d7b496189cbc718dd47bc1feb0152b68f71cd72013f148</x:v>
      </x:c>
    </x:row>
    <x:row r="234" ht="15" hidden="0" customHeight="1">
      <x:c r="A234" t="str">
        <x:v>pta-campaign01-20260908-ppta-J1730-2304-run01</x:v>
      </x:c>
      <x:c r="B234" t="str">
        <x:v>J1730-2304</x:v>
      </x:c>
      <x:c r="C234" t="str">
        <x:v>PPTA DR3 v2; circular search</x:v>
      </x:c>
      <x:c r="D234" t="str">
        <x:v>NO_TRIGGER</x:v>
      </x:c>
      <x:c r="E234" s="23" t="n">
        <x:v>87.2233638438976</x:v>
      </x:c>
      <x:c r="F234" t="str">
        <x:v>Strongest eligible grid peak; candidate status is separate</x:v>
      </x:c>
      <x:c r="G234" s="24" t="n">
        <x:v>0.16965583110611124</x:v>
      </x:c>
      <x:c r="H234" s="24" t="n">
        <x:v>9.35874987042059</x:v>
      </x:c>
      <x:c r="I234" s="24" t="n">
        <x:v>28.96975441971763</x:v>
      </x:c>
      <x:c r="J234" s="25" t="n">
        <x:v>3306</x:v>
      </x:c>
      <x:c r="K234" s="25" t="n">
        <x:v>485</x:v>
      </x:c>
      <x:c r="L234" s="24" t="n">
        <x:v>30</x:v>
      </x:c>
      <x:c r="M234" s="24" t="n">
        <x:v>2000</x:v>
      </x:c>
      <x:c r="N234" s="25" t="n">
        <x:v>1085</x:v>
      </x:c>
      <x:c r="O234" s="25" t="n">
        <x:v>10</x:v>
      </x:c>
      <x:c r="P234" s="24" t="n">
        <x:v>0.40283838314013115</x:v>
      </x:c>
      <x:c r="Q234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4"/>
      <x:c r="S234" t="str">
        <x:v>Preserve consumed record; new data/scope requires a new ID</x:v>
      </x:c>
      <x:c r="T234" t="str">
        <x:v>../Project Recherche Data/pta-campaign01-20260908/ppta/J1730-2304/run01/result.json</x:v>
      </x:c>
      <x:c r="U234" t="str">
        <x:v>0430e53c326d41cf6c8c519e8c22fa3a45c44c2eb0ec36005f13f751441de996</x:v>
      </x:c>
      <x:c r="V234" t="str">
        <x:v>observed=3e2012ba842cb928a54ecac39a94f32f263909e4434f114083681231215aa2c9; calibration=cca6a16d31f52b82c12b12a8fac26e338a83f6352e3a4c0ef21370c8a5786d31</x:v>
      </x:c>
    </x:row>
    <x:row r="235" ht="15" hidden="0" customHeight="1">
      <x:c r="A235" t="str">
        <x:v>pta-campaign01-20260908-ppta-J1744-1134-run01</x:v>
      </x:c>
      <x:c r="B235" t="str">
        <x:v>J1744-1134</x:v>
      </x:c>
      <x:c r="C235" t="str">
        <x:v>PPTA DR3 v2; circular search</x:v>
      </x:c>
      <x:c r="D235" t="str">
        <x:v>NO_TRIGGER</x:v>
      </x:c>
      <x:c r="E235" s="23" t="n">
        <x:v>44.40408742940107</x:v>
      </x:c>
      <x:c r="F235" t="str">
        <x:v>Strongest eligible grid peak; candidate status is separate</x:v>
      </x:c>
      <x:c r="G235" s="24" t="n">
        <x:v>0.0850216965822582</x:v>
      </x:c>
      <x:c r="H235" s="24" t="n">
        <x:v>16.153611410037218</x:v>
      </x:c>
      <x:c r="I235" s="24" t="n">
        <x:v>28.96975441971763</x:v>
      </x:c>
      <x:c r="J235" s="25" t="n">
        <x:v>5401</x:v>
      </x:c>
      <x:c r="K235" s="25" t="n">
        <x:v>697</x:v>
      </x:c>
      <x:c r="L235" s="24" t="n">
        <x:v>30</x:v>
      </x:c>
      <x:c r="M235" s="24" t="n">
        <x:v>2000</x:v>
      </x:c>
      <x:c r="N235" s="25" t="n">
        <x:v>1085</x:v>
      </x:c>
      <x:c r="O235" s="25" t="n">
        <x:v>10</x:v>
      </x:c>
      <x:c r="P235" s="24" t="n">
        <x:v>0.1497455389657086</x:v>
      </x:c>
      <x:c r="Q235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5"/>
      <x:c r="S235" t="str">
        <x:v>Preserve consumed record; new data/scope requires a new ID</x:v>
      </x:c>
      <x:c r="T235" t="str">
        <x:v>../Project Recherche Data/pta-campaign01-20260908/ppta/J1744-1134/run01/result.json</x:v>
      </x:c>
      <x:c r="U235" t="str">
        <x:v>899df2f89f63753176f37e47289e8cacac0c2f4924c1150fa5da5c39ae3201b5</x:v>
      </x:c>
      <x:c r="V235" t="str">
        <x:v>observed=06c06312bfec0db17d67e27e2ea338788f211fafa97987f936d255ca4bcce3cd; calibration=996672ca86b5af88c58a070b2847781e8c9969c6571bf86cedcff5bc9b3931b3</x:v>
      </x:c>
    </x:row>
    <x:row r="236" ht="15" hidden="0" customHeight="1">
      <x:c r="A236" t="str">
        <x:v>pta-campaign01-20260908-ppta-J1824-2452A-run01</x:v>
      </x:c>
      <x:c r="B236" t="str">
        <x:v>J1824-2452A</x:v>
      </x:c>
      <x:c r="C236" t="str">
        <x:v>PPTA DR3 v2; circular search</x:v>
      </x:c>
      <x:c r="D236" t="str">
        <x:v>NO_TRIGGER</x:v>
      </x:c>
      <x:c r="E236" s="23" t="n">
        <x:v>74.60175072864602</x:v>
      </x:c>
      <x:c r="F236" t="str">
        <x:v>Strongest eligible grid peak; candidate status is separate</x:v>
      </x:c>
      <x:c r="G236" s="24" t="n">
        <x:v>0.8027797783405645</x:v>
      </x:c>
      <x:c r="H236" s="24" t="n">
        <x:v>16.360395655476097</x:v>
      </x:c>
      <x:c r="I236" s="24" t="n">
        <x:v>28.85011742929581</x:v>
      </x:c>
      <x:c r="J236" s="25" t="n">
        <x:v>1284</x:v>
      </x:c>
      <x:c r="K236" s="25" t="n">
        <x:v>267</x:v>
      </x:c>
      <x:c r="L236" s="24" t="n">
        <x:v>30</x:v>
      </x:c>
      <x:c r="M236" s="24" t="n">
        <x:v>2000</x:v>
      </x:c>
      <x:c r="N236" s="25" t="n">
        <x:v>1022</x:v>
      </x:c>
      <x:c r="O236" s="25" t="n">
        <x:v>10</x:v>
      </x:c>
      <x:c r="P236" s="24" t="n">
        <x:v>1.014197270716398</x:v>
      </x:c>
      <x:c r="Q236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6"/>
      <x:c r="S236" t="str">
        <x:v>Preserve consumed record; new data/scope requires a new ID</x:v>
      </x:c>
      <x:c r="T236" t="str">
        <x:v>../Project Recherche Data/pta-campaign01-20260908/ppta/J1824-2452A/run01/result.json</x:v>
      </x:c>
      <x:c r="U236" t="str">
        <x:v>3755fe4909ba6e6de2a19522871e1dd71bf9fc3992c233eeb4c604d6d9c7e6af</x:v>
      </x:c>
      <x:c r="V236" t="str">
        <x:v>observed=a2ef4f39ac5649f492cd84abd979fdc9380ecc0179b9ae3a909fa9e36af7f953; calibration=06c0dc68dbb15624c0465318d0d9cc8f090e1069c494e508db3c1ca58a78489e</x:v>
      </x:c>
    </x:row>
    <x:row r="237" ht="15" hidden="0" customHeight="1">
      <x:c r="A237" t="str">
        <x:v>pta-campaign01-20260908-ppta-J1832-0836-run01</x:v>
      </x:c>
      <x:c r="B237" t="str">
        <x:v>J1832-0836</x:v>
      </x:c>
      <x:c r="C237" t="str">
        <x:v>PPTA DR3 v2; circular search</x:v>
      </x:c>
      <x:c r="D237" t="str">
        <x:v>NO_TRIGGER</x:v>
      </x:c>
      <x:c r="E237" s="23" t="n">
        <x:v>157.86786518565214</x:v>
      </x:c>
      <x:c r="F237" t="str">
        <x:v>Strongest eligible grid peak; candidate status is separate</x:v>
      </x:c>
      <x:c r="G237" s="24" t="n">
        <x:v>0.3519638786887516</x:v>
      </x:c>
      <x:c r="H237" s="24" t="n">
        <x:v>7.418903410014576</x:v>
      </x:c>
      <x:c r="I237" s="24" t="n">
        <x:v>27.607280770787572</x:v>
      </x:c>
      <x:c r="J237" s="25" t="n">
        <x:v>385</x:v>
      </x:c>
      <x:c r="K237" s="25" t="n">
        <x:v>85</x:v>
      </x:c>
      <x:c r="L237" s="24" t="n">
        <x:v>30</x:v>
      </x:c>
      <x:c r="M237" s="24" t="n">
        <x:v>1673.3993709679125</x:v>
      </x:c>
      <x:c r="N237" s="25" t="n">
        <x:v>549</x:v>
      </x:c>
      <x:c r="O237" s="25" t="n">
        <x:v>13</x:v>
      </x:c>
      <x:c r="P237" s="24" t="n">
        <x:v>0.8070782353553134</x:v>
      </x:c>
      <x:c r="Q237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7"/>
      <x:c r="S237" t="str">
        <x:v>Preserve consumed record; new data/scope requires a new ID</x:v>
      </x:c>
      <x:c r="T237" t="str">
        <x:v>../Project Recherche Data/pta-campaign01-20260908/ppta/J1832-0836/run01/result.json</x:v>
      </x:c>
      <x:c r="U237" t="str">
        <x:v>474a7286e5041455a6aff8e19c8f7aaceedbaefe31dea3d91c4470089130bd8e</x:v>
      </x:c>
      <x:c r="V237" t="str">
        <x:v>observed=b72437e0414f5db70725fb92fc9c6dd05d08a513cb60fdde459cc80af4d453f2; calibration=265425170d1d3286849dad23527da75baf00bbb8589d3f397e0ba7d97855ed0f</x:v>
      </x:c>
    </x:row>
    <x:row r="238" ht="15" hidden="0" customHeight="1">
      <x:c r="A238" t="str">
        <x:v>pta-campaign01-20260908-ppta-J1939+2134-run01</x:v>
      </x:c>
      <x:c r="B238" t="str">
        <x:v>J1939+2134</x:v>
      </x:c>
      <x:c r="C238" t="str">
        <x:v>PPTA DR3 v2; circular search</x:v>
      </x:c>
      <x:c r="D238" t="str">
        <x:v>NO_TRIGGER</x:v>
      </x:c>
      <x:c r="E238" s="23" t="n">
        <x:v>46.56810323135662</x:v>
      </x:c>
      <x:c r="F238" t="str">
        <x:v>Strongest eligible grid peak; candidate status is separate</x:v>
      </x:c>
      <x:c r="G238" s="24" t="n">
        <x:v>0.050047058522256646</x:v>
      </x:c>
      <x:c r="H238" s="24" t="n">
        <x:v>19.874970633784493</x:v>
      </x:c>
      <x:c r="I238" s="24" t="n">
        <x:v>28.934421097220092</x:v>
      </x:c>
      <x:c r="J238" s="25" t="n">
        <x:v>2456</x:v>
      </x:c>
      <x:c r="K238" s="25" t="n">
        <x:v>404</x:v>
      </x:c>
      <x:c r="L238" s="24" t="n">
        <x:v>30</x:v>
      </x:c>
      <x:c r="M238" s="24" t="n">
        <x:v>2000</x:v>
      </x:c>
      <x:c r="N238" s="25" t="n">
        <x:v>1066</x:v>
      </x:c>
      <x:c r="O238" s="25" t="n">
        <x:v>11</x:v>
      </x:c>
      <x:c r="P238" s="24" t="n">
        <x:v>0.09324148554193153</x:v>
      </x:c>
      <x:c r="Q238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8"/>
      <x:c r="S238" t="str">
        <x:v>Preserve consumed record; new data/scope requires a new ID</x:v>
      </x:c>
      <x:c r="T238" t="str">
        <x:v>../Project Recherche Data/pta-campaign01-20260908/ppta/J1939+2134/run01/result.json</x:v>
      </x:c>
      <x:c r="U238" t="str">
        <x:v>a485512a2b6b9f5754e563d93be92b486bda0581184ccb950697949a4245a844</x:v>
      </x:c>
      <x:c r="V238" t="str">
        <x:v>observed=1984f9c045485e8539f89c90bcd8d1f0cf4437338f2a455e4b438808ba5a5c50; calibration=07e392da5d22f0273ba7140d1e2335635b4850cb0f1bfb63e3c878b78a386c96</x:v>
      </x:c>
    </x:row>
    <x:row r="239" ht="15" hidden="0" customHeight="1">
      <x:c r="A239" t="str">
        <x:v>pta-campaign01-20260908-ppta-J2124-3358-run01</x:v>
      </x:c>
      <x:c r="B239" t="str">
        <x:v>J2124-3358</x:v>
      </x:c>
      <x:c r="C239" t="str">
        <x:v>PPTA DR3 v2; circular search</x:v>
      </x:c>
      <x:c r="D239" t="str">
        <x:v>NO_TRIGGER</x:v>
      </x:c>
      <x:c r="E239" s="23" t="n">
        <x:v>33.98776076646152</x:v>
      </x:c>
      <x:c r="F239" t="str">
        <x:v>Strongest eligible grid peak; candidate status is separate</x:v>
      </x:c>
      <x:c r="G239" s="24" t="n">
        <x:v>0.31903487344481174</x:v>
      </x:c>
      <x:c r="H239" s="24" t="n">
        <x:v>10.215035713605783</x:v>
      </x:c>
      <x:c r="I239" s="24" t="n">
        <x:v>28.971596888756274</x:v>
      </x:c>
      <x:c r="J239" s="25" t="n">
        <x:v>3411</x:v>
      </x:c>
      <x:c r="K239" s="25" t="n">
        <x:v>599</x:v>
      </x:c>
      <x:c r="L239" s="24" t="n">
        <x:v>30</x:v>
      </x:c>
      <x:c r="M239" s="24" t="n">
        <x:v>2000</x:v>
      </x:c>
      <x:c r="N239" s="25" t="n">
        <x:v>1086</x:v>
      </x:c>
      <x:c r="O239" s="25" t="n">
        <x:v>10</x:v>
      </x:c>
      <x:c r="P239" s="24" t="n">
        <x:v>0.6864666009526131</x:v>
      </x:c>
      <x:c r="Q239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39"/>
      <x:c r="S239" t="str">
        <x:v>Preserve consumed record; new data/scope requires a new ID</x:v>
      </x:c>
      <x:c r="T239" t="str">
        <x:v>../Project Recherche Data/pta-campaign01-20260908/ppta/J2124-3358/run01/result.json</x:v>
      </x:c>
      <x:c r="U239" t="str">
        <x:v>c6f3e7595e89a085cfbbda8aed8774f893699c5aa34cd910de6989a482df2cef</x:v>
      </x:c>
      <x:c r="V239" t="str">
        <x:v>observed=a4358bb47357284a23f6e0a6fc992d07518d06b716aa70ca76aba7f2c762cf96; calibration=1c8180d0c8a2ecdb9b3b7549294680329517be53c8b1fed929a451f1be798d32</x:v>
      </x:c>
    </x:row>
    <x:row r="240" ht="15" hidden="0" customHeight="1">
      <x:c r="A240" t="str">
        <x:v>pta-campaign01-20260908-epta-J0030+0451-run01</x:v>
      </x:c>
      <x:c r="B240" t="str">
        <x:v>J0030+0451</x:v>
      </x:c>
      <x:c r="C240" t="str">
        <x:v>EPTA DR2full, Zenodo 8164425; circular search</x:v>
      </x:c>
      <x:c r="D240" t="str">
        <x:v>NO_TRIGGER</x:v>
      </x:c>
      <x:c r="E240" s="23" t="n">
        <x:v>56.95029609110185</x:v>
      </x:c>
      <x:c r="F240" t="str">
        <x:v>Strongest eligible grid peak; candidate status is separate</x:v>
      </x:c>
      <x:c r="G240" s="24" t="n">
        <x:v>0.1611135955157568</x:v>
      </x:c>
      <x:c r="H240" s="24" t="n">
        <x:v>9.862985061853465</x:v>
      </x:c>
      <x:c r="I240" s="24" t="n">
        <x:v>29.358825317893416</x:v>
      </x:c>
      <x:c r="J240" s="25" t="n">
        <x:v>4069</x:v>
      </x:c>
      <x:c r="K240" s="25" t="n">
        <x:v>1654</x:v>
      </x:c>
      <x:c r="L240" s="24" t="n">
        <x:v>30</x:v>
      </x:c>
      <x:c r="M240" s="24" t="n">
        <x:v>2000</x:v>
      </x:c>
      <x:c r="N240" s="25" t="n">
        <x:v>1318</x:v>
      </x:c>
      <x:c r="O240" s="25" t="n">
        <x:v>14</x:v>
      </x:c>
      <x:c r="P240" s="24" t="n">
        <x:v>0.37003207124743653</x:v>
      </x:c>
      <x:c r="Q240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0"/>
      <x:c r="S240" t="str">
        <x:v>Preserve consumed record; new data/scope requires a new ID</x:v>
      </x:c>
      <x:c r="T240" t="str">
        <x:v>../Project Recherche Data/pta-campaign01-20260908/epta/J0030+0451/run01/result.json</x:v>
      </x:c>
      <x:c r="U240" t="str">
        <x:v>93be6f13bcaac8eeef45bf8c4fe0d5f059c47a698e3165f6418f09e17e2f842f</x:v>
      </x:c>
      <x:c r="V240" t="str">
        <x:v>observed=8010c960fe54fded3a1d47078ab5fc4276f96bd1104ef8c96e180fa80f6d7405; calibration=b76801d39f97bffa798ca7f45d744183994b05cbb3b17c3ab29d5865a46f18e3</x:v>
      </x:c>
    </x:row>
    <x:row r="241" ht="15" hidden="0" customHeight="1">
      <x:c r="A241" t="str">
        <x:v>pta-campaign01-20260908-epta-J1730-2304-run01</x:v>
      </x:c>
      <x:c r="B241" t="str">
        <x:v>J1730-2304</x:v>
      </x:c>
      <x:c r="C241" t="str">
        <x:v>EPTA DR2full, Zenodo 8164425; circular search</x:v>
      </x:c>
      <x:c r="D241" t="str">
        <x:v>PERIODIC_SIGNAL_CANDIDATE</x:v>
      </x:c>
      <x:c r="E241" s="23" t="n">
        <x:v>48.39544869187594</x:v>
      </x:c>
      <x:c r="F241" t="str">
        <x:v>Strongest eligible grid peak; candidate status is separate</x:v>
      </x:c>
      <x:c r="G241" s="24" t="n">
        <x:v>0.6635077480516001</x:v>
      </x:c>
      <x:c r="H241" s="24" t="n">
        <x:v>314.0722666093835</x:v>
      </x:c>
      <x:c r="I241" s="24" t="n">
        <x:v>28.7394808786751</x:v>
      </x:c>
      <x:c r="J241" s="25" t="n">
        <x:v>1329</x:v>
      </x:c>
      <x:c r="K241" s="25" t="n">
        <x:v>529</x:v>
      </x:c>
      <x:c r="L241" s="24" t="n">
        <x:v>30</x:v>
      </x:c>
      <x:c r="M241" s="24" t="n">
        <x:v>2000</x:v>
      </x:c>
      <x:c r="N241" s="25" t="n">
        <x:v>967</x:v>
      </x:c>
      <x:c r="O241" s="25" t="n">
        <x:v>14</x:v>
      </x:c>
      <x:c r="P241" s="24" t="n">
        <x:v>0.2590293953671545</x:v>
      </x:c>
      <x:c r="Q241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 Noise adequacy flagged; inspect saved residual diagnostics.</x:v>
      </x:c>
      <x:c r="R241"/>
      <x:c r="S241" t="str">
        <x:v>Preserve consumed record; new data/scope requires a new ID</x:v>
      </x:c>
      <x:c r="T241" t="str">
        <x:v>../Project Recherche Data/pta-campaign01-20260908/epta/J1730-2304/run01/result.json</x:v>
      </x:c>
      <x:c r="U241" t="str">
        <x:v>152858356c774f00380e16fa48bd6065b2dcb0d7d5851dd6fecbed03c133e27b</x:v>
      </x:c>
      <x:c r="V241" t="str">
        <x:v>observed=f81f93a8c22644ff5dcd7e4a3f06cf706032f103dcd3cefae41a647d60d5514a; calibration=a5a16ac3b4111f7f4553babb2dce51b15bbe5acd8c4a602d996ed0f1e0a0c4ea</x:v>
      </x:c>
    </x:row>
    <x:row r="242" ht="15" hidden="0" customHeight="1">
      <x:c r="A242" t="str">
        <x:v>pta-campaign01-20260908-epta-J1744-1134-run01</x:v>
      </x:c>
      <x:c r="B242" t="str">
        <x:v>J1744-1134</x:v>
      </x:c>
      <x:c r="C242" t="str">
        <x:v>EPTA DR2full, Zenodo 8164425; circular search</x:v>
      </x:c>
      <x:c r="D242" t="str">
        <x:v>PERIODIC_SIGNAL_CANDIDATE</x:v>
      </x:c>
      <x:c r="E242" s="23" t="n">
        <x:v>186.65497699315264</x:v>
      </x:c>
      <x:c r="F242" t="str">
        <x:v>Strongest eligible grid peak; candidate status is separate</x:v>
      </x:c>
      <x:c r="G242" s="24" t="n">
        <x:v>4.680551859259146</x:v>
      </x:c>
      <x:c r="H242" s="24" t="n">
        <x:v>19021.434653308304</x:v>
      </x:c>
      <x:c r="I242" s="24" t="n">
        <x:v>29.537269079767555</x:v>
      </x:c>
      <x:c r="J242" s="25" t="n">
        <x:v>1949</x:v>
      </x:c>
      <x:c r="K242" s="25" t="n">
        <x:v>893</x:v>
      </x:c>
      <x:c r="L242" s="24" t="n">
        <x:v>30</x:v>
      </x:c>
      <x:c r="M242" s="24" t="n">
        <x:v>2000</x:v>
      </x:c>
      <x:c r="N242" s="25" t="n">
        <x:v>1441</x:v>
      </x:c>
      <x:c r="O242" s="25" t="n">
        <x:v>11</x:v>
      </x:c>
      <x:c r="P242" s="24" t="n">
        <x:v>0.17768279872815407</x:v>
      </x:c>
      <x:c r="Q242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 Noise adequacy flagged; inspect saved residual diagnostics.</x:v>
      </x:c>
      <x:c r="R242"/>
      <x:c r="S242" t="str">
        <x:v>Preserve consumed record; new data/scope requires a new ID</x:v>
      </x:c>
      <x:c r="T242" t="str">
        <x:v>../Project Recherche Data/pta-campaign01-20260908/epta/J1744-1134/run01/result.json</x:v>
      </x:c>
      <x:c r="U242" t="str">
        <x:v>3af31634a916a5e9be32a12617d125c7e2ee7e330d016877012c0432030272b5</x:v>
      </x:c>
      <x:c r="V242" t="str">
        <x:v>observed=d5e9af809f0221bef3358663e3256eb377d732534283dc736796d795d50d395e; calibration=745ae657d6765e1071b0d160b994922504f07099cf57e5b180c716bac041dc1f</x:v>
      </x:c>
    </x:row>
    <x:row r="243" ht="15" hidden="0" customHeight="1">
      <x:c r="A243" t="str">
        <x:v>pta-campaign01-20260908-epta-J1801-1417-run01</x:v>
      </x:c>
      <x:c r="B243" t="str">
        <x:v>J1801-1417</x:v>
      </x:c>
      <x:c r="C243" t="str">
        <x:v>EPTA DR2full, Zenodo 8164425; circular search</x:v>
      </x:c>
      <x:c r="D243" t="str">
        <x:v>NO_TRIGGER</x:v>
      </x:c>
      <x:c r="E243" s="23" t="n">
        <x:v>39.15715576373414</x:v>
      </x:c>
      <x:c r="F243" t="str">
        <x:v>Strongest eligible grid peak; candidate status is separate</x:v>
      </x:c>
      <x:c r="G243" s="24" t="n">
        <x:v>0.604345292205467</x:v>
      </x:c>
      <x:c r="H243" s="24" t="n">
        <x:v>8.01841114535522</x:v>
      </x:c>
      <x:c r="I243" s="24" t="n">
        <x:v>28.419424947587455</x:v>
      </x:c>
      <x:c r="J243" s="25" t="n">
        <x:v>449</x:v>
      </x:c>
      <x:c r="K243" s="25" t="n">
        <x:v>203</x:v>
      </x:c>
      <x:c r="L243" s="24" t="n">
        <x:v>30</x:v>
      </x:c>
      <x:c r="M243" s="24" t="n">
        <x:v>2000</x:v>
      </x:c>
      <x:c r="N243" s="25" t="n">
        <x:v>824</x:v>
      </x:c>
      <x:c r="O243" s="25" t="n">
        <x:v>9</x:v>
      </x:c>
      <x:c r="P243" s="24" t="n">
        <x:v>1.5007252736483179</x:v>
      </x:c>
      <x:c r="Q243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3"/>
      <x:c r="S243" t="str">
        <x:v>Preserve consumed record; new data/scope requires a new ID</x:v>
      </x:c>
      <x:c r="T243" t="str">
        <x:v>../Project Recherche Data/pta-campaign01-20260908/epta/J1801-1417/run01/result.json</x:v>
      </x:c>
      <x:c r="U243" t="str">
        <x:v>9cb99e36a5eccf20fa0cd565d08e4cf4359040e1fc8126e62e523a4ac2eb36a6</x:v>
      </x:c>
      <x:c r="V243" t="str">
        <x:v>observed=198b9096d4c6c6776258845fe5955599b7e23c0c163961ae1da7beec97b65118; calibration=4402e4f0fae7552120a9dc8ec843733c298f41d26e626545327d3d27cd620de2</x:v>
      </x:c>
    </x:row>
    <x:row r="244" ht="15" hidden="0" customHeight="1">
      <x:c r="A244" t="str">
        <x:v>pta-campaign01-20260908-epta-J1843-1113-run01</x:v>
      </x:c>
      <x:c r="B244" t="str">
        <x:v>J1843-1113</x:v>
      </x:c>
      <x:c r="C244" t="str">
        <x:v>EPTA DR2full, Zenodo 8164425; circular search</x:v>
      </x:c>
      <x:c r="D244" t="str">
        <x:v>NO_TRIGGER</x:v>
      </x:c>
      <x:c r="E244" s="23" t="n">
        <x:v>36.73449502645931</x:v>
      </x:c>
      <x:c r="F244" t="str">
        <x:v>Strongest eligible grid peak; candidate status is separate</x:v>
      </x:c>
      <x:c r="G244" s="24" t="n">
        <x:v>0.18048733030902522</x:v>
      </x:c>
      <x:c r="H244" s="24" t="n">
        <x:v>11.724848322915612</x:v>
      </x:c>
      <x:c r="I244" s="24" t="n">
        <x:v>28.82451392847573</x:v>
      </x:c>
      <x:c r="J244" s="25" t="n">
        <x:v>893</x:v>
      </x:c>
      <x:c r="K244" s="25" t="n">
        <x:v>444</x:v>
      </x:c>
      <x:c r="L244" s="24" t="n">
        <x:v>30</x:v>
      </x:c>
      <x:c r="M244" s="24" t="n">
        <x:v>2000</x:v>
      </x:c>
      <x:c r="N244" s="25" t="n">
        <x:v>1009</x:v>
      </x:c>
      <x:c r="O244" s="25" t="n">
        <x:v>11</x:v>
      </x:c>
      <x:c r="P244" s="24" t="n">
        <x:v>0.3933540243874286</x:v>
      </x:c>
      <x:c r="Q244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4"/>
      <x:c r="S244" t="str">
        <x:v>Preserve consumed record; new data/scope requires a new ID</x:v>
      </x:c>
      <x:c r="T244" t="str">
        <x:v>../Project Recherche Data/pta-campaign01-20260908/epta/J1843-1113/run01/result.json</x:v>
      </x:c>
      <x:c r="U244" t="str">
        <x:v>7a46cc91233569ab0a78be8edf01c79e224f8cbb0195453d304ba05f1ee7def3</x:v>
      </x:c>
      <x:c r="V244" t="str">
        <x:v>observed=446d64c337f7407ad40f68a02907e4f0a98a4161b33d84b658051bda028b996c; calibration=20d6eadcd2b44f0f8801a99900cba673482100aa6d899fc0708231f45c7a5afa</x:v>
      </x:c>
    </x:row>
    <x:row r="245" ht="15" hidden="0" customHeight="1">
      <x:c r="A245" t="str">
        <x:v>pta-campaign01-20260908-epta-J1911+1347-run01</x:v>
      </x:c>
      <x:c r="B245" t="str">
        <x:v>J1911+1347</x:v>
      </x:c>
      <x:c r="C245" t="str">
        <x:v>EPTA DR2full, Zenodo 8164425; circular search</x:v>
      </x:c>
      <x:c r="D245" t="str">
        <x:v>NO_TRIGGER</x:v>
      </x:c>
      <x:c r="E245" s="23" t="n">
        <x:v>44.41229611949019</x:v>
      </x:c>
      <x:c r="F245" t="str">
        <x:v>Strongest eligible grid peak; candidate status is separate</x:v>
      </x:c>
      <x:c r="G245" s="24" t="n">
        <x:v>0.15135834856908678</x:v>
      </x:c>
      <x:c r="H245" s="24" t="n">
        <x:v>14.892460595908027</x:v>
      </x:c>
      <x:c r="I245" s="24" t="n">
        <x:v>28.48860298275187</x:v>
      </x:c>
      <x:c r="J245" s="25" t="n">
        <x:v>886</x:v>
      </x:c>
      <x:c r="K245" s="25" t="n">
        <x:v>366</x:v>
      </x:c>
      <x:c r="L245" s="24" t="n">
        <x:v>30</x:v>
      </x:c>
      <x:c r="M245" s="24" t="n">
        <x:v>2000</x:v>
      </x:c>
      <x:c r="N245" s="25" t="n">
        <x:v>853</x:v>
      </x:c>
      <x:c r="O245" s="25" t="n">
        <x:v>11</x:v>
      </x:c>
      <x:c r="P245" s="24" t="n">
        <x:v>0.28944611834214473</x:v>
      </x:c>
      <x:c r="Q245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5"/>
      <x:c r="S245" t="str">
        <x:v>Preserve consumed record; new data/scope requires a new ID</x:v>
      </x:c>
      <x:c r="T245" t="str">
        <x:v>../Project Recherche Data/pta-campaign01-20260908/epta/J1911+1347/run01/result.json</x:v>
      </x:c>
      <x:c r="U245" t="str">
        <x:v>f237a1c1a4f8119ef67bda7b25a254a0a0ef14ff32e1187224620ba20be84580</x:v>
      </x:c>
      <x:c r="V245" t="str">
        <x:v>observed=326c0e753e36b068403928d684361c26a87284ac1f6e12dae1d7fcb5311c0224; calibration=ee039a0c6ff6c236055da1c00a618b6891d280123ef05ddb5a274e5fa99e4ae8</x:v>
      </x:c>
    </x:row>
    <x:row r="246" ht="15" hidden="0" customHeight="1">
      <x:c r="A246" t="str">
        <x:v>pta-campaign01-20260908-epta-J2124-3358-run01</x:v>
      </x:c>
      <x:c r="B246" t="str">
        <x:v>J2124-3358</x:v>
      </x:c>
      <x:c r="C246" t="str">
        <x:v>EPTA DR2full, Zenodo 8164425; circular search</x:v>
      </x:c>
      <x:c r="D246" t="str">
        <x:v>NO_TRIGGER</x:v>
      </x:c>
      <x:c r="E246" s="23" t="n">
        <x:v>91.19846783440062</x:v>
      </x:c>
      <x:c r="F246" t="str">
        <x:v>Strongest eligible grid peak; candidate status is separate</x:v>
      </x:c>
      <x:c r="G246" s="24" t="n">
        <x:v>0.2459507926839299</x:v>
      </x:c>
      <x:c r="H246" s="24" t="n">
        <x:v>10.818233144602605</x:v>
      </x:c>
      <x:c r="I246" s="24" t="n">
        <x:v>28.729112789099926</x:v>
      </x:c>
      <x:c r="J246" s="25" t="n">
        <x:v>2018</x:v>
      </x:c>
      <x:c r="K246" s="25" t="n">
        <x:v>863</x:v>
      </x:c>
      <x:c r="L246" s="24" t="n">
        <x:v>30</x:v>
      </x:c>
      <x:c r="M246" s="24" t="n">
        <x:v>2000</x:v>
      </x:c>
      <x:c r="N246" s="25" t="n">
        <x:v>962</x:v>
      </x:c>
      <x:c r="O246" s="25" t="n">
        <x:v>11</x:v>
      </x:c>
      <x:c r="P246" s="24" t="n">
        <x:v>0.5475555799750652</x:v>
      </x:c>
      <x:c r="Q246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6"/>
      <x:c r="S246" t="str">
        <x:v>Preserve consumed record; new data/scope requires a new ID</x:v>
      </x:c>
      <x:c r="T246" t="str">
        <x:v>../Project Recherche Data/pta-campaign01-20260908/epta/J2124-3358/run01/result.json</x:v>
      </x:c>
      <x:c r="U246" t="str">
        <x:v>7c1014b7252a6acba22d75877b80766c03d10281933ae1528cf58f5e275d31c8</x:v>
      </x:c>
      <x:c r="V246" t="str">
        <x:v>observed=05599e046a9c1794fbfad4e58486fb31bcb220760694b08f96976f68a5c13e3c; calibration=3cb8665fab7df899467590b9ad16e0b5a651f66fc3eb29b047628d8a3d5a242b</x:v>
      </x:c>
    </x:row>
    <x:row r="247" ht="15" hidden="0" customHeight="1">
      <x:c r="A247" t="str">
        <x:v>pta-campaign01-20260908-epta-J2322+2057-run01</x:v>
      </x:c>
      <x:c r="B247" t="str">
        <x:v>J2322+2057</x:v>
      </x:c>
      <x:c r="C247" t="str">
        <x:v>EPTA DR2full, Zenodo 8164425; circular search</x:v>
      </x:c>
      <x:c r="D247" t="str">
        <x:v>NO_TRIGGER</x:v>
      </x:c>
      <x:c r="E247" s="23" t="n">
        <x:v>208.84503996377913</x:v>
      </x:c>
      <x:c r="F247" t="str">
        <x:v>Strongest eligible grid peak; candidate status is separate</x:v>
      </x:c>
      <x:c r="G247" s="24" t="n">
        <x:v>0.5042036682937246</x:v>
      </x:c>
      <x:c r="H247" s="24" t="n">
        <x:v>5.291781949953149</x:v>
      </x:c>
      <x:c r="I247" s="24" t="n">
        <x:v>28.555467999782095</x:v>
      </x:c>
      <x:c r="J247" s="25" t="n">
        <x:v>804</x:v>
      </x:c>
      <x:c r="K247" s="25" t="n">
        <x:v>377</x:v>
      </x:c>
      <x:c r="L247" s="24" t="n">
        <x:v>30</x:v>
      </x:c>
      <x:c r="M247" s="24" t="n">
        <x:v>2000</x:v>
      </x:c>
      <x:c r="N247" s="25" t="n">
        <x:v>882</x:v>
      </x:c>
      <x:c r="O247" s="25" t="n">
        <x:v>16</x:v>
      </x:c>
      <x:c r="P247" s="24" t="n">
        <x:v>1.7631505101785128</x:v>
      </x:c>
      <x:c r="Q247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7"/>
      <x:c r="S247" t="str">
        <x:v>Preserve consumed record; new data/scope requires a new ID</x:v>
      </x:c>
      <x:c r="T247" t="str">
        <x:v>../Project Recherche Data/pta-campaign01-20260908/epta/J2322+2057/run01/result.json</x:v>
      </x:c>
      <x:c r="U247" t="str">
        <x:v>7563a1d999ec8c056c9819199586ab473704ca3f1c70990755fc016c9670e755</x:v>
      </x:c>
      <x:c r="V247" t="str">
        <x:v>observed=136a147d10f375966005f42f558a90b0377b300feb1688ead35fdc020f6f8ac1; calibration=de2e8004f2cba5e4b0e7952cd9e108064a0a6063661efb2a31757e864af1c410</x:v>
      </x:c>
    </x:row>
    <x:row r="248" ht="15" hidden="0" customHeight="1">
      <x:c r="A248" t="str">
        <x:v>pta-campaign01-20260908-inpta-J1730-2304-run01</x:v>
      </x:c>
      <x:c r="B248" t="str">
        <x:v>J1730-2304</x:v>
      </x:c>
      <x:c r="C248" t="str">
        <x:v>InPTA DR2; circular search</x:v>
      </x:c>
      <x:c r="D248" t="str">
        <x:v>NO_TRIGGER</x:v>
      </x:c>
      <x:c r="E248" s="23" t="n">
        <x:v>125.22273551383806</x:v>
      </x:c>
      <x:c r="F248" t="str">
        <x:v>Strongest eligible grid peak; candidate status is separate</x:v>
      </x:c>
      <x:c r="G248" s="24" t="n">
        <x:v>2.741997205687031</x:v>
      </x:c>
      <x:c r="H248" s="24" t="n">
        <x:v>14.65452534174992</x:v>
      </x:c>
      <x:c r="I248" s="24" t="n">
        <x:v>27.11865430514373</x:v>
      </x:c>
      <x:c r="J248" s="25" t="n">
        <x:v>5585</x:v>
      </x:c>
      <x:c r="K248" s="25" t="n">
        <x:v>104</x:v>
      </x:c>
      <x:c r="L248" s="24" t="n">
        <x:v>30</x:v>
      </x:c>
      <x:c r="M248" s="24" t="n">
        <x:v>1314.8387228952997</x:v>
      </x:c>
      <x:c r="N248" s="25" t="n">
        <x:v>430</x:v>
      </x:c>
      <x:c r="O248" s="25" t="n">
        <x:v>20</x:v>
      </x:c>
      <x:c r="P248" s="24" t="n">
        <x:v>4.461299174035373</x:v>
      </x:c>
      <x:c r="Q248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8"/>
      <x:c r="S248" t="str">
        <x:v>Preserve consumed record; new data/scope requires a new ID</x:v>
      </x:c>
      <x:c r="T248" t="str">
        <x:v>../Project Recherche Data/pta-campaign01-20260908/inpta/J1730-2304/run01/result.json</x:v>
      </x:c>
      <x:c r="U248" t="str">
        <x:v>49e39191b3b6911dc63bbdfb3843b216fbdc4ea02a3a5df7db85f47b07a02985</x:v>
      </x:c>
      <x:c r="V248" t="str">
        <x:v>observed=548b980c3bcd01183abbd492ac60355d6ec02d615c3f197127b1c34787ce5f6e; calibration=eb04b97da4b30c3c4b2dcab677bab4520469273c52256a8cb71620433a692437</x:v>
      </x:c>
    </x:row>
    <x:row r="249" ht="15" hidden="0" customHeight="1">
      <x:c r="A249" t="str">
        <x:v>pta-campaign01-20260908-inpta-J1939+2134-run01</x:v>
      </x:c>
      <x:c r="B249" t="str">
        <x:v>J1939+2134</x:v>
      </x:c>
      <x:c r="C249" t="str">
        <x:v>InPTA DR2; circular search</x:v>
      </x:c>
      <x:c r="D249" t="str">
        <x:v>PERIODIC_SIGNAL_CANDIDATE</x:v>
      </x:c>
      <x:c r="E249" s="23" t="n">
        <x:v>567.405409397045</x:v>
      </x:c>
      <x:c r="F249" t="str">
        <x:v>Strongest eligible grid peak; candidate status is separate</x:v>
      </x:c>
      <x:c r="G249" s="24" t="n">
        <x:v>1.7860598906862746</x:v>
      </x:c>
      <x:c r="H249" s="24" t="n">
        <x:v>149.35339283740004</x:v>
      </x:c>
      <x:c r="I249" s="24" t="n">
        <x:v>26.712656334700245</x:v>
      </x:c>
      <x:c r="J249" s="25" t="n">
        <x:v>18191</x:v>
      </x:c>
      <x:c r="K249" s="25" t="n">
        <x:v>157</x:v>
      </x:c>
      <x:c r="L249" s="24" t="n">
        <x:v>30</x:v>
      </x:c>
      <x:c r="M249" s="24" t="n">
        <x:v>1078.0702778543855</x:v>
      </x:c>
      <x:c r="N249" s="25" t="n">
        <x:v>351</x:v>
      </x:c>
      <x:c r="O249" s="25" t="n">
        <x:v>12</x:v>
      </x:c>
      <x:c r="P249" s="24" t="n">
        <x:v>0.9483266883863343</x:v>
      </x:c>
      <x:c r="Q249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49"/>
      <x:c r="S249" t="str">
        <x:v>Preserve consumed record; new data/scope requires a new ID</x:v>
      </x:c>
      <x:c r="T249" t="str">
        <x:v>../Project Recherche Data/pta-campaign01-20260908/inpta/J1939+2134/run01/result.json</x:v>
      </x:c>
      <x:c r="U249" t="str">
        <x:v>f027268999ab65e90ef34988839c628f7eb823b0253365c6f4dd8d774a5bf1d7</x:v>
      </x:c>
      <x:c r="V249" t="str">
        <x:v>observed=bfb3d0279c3c11e2dd6965542cdccf5efb8dade1ca5e397c86306f227cb660ec; calibration=150a920b1c759cd22c96ef66b6c044f71d5e5e27c3122de16f29ef3c2a6e2441</x:v>
      </x:c>
    </x:row>
    <x:row r="250" ht="15" hidden="0" customHeight="1">
      <x:c r="A250" t="str">
        <x:v>pta-campaign01-20260908-inpta-J2124-3358-run01</x:v>
      </x:c>
      <x:c r="B250" t="str">
        <x:v>J2124-3358</x:v>
      </x:c>
      <x:c r="C250" t="str">
        <x:v>InPTA DR2; circular search</x:v>
      </x:c>
      <x:c r="D250" t="str">
        <x:v>NO_TRIGGER</x:v>
      </x:c>
      <x:c r="E250" s="23" t="n">
        <x:v>35.8163036801804</x:v>
      </x:c>
      <x:c r="F250" t="str">
        <x:v>Strongest eligible grid peak; candidate status is separate</x:v>
      </x:c>
      <x:c r="G250" s="24" t="n">
        <x:v>2.699092429312468</x:v>
      </x:c>
      <x:c r="H250" s="24" t="n">
        <x:v>7.963332809493658</x:v>
      </x:c>
      <x:c r="I250" s="24" t="n">
        <x:v>26.712656334700245</x:v>
      </x:c>
      <x:c r="J250" s="25" t="n">
        <x:v>5153</x:v>
      </x:c>
      <x:c r="K250" s="25" t="n">
        <x:v>129</x:v>
      </x:c>
      <x:c r="L250" s="24" t="n">
        <x:v>30</x:v>
      </x:c>
      <x:c r="M250" s="24" t="n">
        <x:v>1078.0707407734299</x:v>
      </x:c>
      <x:c r="N250" s="25" t="n">
        <x:v>351</x:v>
      </x:c>
      <x:c r="O250" s="25" t="n">
        <x:v>12</x:v>
      </x:c>
      <x:c r="P250" s="24" t="n">
        <x:v>6.6495278320420255</x:v>
      </x:c>
      <x:c r="Q250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50"/>
      <x:c r="S250" t="str">
        <x:v>Preserve consumed record; new data/scope requires a new ID</x:v>
      </x:c>
      <x:c r="T250" t="str">
        <x:v>../Project Recherche Data/pta-campaign01-20260908/inpta/J2124-3358/run01/result.json</x:v>
      </x:c>
      <x:c r="U250" t="str">
        <x:v>b6117b2e1f22a2c1406800aa57b674608f2f2d20497e0b0b36ab169e464870a8</x:v>
      </x:c>
      <x:c r="V250" t="str">
        <x:v>observed=7f5373b9cb53024dd8b47b9fd1da898288698d40d63537be9103bf9611b5ed11; calibration=3086ef0da607b79cd1fb59303d52d7cc2b31338988d7e3ea93da53276103ba64</x:v>
      </x:c>
    </x:row>
    <x:row r="251" ht="15" hidden="0" customHeight="1">
      <x:c r="A251" t="str">
        <x:v>pta-campaign01-repair01-20260909-epta-J1730-2304-run01</x:v>
      </x:c>
      <x:c r="B251" t="str">
        <x:v>J1730-2304</x:v>
      </x:c>
      <x:c r="C251" t="str">
        <x:v>EPTA DR2full, Zenodo 8164425; corrected Tempo2 import; circular search</x:v>
      </x:c>
      <x:c r="D251" t="str">
        <x:v>NO_TRIGGER</x:v>
      </x:c>
      <x:c r="E251" s="23" t="n">
        <x:v>53.69707364934598</x:v>
      </x:c>
      <x:c r="F251" t="str">
        <x:v>Strongest eligible grid peak; candidate status is separate</x:v>
      </x:c>
      <x:c r="G251" s="24" t="n">
        <x:v>0.12038865220210215</x:v>
      </x:c>
      <x:c r="H251" s="24" t="n">
        <x:v>11.129328790577889</x:v>
      </x:c>
      <x:c r="I251" s="24" t="n">
        <x:v>28.7394808786751</x:v>
      </x:c>
      <x:c r="J251" s="25" t="n">
        <x:v>1315</x:v>
      </x:c>
      <x:c r="K251" s="25" t="n">
        <x:v>515</x:v>
      </x:c>
      <x:c r="L251" s="24" t="n">
        <x:v>30</x:v>
      </x:c>
      <x:c r="M251" s="24" t="n">
        <x:v>2000</x:v>
      </x:c>
      <x:c r="N251" s="25" t="n">
        <x:v>967</x:v>
      </x:c>
      <x:c r="O251" s="25" t="n">
        <x:v>14</x:v>
      </x:c>
      <x:c r="P251" s="24" t="n">
        <x:v>0.2590354193429726</x:v>
      </x:c>
      <x:c r="Q251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51"/>
      <x:c r="S251" t="str">
        <x:v>Preserve consumed record; new data/scope requires a new ID</x:v>
      </x:c>
      <x:c r="T251" t="str">
        <x:v>../Project Recherche Data/pta-campaign01-repair01-20260909/epta/J1730-2304/run01/result.json</x:v>
      </x:c>
      <x:c r="U251" t="str">
        <x:v>db4491a6caf63c87d753451476057cc90408d4d568cc997040f15670985bef94</x:v>
      </x:c>
      <x:c r="V251" t="str">
        <x:v>observed=a7ae5387b70366b5b8d17f59b12a3752da0d95f9a18e96264e366bf9b155bdcb; calibration=81900c52d1c96538e04bc5cebb8a6a681b1217755a53ca9334c644a1c9380a0e</x:v>
      </x:c>
    </x:row>
    <x:row r="252" ht="15" hidden="0" customHeight="1">
      <x:c r="A252" t="str">
        <x:v>pta-campaign01-repair01-20260909-epta-J1744-1134-run01</x:v>
      </x:c>
      <x:c r="B252" t="str">
        <x:v>J1744-1134</x:v>
      </x:c>
      <x:c r="C252" t="str">
        <x:v>EPTA DR2full, Zenodo 8164425; corrected Tempo2 import; circular search</x:v>
      </x:c>
      <x:c r="D252" t="str">
        <x:v>NO_TRIGGER</x:v>
      </x:c>
      <x:c r="E252" s="23" t="n">
        <x:v>30.495271743134737</x:v>
      </x:c>
      <x:c r="F252" t="str">
        <x:v>Strongest eligible grid peak; candidate status is separate</x:v>
      </x:c>
      <x:c r="G252" s="24" t="n">
        <x:v>0.08703391598487425</x:v>
      </x:c>
      <x:c r="H252" s="24" t="n">
        <x:v>15.774788158869256</x:v>
      </x:c>
      <x:c r="I252" s="24" t="n">
        <x:v>29.537269079767555</x:v>
      </x:c>
      <x:c r="J252" s="25" t="n">
        <x:v>1946</x:v>
      </x:c>
      <x:c r="K252" s="25" t="n">
        <x:v>890</x:v>
      </x:c>
      <x:c r="L252" s="24" t="n">
        <x:v>30</x:v>
      </x:c>
      <x:c r="M252" s="24" t="n">
        <x:v>2000</x:v>
      </x:c>
      <x:c r="N252" s="25" t="n">
        <x:v>1441</x:v>
      </x:c>
      <x:c r="O252" s="25" t="n">
        <x:v>11</x:v>
      </x:c>
      <x:c r="P252" s="24" t="n">
        <x:v>0.17779472474611357</x:v>
      </x:c>
      <x:c r="Q252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52"/>
      <x:c r="S252" t="str">
        <x:v>Preserve consumed record; new data/scope requires a new ID</x:v>
      </x:c>
      <x:c r="T252" t="str">
        <x:v>../Project Recherche Data/pta-campaign01-repair01-20260909/epta/J1744-1134/run01/result.json</x:v>
      </x:c>
      <x:c r="U252" t="str">
        <x:v>3656624e9210cf9c5b837d26e5e329c991eb65d7dd3ff2e032e72b364634d68c</x:v>
      </x:c>
      <x:c r="V252" t="str">
        <x:v>observed=e028285a7f7540f700d0f21e6d9c2d2475fd24c882fc86bbf14d0f09c821bbc3; calibration=31765da6f24aaf316d9f1481f4c6af9c068b4afbaaeec9d4b75e66cca248b8d4</x:v>
      </x:c>
    </x:row>
    <x:row r="253" ht="15" hidden="0" customHeight="1">
      <x:c r="A253" t="str">
        <x:v>pta-campaign01-repair01-20260909-epta-J1911+1347-run01</x:v>
      </x:c>
      <x:c r="B253" t="str">
        <x:v>J1911+1347</x:v>
      </x:c>
      <x:c r="C253" t="str">
        <x:v>EPTA DR2full, Zenodo 8164425; corrected Tempo2 import; circular search</x:v>
      </x:c>
      <x:c r="D253" t="str">
        <x:v>NO_TRIGGER</x:v>
      </x:c>
      <x:c r="E253" s="23" t="n">
        <x:v>44.41229611949019</x:v>
      </x:c>
      <x:c r="F253" t="str">
        <x:v>Strongest eligible grid peak; candidate status is separate</x:v>
      </x:c>
      <x:c r="G253" s="24" t="n">
        <x:v>0.15162453186614946</x:v>
      </x:c>
      <x:c r="H253" s="24" t="n">
        <x:v>14.94407089928648</x:v>
      </x:c>
      <x:c r="I253" s="24" t="n">
        <x:v>28.48860298275187</x:v>
      </x:c>
      <x:c r="J253" s="25" t="n">
        <x:v>882</x:v>
      </x:c>
      <x:c r="K253" s="25" t="n">
        <x:v>362</x:v>
      </x:c>
      <x:c r="L253" s="24" t="n">
        <x:v>30</x:v>
      </x:c>
      <x:c r="M253" s="24" t="n">
        <x:v>2000</x:v>
      </x:c>
      <x:c r="N253" s="25" t="n">
        <x:v>853</x:v>
      </x:c>
      <x:c r="O253" s="25" t="n">
        <x:v>11</x:v>
      </x:c>
      <x:c r="P253" s="24" t="n">
        <x:v>0.2894572161141427</x:v>
      </x:c>
      <x:c r="Q253" t="str">
        <x:v>Fixed released white and available correlated noise; InPTA DMX release provides EFAC only. Conditional Gaussian fixed covariance/design; 1.0% union-bound allowance for at most 18 fixed grids. 95% detection probability; circular on-grid signal; fixed published noise; not a posterior upper limit</x:v>
      </x:c>
      <x:c r="R253"/>
      <x:c r="S253" t="str">
        <x:v>Preserve consumed record; new data/scope requires a new ID</x:v>
      </x:c>
      <x:c r="T253" t="str">
        <x:v>../Project Recherche Data/pta-campaign01-repair01-20260909/epta/J1911+1347/run01/result.json</x:v>
      </x:c>
      <x:c r="U253" t="str">
        <x:v>d0a76523233967cfbee371b98b3340ae0e8346113038343419e014245fbfdbfe</x:v>
      </x:c>
      <x:c r="V253" t="str">
        <x:v>observed=c2d9b7ed893916c45dd7f744c336189fd73e8e182989cd25de63c9fe1c87981f; calibration=1885fbd5172f3437279e7cc428d6eff64254bd2ffe45e891125e1ee4d4473531</x:v>
      </x:c>
    </x:row>
    <x:row r="254" ht="15" hidden="0" customHeight="1">
      <x:c r="A254" t="str">
        <x:v>utmost-preparation01-20260909-J1807-0847-run01</x:v>
      </x:c>
      <x:c r="B254" t="str">
        <x:v>J1807-0847</x:v>
      </x:c>
      <x:c r="C254" t="str">
        <x:v>UTMOST DR1; original circular search</x:v>
      </x:c>
      <x:c r="D254" t="str">
        <x:v>NO_TRIGGER</x:v>
      </x:c>
      <x:c r="E254" s="23" t="n">
        <x:v>293.1194718121811</x:v>
      </x:c>
      <x:c r="F254" t="str">
        <x:v>Strongest eligible grid peak; candidate status is separate</x:v>
      </x:c>
      <x:c r="G254" s="24" t="n">
        <x:v>29.780051475828408</x:v>
      </x:c>
      <x:c r="H254" s="24" t="n">
        <x:v>10.880310136653696</x:v>
      </x:c>
      <x:c r="I254" s="24" t="n">
        <x:v>22.619169081904396</x:v>
      </x:c>
      <x:c r="J254" s="25" t="n">
        <x:v>74</x:v>
      </x:c>
      <x:c r="K254" s="25" t="n">
        <x:v>68</x:v>
      </x:c>
      <x:c r="L254" s="24" t="n">
        <x:v>30</x:v>
      </x:c>
      <x:c r="M254" s="24" t="n">
        <x:v>400</x:v>
      </x:c>
      <x:c r="N254" s="25" t="n">
        <x:v>204</x:v>
      </x:c>
      <x:c r="O254" s="25" t="n">
        <x:v>5</x:v>
      </x:c>
      <x:c r="P254" s="24" t="n">
        <x:v>47.63843738625763</x:v>
      </x:c>
      <x:c r="Q254" t="str">
        <x:v>Fixed released single-band total timing noise; no epoch DM. Conditional Gaussian fixed covariance/design; 1.0% union-bound allowance for at most 4 fixed grids. 95% detection probability; circular on-grid signal; fixed published noise; not a posterior upper limit</x:v>
      </x:c>
      <x:c r="R254"/>
      <x:c r="S254" t="str">
        <x:v>Preserve consumed record; new data/scope requires a new ID</x:v>
      </x:c>
      <x:c r="T254" t="str">
        <x:v>../Project Recherche Data/utmost-preparation01-20260909/J1807-0847/run01/result.json</x:v>
      </x:c>
      <x:c r="U254" t="str">
        <x:v>d5340d9631f9ab8a0b1e3995e3619e08f85dc839c5c0c25fc7c5eb967e5d3581</x:v>
      </x:c>
      <x:c r="V254" t="str">
        <x:v>observed=96f1ca21fd78d1ffe62de0984592f57b850d6e3170229dd23f2f97d46b941af2; calibration=37e59b2b72f41807f2d03441737fb83e25f524c887097c4c17efd9a7a568dd25</x:v>
      </x:c>
    </x:row>
    <x:row r="255" ht="15" hidden="0" customHeight="1">
      <x:c r="A255" t="str">
        <x:v>utmost-preparation01-20260909-J0134-2937-run01</x:v>
      </x:c>
      <x:c r="B255" t="str">
        <x:v>J0134-2937</x:v>
      </x:c>
      <x:c r="C255" t="str">
        <x:v>UTMOST DR1; original circular search</x:v>
      </x:c>
      <x:c r="D255" t="str">
        <x:v>NO_TRIGGER</x:v>
      </x:c>
      <x:c r="E255" s="23" t="n">
        <x:v>34.74562884197467</x:v>
      </x:c>
      <x:c r="F255" t="str">
        <x:v>Strongest eligible grid peak; candidate status is separate</x:v>
      </x:c>
      <x:c r="G255" s="24" t="n">
        <x:v>20.459531987696153</x:v>
      </x:c>
      <x:c r="H255" s="24" t="n">
        <x:v>7.389214830228701</x:v>
      </x:c>
      <x:c r="I255" s="24" t="n">
        <x:v>22.46642312433525</x:v>
      </x:c>
      <x:c r="J255" s="25" t="n">
        <x:v>198</x:v>
      </x:c>
      <x:c r="K255" s="25" t="n">
        <x:v>189</x:v>
      </x:c>
      <x:c r="L255" s="24" t="n">
        <x:v>30</x:v>
      </x:c>
      <x:c r="M255" s="24" t="n">
        <x:v>400</x:v>
      </x:c>
      <x:c r="N255" s="25" t="n">
        <x:v>189</x:v>
      </x:c>
      <x:c r="O255" s="25" t="n">
        <x:v>5</x:v>
      </x:c>
      <x:c r="P255" s="24" t="n">
        <x:v>50.192454703743536</x:v>
      </x:c>
      <x:c r="Q255" t="str">
        <x:v>Fixed released single-band total timing noise; no epoch DM. Conditional Gaussian fixed covariance/design; 1.0% union-bound allowance for at most 4 fixed grids. 95% detection probability; circular on-grid signal; fixed published noise; not a posterior upper limit</x:v>
      </x:c>
      <x:c r="R255"/>
      <x:c r="S255" t="str">
        <x:v>Preserve consumed record; new data/scope requires a new ID</x:v>
      </x:c>
      <x:c r="T255" t="str">
        <x:v>../Project Recherche Data/utmost-preparation01-20260909/J0134-2937/run01/result.json</x:v>
      </x:c>
      <x:c r="U255" t="str">
        <x:v>0f271ad86e33e4bacf4a4eaf2618c5f354f3ad7c2504027f5c4f0bb66eb94232</x:v>
      </x:c>
      <x:c r="V255" t="str">
        <x:v>observed=0b2e368ade81e9e7cf0729beaa749b5fd44ef84ec67b16957b30ac5479384c81; calibration=68cfd9317995489dd672edb0eca8e61a8e2c01cef5b35fbca258c81dda726d95</x:v>
      </x:c>
    </x:row>
    <x:row r="256" ht="15" hidden="0" customHeight="1">
      <x:c r="A256" t="str">
        <x:v>utmost-preparation01-20260909-J1453-6413-run01</x:v>
      </x:c>
      <x:c r="B256" t="str">
        <x:v>J1453-6413</x:v>
      </x:c>
      <x:c r="C256" t="str">
        <x:v>UTMOST DR1; original circular search</x:v>
      </x:c>
      <x:c r="D256" t="str">
        <x:v>NO_TRIGGER</x:v>
      </x:c>
      <x:c r="E256" s="23" t="n">
        <x:v>30.392166395628767</x:v>
      </x:c>
      <x:c r="F256" t="str">
        <x:v>Strongest eligible grid peak; candidate status is separate</x:v>
      </x:c>
      <x:c r="G256" s="24" t="n">
        <x:v>14.464291398790033</x:v>
      </x:c>
      <x:c r="H256" s="24" t="n">
        <x:v>16.591205808239067</x:v>
      </x:c>
      <x:c r="I256" s="24" t="n">
        <x:v>22.54933655169194</x:v>
      </x:c>
      <x:c r="J256" s="25" t="n">
        <x:v>234</x:v>
      </x:c>
      <x:c r="K256" s="25" t="n">
        <x:v>218</x:v>
      </x:c>
      <x:c r="L256" s="24" t="n">
        <x:v>30</x:v>
      </x:c>
      <x:c r="M256" s="24" t="n">
        <x:v>400</x:v>
      </x:c>
      <x:c r="N256" s="25" t="n">
        <x:v>197</x:v>
      </x:c>
      <x:c r="O256" s="25" t="n">
        <x:v>4</x:v>
      </x:c>
      <x:c r="P256" s="24" t="n">
        <x:v>22.910510429604177</x:v>
      </x:c>
      <x:c r="Q256" t="str">
        <x:v>Fixed released single-band total timing noise; no epoch DM. Conditional Gaussian fixed covariance/design; 1.0% union-bound allowance for at most 4 fixed grids. 95% detection probability; circular on-grid signal; fixed published noise; not a posterior upper limit</x:v>
      </x:c>
      <x:c r="R256"/>
      <x:c r="S256" t="str">
        <x:v>Preserve consumed record; new data/scope requires a new ID</x:v>
      </x:c>
      <x:c r="T256" t="str">
        <x:v>../Project Recherche Data/utmost-preparation01-20260909/J1453-6413/run01/result.json</x:v>
      </x:c>
      <x:c r="U256" t="str">
        <x:v>0a2417071de314741faa6689ba13792d6807bc8fdf0f38cb82ee996c60071b0e</x:v>
      </x:c>
      <x:c r="V256" t="str">
        <x:v>observed=f9962f67386d9832b6eca95a919370aec0ea70ea181eb57cf60a73e3dd68e239; calibration=949c0c8438257e9d992c518c0e9751056bde1d4c50ed5ff289070104bf5ad7dc</x:v>
      </x:c>
    </x:row>
    <x:row r="257" ht="15" hidden="0" customHeight="1">
      <x:c r="A257" t="str">
        <x:v>utmost-preparation01-20260909-J1224-6407-run01</x:v>
      </x:c>
      <x:c r="B257" t="str">
        <x:v>J1224-6407</x:v>
      </x:c>
      <x:c r="C257" t="str">
        <x:v>UTMOST DR1; original circular search</x:v>
      </x:c>
      <x:c r="D257" t="str">
        <x:v>NO_TRIGGER</x:v>
      </x:c>
      <x:c r="E257" s="23" t="n">
        <x:v>80.2306802503018</x:v>
      </x:c>
      <x:c r="F257" t="str">
        <x:v>Strongest eligible grid peak; candidate status is separate</x:v>
      </x:c>
      <x:c r="G257" s="24" t="n">
        <x:v>10.109911221959035</x:v>
      </x:c>
      <x:c r="H257" s="24" t="n">
        <x:v>5.811289473961779</x:v>
      </x:c>
      <x:c r="I257" s="24" t="n">
        <x:v>22.539158412676997</x:v>
      </x:c>
      <x:c r="J257" s="25" t="n">
        <x:v>367</x:v>
      </x:c>
      <x:c r="K257" s="25" t="n">
        <x:v>282</x:v>
      </x:c>
      <x:c r="L257" s="24" t="n">
        <x:v>30</x:v>
      </x:c>
      <x:c r="M257" s="24" t="n">
        <x:v>400</x:v>
      </x:c>
      <x:c r="N257" s="25" t="n">
        <x:v>196</x:v>
      </x:c>
      <x:c r="O257" s="25" t="n">
        <x:v>4</x:v>
      </x:c>
      <x:c r="P257" s="24" t="n">
        <x:v>26.71013380069649</x:v>
      </x:c>
      <x:c r="Q257" t="str">
        <x:v>Fixed released single-band total timing noise; no epoch DM. Conditional Gaussian fixed covariance/design; 1.0% union-bound allowance for at most 4 fixed grids. 95% detection probability; circular on-grid signal; fixed published noise; not a posterior upper limit</x:v>
      </x:c>
      <x:c r="R257"/>
      <x:c r="S257" t="str">
        <x:v>Preserve consumed record; new data/scope requires a new ID</x:v>
      </x:c>
      <x:c r="T257" t="str">
        <x:v>../Project Recherche Data/utmost-preparation01-20260909/J1224-6407/run01/result.json</x:v>
      </x:c>
      <x:c r="U257" t="str">
        <x:v>d6ef7388401982288d8a1e4baceb3089b56c9d136633734c53d80a510626116e</x:v>
      </x:c>
      <x:c r="V257" t="str">
        <x:v>observed=d5ac4baedc0caf34f47cd8efde4fa1c9e827e0dd726da62600ded74d01ce35fe; calibration=425be17cde3490fcb39a648d3d10620dd7546082e2e4facdb9d9a4da8762c77f</x:v>
      </x:c>
    </x:row>
    <x:row r="258" ht="15" hidden="0" customHeight="1">
      <x:c r="A258" t="str">
        <x:v>utmost-batch02-20260909-J1210-5559-run01</x:v>
      </x:c>
      <x:c r="B258" t="str">
        <x:v>J1210-5559</x:v>
      </x:c>
      <x:c r="C258" t="str">
        <x:v>UTMOST DR1; original circular search</x:v>
      </x:c>
      <x:c r="D258" t="str">
        <x:v>NO_TRIGGER</x:v>
      </x:c>
      <x:c r="E258" s="23" t="n">
        <x:v>34.26078637067208</x:v>
      </x:c>
      <x:c r="F258" t="str">
        <x:v>Strongest eligible grid peak; candidate status is separate</x:v>
      </x:c>
      <x:c r="G258" s="24" t="n">
        <x:v>9.849753284561775</x:v>
      </x:c>
      <x:c r="H258" s="24" t="n">
        <x:v>7.907854474988668</x:v>
      </x:c>
      <x:c r="I258" s="24" t="n">
        <x:v>26.183808339839242</x:v>
      </x:c>
      <x:c r="J258" s="25" t="n">
        <x:v>158</x:v>
      </x:c>
      <x:c r="K258" s="25" t="n">
        <x:v>136</x:v>
      </x:c>
      <x:c r="L258" s="24" t="n">
        <x:v>30</x:v>
      </x:c>
      <x:c r="M258" s="24" t="n">
        <x:v>400</x:v>
      </x:c>
      <x:c r="N258" s="25" t="n">
        <x:v>194</x:v>
      </x:c>
      <x:c r="O258" s="25" t="n">
        <x:v>5</x:v>
      </x:c>
      <x:c r="P258" s="24" t="n">
        <x:v>26.04514222515404</x:v>
      </x:c>
      <x:c r="Q25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58"/>
      <x:c r="S258" t="str">
        <x:v>Preserve consumed record; new data/scope requires a new ID</x:v>
      </x:c>
      <x:c r="T258" t="str">
        <x:v>../Project Recherche Data/utmost-batch02-20260909/J1210-5559/run01/result.json</x:v>
      </x:c>
      <x:c r="U258" t="str">
        <x:v>27a46138a08735b37d945f337401bbbdd8f966fd8208a9b9ecdf443a923a2b00</x:v>
      </x:c>
      <x:c r="V258" t="str">
        <x:v>observed=17fd6feca2a526156dac3ca15beae6e59ef2d7e75cc6b1ec4b8104c39060ef42; calibration=cb3bbd58b9841b0a1de75ba2df45aba8fafda2c0baa5dc28e38aeabe33f45b9b</x:v>
      </x:c>
    </x:row>
    <x:row r="259" ht="15" hidden="0" customHeight="1">
      <x:c r="A259" t="str">
        <x:v>utmost-batch02-20260909-J1243-6423-run01</x:v>
      </x:c>
      <x:c r="B259" t="str">
        <x:v>J1243-6423</x:v>
      </x:c>
      <x:c r="C259" t="str">
        <x:v>UTMOST DR1; original circular search</x:v>
      </x:c>
      <x:c r="D259" t="str">
        <x:v>NO_TRIGGER</x:v>
      </x:c>
      <x:c r="E259" s="23" t="n">
        <x:v>89.56215098930151</x:v>
      </x:c>
      <x:c r="F259" t="str">
        <x:v>Strongest eligible grid peak; candidate status is separate</x:v>
      </x:c>
      <x:c r="G259" s="24" t="n">
        <x:v>15.8531410044368</x:v>
      </x:c>
      <x:c r="H259" s="24" t="n">
        <x:v>12.380569917610508</x:v>
      </x:c>
      <x:c r="I259" s="24" t="n">
        <x:v>26.254701837830737</x:v>
      </x:c>
      <x:c r="J259" s="25" t="n">
        <x:v>345</x:v>
      </x:c>
      <x:c r="K259" s="25" t="n">
        <x:v>264</x:v>
      </x:c>
      <x:c r="L259" s="24" t="n">
        <x:v>30</x:v>
      </x:c>
      <x:c r="M259" s="24" t="n">
        <x:v>400</x:v>
      </x:c>
      <x:c r="N259" s="25" t="n">
        <x:v>201</x:v>
      </x:c>
      <x:c r="O259" s="25" t="n">
        <x:v>5</x:v>
      </x:c>
      <x:c r="P259" s="24" t="n">
        <x:v>30.723999344982666</x:v>
      </x:c>
      <x:c r="Q25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59"/>
      <x:c r="S259" t="str">
        <x:v>Preserve consumed record; new data/scope requires a new ID</x:v>
      </x:c>
      <x:c r="T259" t="str">
        <x:v>../Project Recherche Data/utmost-batch02-20260909/J1243-6423/run01/result.json</x:v>
      </x:c>
      <x:c r="U259" t="str">
        <x:v>16580e76ce0612ddf4d7973863aacac44b2dc031705a63255bf14102cfad8697</x:v>
      </x:c>
      <x:c r="V259" t="str">
        <x:v>observed=d9a3bb69c89627fa58441b55130a7b93413ab75a492a1cdd711bf8f7de32f4d1; calibration=a53fa1e36cf252aebb49589f0663f10d43f7d00de2f6441e1c9eb77484ab89ce</x:v>
      </x:c>
    </x:row>
    <x:row r="260" ht="15" hidden="0" customHeight="1">
      <x:c r="A260" t="str">
        <x:v>utmost-batch02-20260909-J1644-4559-run01</x:v>
      </x:c>
      <x:c r="B260" t="str">
        <x:v>J1644-4559</x:v>
      </x:c>
      <x:c r="C260" t="str">
        <x:v>UTMOST DR1; original circular search</x:v>
      </x:c>
      <x:c r="D260" t="str">
        <x:v>NO_TRIGGER</x:v>
      </x:c>
      <x:c r="E260" s="23" t="n">
        <x:v>30.808349283777325</x:v>
      </x:c>
      <x:c r="F260" t="str">
        <x:v>Strongest eligible grid peak; candidate status is separate</x:v>
      </x:c>
      <x:c r="G260" s="24" t="n">
        <x:v>15.660431569586352</x:v>
      </x:c>
      <x:c r="H260" s="24" t="n">
        <x:v>6.812859578545794</x:v>
      </x:c>
      <x:c r="I260" s="24" t="n">
        <x:v>26.49799205667539</x:v>
      </x:c>
      <x:c r="J260" s="25" t="n">
        <x:v>648</x:v>
      </x:c>
      <x:c r="K260" s="25" t="n">
        <x:v>433</x:v>
      </x:c>
      <x:c r="L260" s="24" t="n">
        <x:v>30</x:v>
      </x:c>
      <x:c r="M260" s="24" t="n">
        <x:v>400</x:v>
      </x:c>
      <x:c r="N260" s="25" t="n">
        <x:v>227</x:v>
      </x:c>
      <x:c r="O260" s="25" t="n">
        <x:v>6</x:v>
      </x:c>
      <x:c r="P260" s="24" t="n">
        <x:v>43.0038943657316</x:v>
      </x:c>
      <x:c r="Q26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0"/>
      <x:c r="S260" t="str">
        <x:v>Preserve consumed record; new data/scope requires a new ID</x:v>
      </x:c>
      <x:c r="T260" t="str">
        <x:v>../Project Recherche Data/utmost-batch02-20260909/J1644-4559/run01/result.json</x:v>
      </x:c>
      <x:c r="U260" t="str">
        <x:v>e6bf04dd38d9447ee4cef4c9e32533803b6853e3cb34dbbf3ec57458e6c451df</x:v>
      </x:c>
      <x:c r="V260" t="str">
        <x:v>observed=695528dde4ddf967261f98c64e83f90f65b56b97c56fb61be43d1d2f176b69d7; calibration=1569b70a7e6d085baef5f4e83103fb10429f394e7d90979686e49eef6620e9d2</x:v>
      </x:c>
    </x:row>
    <x:row r="261" ht="15" hidden="0" customHeight="1">
      <x:c r="A261" t="str">
        <x:v>utmost-batch02-20260909-J1430-6623-run01</x:v>
      </x:c>
      <x:c r="B261" t="str">
        <x:v>J1430-6623</x:v>
      </x:c>
      <x:c r="C261" t="str">
        <x:v>UTMOST DR1; original circular search</x:v>
      </x:c>
      <x:c r="D261" t="str">
        <x:v>NO_TRIGGER</x:v>
      </x:c>
      <x:c r="E261" s="23" t="n">
        <x:v>50.90463873830547</x:v>
      </x:c>
      <x:c r="F261" t="str">
        <x:v>Strongest eligible grid peak; candidate status is separate</x:v>
      </x:c>
      <x:c r="G261" s="24" t="n">
        <x:v>24.539217003505545</x:v>
      </x:c>
      <x:c r="H261" s="24" t="n">
        <x:v>10.78615157509074</x:v>
      </x:c>
      <x:c r="I261" s="24" t="n">
        <x:v>26.224626083101654</x:v>
      </x:c>
      <x:c r="J261" s="25" t="n">
        <x:v>170</x:v>
      </x:c>
      <x:c r="K261" s="25" t="n">
        <x:v>159</x:v>
      </x:c>
      <x:c r="L261" s="24" t="n">
        <x:v>30</x:v>
      </x:c>
      <x:c r="M261" s="24" t="n">
        <x:v>400</x:v>
      </x:c>
      <x:c r="N261" s="25" t="n">
        <x:v>198</x:v>
      </x:c>
      <x:c r="O261" s="25" t="n">
        <x:v>4</x:v>
      </x:c>
      <x:c r="P261" s="24" t="n">
        <x:v>50.27377609835298</x:v>
      </x:c>
      <x:c r="Q26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1"/>
      <x:c r="S261" t="str">
        <x:v>Preserve consumed record; new data/scope requires a new ID</x:v>
      </x:c>
      <x:c r="T261" t="str">
        <x:v>../Project Recherche Data/utmost-batch02-20260909/J1430-6623/run01/result.json</x:v>
      </x:c>
      <x:c r="U261" t="str">
        <x:v>7fb18410cdf2a7de7f72fd0dfe21e2d653efba3dce12237c0da720068a4f9496</x:v>
      </x:c>
      <x:c r="V261" t="str">
        <x:v>observed=9ad8718b3608be8ade1e3f546a6029501477b4153aa0d741c4af037b24e48268; calibration=f275d49f2c4ff6c80fb436e2377bcbdf6469c89b4070a3b7cea68a176107f3ed</x:v>
      </x:c>
    </x:row>
    <x:row r="262" ht="15" hidden="0" customHeight="1">
      <x:c r="A262" t="str">
        <x:v>utmost-batch02-20260909-J0837-4135-run01</x:v>
      </x:c>
      <x:c r="B262" t="str">
        <x:v>J0837-4135</x:v>
      </x:c>
      <x:c r="C262" t="str">
        <x:v>UTMOST DR1; original circular search</x:v>
      </x:c>
      <x:c r="D262" t="str">
        <x:v>NO_TRIGGER</x:v>
      </x:c>
      <x:c r="E262" s="23" t="n">
        <x:v>143.53611869082113</x:v>
      </x:c>
      <x:c r="F262" t="str">
        <x:v>Strongest eligible grid peak; candidate status is separate</x:v>
      </x:c>
      <x:c r="G262" s="24" t="n">
        <x:v>25.94207000153183</x:v>
      </x:c>
      <x:c r="H262" s="24" t="n">
        <x:v>7.977140115349236</x:v>
      </x:c>
      <x:c r="I262" s="24" t="n">
        <x:v>26.264627416514994</x:v>
      </x:c>
      <x:c r="J262" s="25" t="n">
        <x:v>140</x:v>
      </x:c>
      <x:c r="K262" s="25" t="n">
        <x:v>113</x:v>
      </x:c>
      <x:c r="L262" s="24" t="n">
        <x:v>30</x:v>
      </x:c>
      <x:c r="M262" s="24" t="n">
        <x:v>400</x:v>
      </x:c>
      <x:c r="N262" s="25" t="n">
        <x:v>202</x:v>
      </x:c>
      <x:c r="O262" s="25" t="n">
        <x:v>4</x:v>
      </x:c>
      <x:c r="P262" s="24" t="n">
        <x:v>61.66427954102839</x:v>
      </x:c>
      <x:c r="Q26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2"/>
      <x:c r="S262" t="str">
        <x:v>Preserve consumed record; new data/scope requires a new ID</x:v>
      </x:c>
      <x:c r="T262" t="str">
        <x:v>../Project Recherche Data/utmost-batch02-20260909/J0837-4135/run01/result.json</x:v>
      </x:c>
      <x:c r="U262" t="str">
        <x:v>905bff14623d0dfe7c787a2444c8aa7d2eca7a138eee519a55135a35cba11160</x:v>
      </x:c>
      <x:c r="V262" t="str">
        <x:v>observed=f5b9c9a3f5e99848a367be718bee092362a752f5344db5df30a97ab3b013d7d3; calibration=6c93efef83903fe060ce87e8a44a0b8f3743d1348d61e5309236d596dab7b179</x:v>
      </x:c>
    </x:row>
    <x:row r="263" ht="15" hidden="0" customHeight="1">
      <x:c r="A263" t="str">
        <x:v>utmost-batch02-20260909-J1326-5859-run01</x:v>
      </x:c>
      <x:c r="B263" t="str">
        <x:v>J1326-5859</x:v>
      </x:c>
      <x:c r="C263" t="str">
        <x:v>UTMOST DR1; original circular search</x:v>
      </x:c>
      <x:c r="D263" t="str">
        <x:v>NO_TRIGGER</x:v>
      </x:c>
      <x:c r="E263" s="23" t="n">
        <x:v>160.93199191708356</x:v>
      </x:c>
      <x:c r="F263" t="str">
        <x:v>Strongest eligible grid peak; candidate status is separate</x:v>
      </x:c>
      <x:c r="G263" s="24" t="n">
        <x:v>65.86885382059424</x:v>
      </x:c>
      <x:c r="H263" s="24" t="n">
        <x:v>7.628731890366681</x:v>
      </x:c>
      <x:c r="I263" s="24" t="n">
        <x:v>26.254701837830737</x:v>
      </x:c>
      <x:c r="J263" s="25" t="n">
        <x:v>306</x:v>
      </x:c>
      <x:c r="K263" s="25" t="n">
        <x:v>226</x:v>
      </x:c>
      <x:c r="L263" s="24" t="n">
        <x:v>30</x:v>
      </x:c>
      <x:c r="M263" s="24" t="n">
        <x:v>400</x:v>
      </x:c>
      <x:c r="N263" s="25" t="n">
        <x:v>201</x:v>
      </x:c>
      <x:c r="O263" s="25" t="n">
        <x:v>4</x:v>
      </x:c>
      <x:c r="P263" s="24" t="n">
        <x:v>67.26601864394907</x:v>
      </x:c>
      <x:c r="Q26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3"/>
      <x:c r="S263" t="str">
        <x:v>Preserve consumed record; new data/scope requires a new ID</x:v>
      </x:c>
      <x:c r="T263" t="str">
        <x:v>../Project Recherche Data/utmost-batch02-20260909/J1326-5859/run01/result.json</x:v>
      </x:c>
      <x:c r="U263" t="str">
        <x:v>911f9651a02ea9b2baa4419a46b4513346f40623aecd3538cf60fd0ab06fc272</x:v>
      </x:c>
      <x:c r="V263" t="str">
        <x:v>observed=c5d62ed4697722a983c7a64a2d3d81e4c9c2e9ecf9ea31a392b1b5e8c3e127b2; calibration=31c0b3508fe9c3d3ae1be27b4d68f357d57c33413150c04c92fd25ea3a8def7b</x:v>
      </x:c>
    </x:row>
    <x:row r="264" ht="15" hidden="0" customHeight="1">
      <x:c r="A264" t="str">
        <x:v>utmost-batch02-20260909-J0255-5304-run01</x:v>
      </x:c>
      <x:c r="B264" t="str">
        <x:v>J0255-5304</x:v>
      </x:c>
      <x:c r="C264" t="str">
        <x:v>UTMOST DR1; original circular search</x:v>
      </x:c>
      <x:c r="D264" t="str">
        <x:v>NO_TRIGGER</x:v>
      </x:c>
      <x:c r="E264" s="23" t="n">
        <x:v>55.36279692300096</x:v>
      </x:c>
      <x:c r="F264" t="str">
        <x:v>Strongest eligible grid peak; candidate status is separate</x:v>
      </x:c>
      <x:c r="G264" s="24" t="n">
        <x:v>36.132139502179136</x:v>
      </x:c>
      <x:c r="H264" s="24" t="n">
        <x:v>16.35392349198125</x:v>
      </x:c>
      <x:c r="I264" s="24" t="n">
        <x:v>26.32316818111522</x:v>
      </x:c>
      <x:c r="J264" s="25" t="n">
        <x:v>270</x:v>
      </x:c>
      <x:c r="K264" s="25" t="n">
        <x:v>257</x:v>
      </x:c>
      <x:c r="L264" s="24" t="n">
        <x:v>30</x:v>
      </x:c>
      <x:c r="M264" s="24" t="n">
        <x:v>400</x:v>
      </x:c>
      <x:c r="N264" s="25" t="n">
        <x:v>208</x:v>
      </x:c>
      <x:c r="O264" s="25" t="n">
        <x:v>4</x:v>
      </x:c>
      <x:c r="P264" s="24" t="n">
        <x:v>62.739361274232564</x:v>
      </x:c>
      <x:c r="Q26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4"/>
      <x:c r="S264" t="str">
        <x:v>Preserve consumed record; new data/scope requires a new ID</x:v>
      </x:c>
      <x:c r="T264" t="str">
        <x:v>../Project Recherche Data/utmost-batch02-20260909/J0255-5304/run01/result.json</x:v>
      </x:c>
      <x:c r="U264" t="str">
        <x:v>f80a20e217cf28c8514bd058fbe8ccb1914f67bd63a0a590e925bffae82a899a</x:v>
      </x:c>
      <x:c r="V264" t="str">
        <x:v>observed=5aa82415d8802d827d02c049e1aeee65b8325a59e4920b57c871829b59d02ab5; calibration=45548c559d87e21b23bf2b44865b39d86faae3b9f1fb79cfbc5857b8801b1f3f</x:v>
      </x:c>
    </x:row>
    <x:row r="265" ht="15" hidden="0" customHeight="1">
      <x:c r="A265" t="str">
        <x:v>utmost-batch02-20260909-J1544-5308-run01</x:v>
      </x:c>
      <x:c r="B265" t="str">
        <x:v>J1544-5308</x:v>
      </x:c>
      <x:c r="C265" t="str">
        <x:v>UTMOST DR1; original circular search</x:v>
      </x:c>
      <x:c r="D265" t="str">
        <x:v>NO_TRIGGER</x:v>
      </x:c>
      <x:c r="E265" s="23" t="n">
        <x:v>86.29987313068442</x:v>
      </x:c>
      <x:c r="F265" t="str">
        <x:v>Strongest eligible grid peak; candidate status is separate</x:v>
      </x:c>
      <x:c r="G265" s="24" t="n">
        <x:v>47.48070404388085</x:v>
      </x:c>
      <x:c r="H265" s="24" t="n">
        <x:v>11.784259879617895</x:v>
      </x:c>
      <x:c r="I265" s="24" t="n">
        <x:v>26.224626083101654</x:v>
      </x:c>
      <x:c r="J265" s="25" t="n">
        <x:v>164</x:v>
      </x:c>
      <x:c r="K265" s="25" t="n">
        <x:v>154</x:v>
      </x:c>
      <x:c r="L265" s="24" t="n">
        <x:v>30</x:v>
      </x:c>
      <x:c r="M265" s="24" t="n">
        <x:v>400</x:v>
      </x:c>
      <x:c r="N265" s="25" t="n">
        <x:v>198</x:v>
      </x:c>
      <x:c r="O265" s="25" t="n">
        <x:v>5</x:v>
      </x:c>
      <x:c r="P265" s="24" t="n">
        <x:v>89.64272828110472</x:v>
      </x:c>
      <x:c r="Q26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5"/>
      <x:c r="S265" t="str">
        <x:v>Preserve consumed record; new data/scope requires a new ID</x:v>
      </x:c>
      <x:c r="T265" t="str">
        <x:v>../Project Recherche Data/utmost-batch02-20260909/J1544-5308/run01/result.json</x:v>
      </x:c>
      <x:c r="U265" t="str">
        <x:v>22588870221f60d2fd5a0f3fb82e91676b61a431346f2b62e0eb0665cb773699</x:v>
      </x:c>
      <x:c r="V265" t="str">
        <x:v>observed=dd1624408da464a7d1faab009abea6f6abf8c489040bc6fac88fe0dc972e2b94; calibration=f26c447d90e6ef43a19137c539263165e92f1b9e4936cba0cb07657af21f87c2</x:v>
      </x:c>
    </x:row>
    <x:row r="266" ht="15" hidden="0" customHeight="1">
      <x:c r="A266" t="str">
        <x:v>utmost-batch02-20260909-J1604-4909-run01</x:v>
      </x:c>
      <x:c r="B266" t="str">
        <x:v>J1604-4909</x:v>
      </x:c>
      <x:c r="C266" t="str">
        <x:v>UTMOST DR1; original circular search</x:v>
      </x:c>
      <x:c r="D266" t="str">
        <x:v>NO_TRIGGER</x:v>
      </x:c>
      <x:c r="E266" s="23" t="n">
        <x:v>142.3509427734922</x:v>
      </x:c>
      <x:c r="F266" t="str">
        <x:v>Strongest eligible grid peak; candidate status is separate</x:v>
      </x:c>
      <x:c r="G266" s="24" t="n">
        <x:v>46.79940903916633</x:v>
      </x:c>
      <x:c r="H266" s="24" t="n">
        <x:v>9.720869600895474</x:v>
      </x:c>
      <x:c r="I266" s="24" t="n">
        <x:v>26.16308276576815</x:v>
      </x:c>
      <x:c r="J266" s="25" t="n">
        <x:v>113</x:v>
      </x:c>
      <x:c r="K266" s="25" t="n">
        <x:v>100</x:v>
      </x:c>
      <x:c r="L266" s="24" t="n">
        <x:v>30</x:v>
      </x:c>
      <x:c r="M266" s="24" t="n">
        <x:v>400</x:v>
      </x:c>
      <x:c r="N266" s="25" t="n">
        <x:v>192</x:v>
      </x:c>
      <x:c r="O266" s="25" t="n">
        <x:v>4</x:v>
      </x:c>
      <x:c r="P266" s="24" t="n">
        <x:v>92.42363225101167</x:v>
      </x:c>
      <x:c r="Q26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6"/>
      <x:c r="S266" t="str">
        <x:v>Preserve consumed record; new data/scope requires a new ID</x:v>
      </x:c>
      <x:c r="T266" t="str">
        <x:v>../Project Recherche Data/utmost-batch02-20260909/J1604-4909/run01/result.json</x:v>
      </x:c>
      <x:c r="U266" t="str">
        <x:v>067776a88c8d8f242f8c30611f4180d833452e48fe2101bcc4f8f3f1185a6b81</x:v>
      </x:c>
      <x:c r="V266" t="str">
        <x:v>observed=72cfdd7376cb1810377b8ffb78ff6debd746c7db0ed22aa71702ddb922efcc3c; calibration=e4f74dcd7b3aee2691ae24c3a7420eb90974769c14bd67d466b4640a343aea38</x:v>
      </x:c>
    </x:row>
    <x:row r="267" ht="15" hidden="0" customHeight="1">
      <x:c r="A267" t="str">
        <x:v>utmost-batch02-20260909-J0738-4042-run01</x:v>
      </x:c>
      <x:c r="B267" t="str">
        <x:v>J0738-4042</x:v>
      </x:c>
      <x:c r="C267" t="str">
        <x:v>UTMOST DR1; original circular search</x:v>
      </x:c>
      <x:c r="D267" t="str">
        <x:v>NO_TRIGGER</x:v>
      </x:c>
      <x:c r="E267" s="23" t="n">
        <x:v>56.077626743292505</x:v>
      </x:c>
      <x:c r="F267" t="str">
        <x:v>Strongest eligible grid peak; candidate status is separate</x:v>
      </x:c>
      <x:c r="G267" s="24" t="n">
        <x:v>59.45022538075553</x:v>
      </x:c>
      <x:c r="H267" s="24" t="n">
        <x:v>11.741621827396479</x:v>
      </x:c>
      <x:c r="I267" s="24" t="n">
        <x:v>26.274503979796158</x:v>
      </x:c>
      <x:c r="J267" s="25" t="n">
        <x:v>243</x:v>
      </x:c>
      <x:c r="K267" s="25" t="n">
        <x:v>159</x:v>
      </x:c>
      <x:c r="L267" s="24" t="n">
        <x:v>30</x:v>
      </x:c>
      <x:c r="M267" s="24" t="n">
        <x:v>400</x:v>
      </x:c>
      <x:c r="N267" s="25" t="n">
        <x:v>203</x:v>
      </x:c>
      <x:c r="O267" s="25" t="n">
        <x:v>4</x:v>
      </x:c>
      <x:c r="P267" s="24" t="n">
        <x:v>129.31712865397228</x:v>
      </x:c>
      <x:c r="Q26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7"/>
      <x:c r="S267" t="str">
        <x:v>Preserve consumed record; new data/scope requires a new ID</x:v>
      </x:c>
      <x:c r="T267" t="str">
        <x:v>../Project Recherche Data/utmost-batch02-20260909/J0738-4042/run01/result.json</x:v>
      </x:c>
      <x:c r="U267" t="str">
        <x:v>a329e0d288759477b25782d0e45e71f958fce63e31c3a66bbadab091274241ad</x:v>
      </x:c>
      <x:c r="V267" t="str">
        <x:v>observed=0b0ae1cc7611e8a06633c0c5b4d190646c5f5a5bf565826895c0de30713f3abb; calibration=44c4e4c5ae11b725805fffd346d5477786354e388cc8eec827d76c765e0ba9c6</x:v>
      </x:c>
    </x:row>
    <x:row r="268" ht="15" hidden="0" customHeight="1">
      <x:c r="A268" t="str">
        <x:v>utmost-batch02-20260909-J1157-6224-run01</x:v>
      </x:c>
      <x:c r="B268" t="str">
        <x:v>J1157-6224</x:v>
      </x:c>
      <x:c r="C268" t="str">
        <x:v>UTMOST DR1; original circular search</x:v>
      </x:c>
      <x:c r="D268" t="str">
        <x:v>NO_TRIGGER</x:v>
      </x:c>
      <x:c r="E268" s="23" t="n">
        <x:v>97.5628861652758</x:v>
      </x:c>
      <x:c r="F268" t="str">
        <x:v>Strongest eligible grid peak; candidate status is separate</x:v>
      </x:c>
      <x:c r="G268" s="24" t="n">
        <x:v>62.19988061034138</x:v>
      </x:c>
      <x:c r="H268" s="24" t="n">
        <x:v>11.442598411846667</x:v>
      </x:c>
      <x:c r="I268" s="24" t="n">
        <x:v>26.204321340173617</x:v>
      </x:c>
      <x:c r="J268" s="25" t="n">
        <x:v>229</x:v>
      </x:c>
      <x:c r="K268" s="25" t="n">
        <x:v>208</x:v>
      </x:c>
      <x:c r="L268" s="24" t="n">
        <x:v>30</x:v>
      </x:c>
      <x:c r="M268" s="24" t="n">
        <x:v>400</x:v>
      </x:c>
      <x:c r="N268" s="25" t="n">
        <x:v>196</x:v>
      </x:c>
      <x:c r="O268" s="25" t="n">
        <x:v>4</x:v>
      </x:c>
      <x:c r="P268" s="24" t="n">
        <x:v>128.31777533786948</x:v>
      </x:c>
      <x:c r="Q26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8"/>
      <x:c r="S268" t="str">
        <x:v>Preserve consumed record; new data/scope requires a new ID</x:v>
      </x:c>
      <x:c r="T268" t="str">
        <x:v>../Project Recherche Data/utmost-batch02-20260909/J1157-6224/run01/result.json</x:v>
      </x:c>
      <x:c r="U268" t="str">
        <x:v>9b4b0e7b4bc7768526cbc3960fb9db5593612e94ccd0f4031b1ade471b6e13f4</x:v>
      </x:c>
      <x:c r="V268" t="str">
        <x:v>observed=cd466e9d0da1c2681a3352759271cf063fb79499025b616b7840b7ff747f5294; calibration=b76bd1105ec27a3ef89000fe4d2c2765a4eef9f951d95a9d425be9ad76ed3a2e</x:v>
      </x:c>
    </x:row>
    <x:row r="269" ht="15" hidden="0" customHeight="1">
      <x:c r="A269" t="str">
        <x:v>utmost-batch02-20260909-J1557-4258-run01</x:v>
      </x:c>
      <x:c r="B269" t="str">
        <x:v>J1557-4258</x:v>
      </x:c>
      <x:c r="C269" t="str">
        <x:v>UTMOST DR1; original circular search</x:v>
      </x:c>
      <x:c r="D269" t="str">
        <x:v>NO_TRIGGER</x:v>
      </x:c>
      <x:c r="E269" s="23" t="n">
        <x:v>30.50599851884723</x:v>
      </x:c>
      <x:c r="F269" t="str">
        <x:v>Strongest eligible grid peak; candidate status is separate</x:v>
      </x:c>
      <x:c r="G269" s="24" t="n">
        <x:v>36.8282871562096</x:v>
      </x:c>
      <x:c r="H269" s="24" t="n">
        <x:v>7.382442473858107</x:v>
      </x:c>
      <x:c r="I269" s="24" t="n">
        <x:v>26.204321340173617</x:v>
      </x:c>
      <x:c r="J269" s="25" t="n">
        <x:v>90</x:v>
      </x:c>
      <x:c r="K269" s="25" t="n">
        <x:v>84</x:v>
      </x:c>
      <x:c r="L269" s="24" t="n">
        <x:v>30</x:v>
      </x:c>
      <x:c r="M269" s="24" t="n">
        <x:v>400</x:v>
      </x:c>
      <x:c r="N269" s="25" t="n">
        <x:v>196</x:v>
      </x:c>
      <x:c r="O269" s="25" t="n">
        <x:v>5</x:v>
      </x:c>
      <x:c r="P269" s="24" t="n">
        <x:v>108.54743552951417</x:v>
      </x:c>
      <x:c r="Q26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69"/>
      <x:c r="S269" t="str">
        <x:v>Preserve consumed record; new data/scope requires a new ID</x:v>
      </x:c>
      <x:c r="T269" t="str">
        <x:v>../Project Recherche Data/utmost-batch02-20260909/J1557-4258/run01/result.json</x:v>
      </x:c>
      <x:c r="U269" t="str">
        <x:v>130dff594dc62c71014d9cc8dda13d068ad8846968999a7c7d2f353b88b1146f</x:v>
      </x:c>
      <x:c r="V269" t="str">
        <x:v>observed=30751acd072ee82ed947588e7899f07cb36d7c72fad230a5c05fb4cf14348027; calibration=192f57ece2efee706d3abac8c543155d868f22f73607ddcfc820431960170145</x:v>
      </x:c>
    </x:row>
    <x:row r="270" ht="15" hidden="0" customHeight="1">
      <x:c r="A270" t="str">
        <x:v>utmost-batch02-20260909-J1253-5820-run01</x:v>
      </x:c>
      <x:c r="B270" t="str">
        <x:v>J1253-5820</x:v>
      </x:c>
      <x:c r="C270" t="str">
        <x:v>UTMOST DR1; original circular search</x:v>
      </x:c>
      <x:c r="D270" t="str">
        <x:v>NO_TRIGGER</x:v>
      </x:c>
      <x:c r="E270" s="23" t="n">
        <x:v>37.90006781252862</x:v>
      </x:c>
      <x:c r="F270" t="str">
        <x:v>Strongest eligible grid peak; candidate status is separate</x:v>
      </x:c>
      <x:c r="G270" s="24" t="n">
        <x:v>35.797811837876374</x:v>
      </x:c>
      <x:c r="H270" s="24" t="n">
        <x:v>4.20553918270789</x:v>
      </x:c>
      <x:c r="I270" s="24" t="n">
        <x:v>26.110309255421758</x:v>
      </x:c>
      <x:c r="J270" s="25" t="n">
        <x:v>204</x:v>
      </x:c>
      <x:c r="K270" s="25" t="n">
        <x:v>148</x:v>
      </x:c>
      <x:c r="L270" s="24" t="n">
        <x:v>30</x:v>
      </x:c>
      <x:c r="M270" s="24" t="n">
        <x:v>400</x:v>
      </x:c>
      <x:c r="N270" s="25" t="n">
        <x:v>187</x:v>
      </x:c>
      <x:c r="O270" s="25" t="n">
        <x:v>4</x:v>
      </x:c>
      <x:c r="P270" s="24" t="n">
        <x:v>115.38851757631795</x:v>
      </x:c>
      <x:c r="Q27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0"/>
      <x:c r="S270" t="str">
        <x:v>Preserve consumed record; new data/scope requires a new ID</x:v>
      </x:c>
      <x:c r="T270" t="str">
        <x:v>../Project Recherche Data/utmost-batch02-20260909/J1253-5820/run01/result.json</x:v>
      </x:c>
      <x:c r="U270" t="str">
        <x:v>2ce6ad794e3c27412e01b49961896156b8f63816af40b2b89e55f54243ee9184</x:v>
      </x:c>
      <x:c r="V270" t="str">
        <x:v>observed=ad6f9068ec0857f3a96cdf189e4fc1a13d6994e6647f7e59f6c7518b69669a0c; calibration=bdf087a40f7cc91c69089dc229cd2536392597a9241a6542995c7cf334ef84c3</x:v>
      </x:c>
    </x:row>
    <x:row r="271" ht="15" hidden="0" customHeight="1">
      <x:c r="A271" t="str">
        <x:v>utmost-batch02-20260909-J1327-6222-run01</x:v>
      </x:c>
      <x:c r="B271" t="str">
        <x:v>J1327-6222</x:v>
      </x:c>
      <x:c r="C271" t="str">
        <x:v>UTMOST DR1; original circular search</x:v>
      </x:c>
      <x:c r="D271" t="str">
        <x:v>PERIODIC_SIGNAL_CANDIDATE</x:v>
      </x:c>
      <x:c r="E271" s="23" t="n">
        <x:v>63.25907389716457</x:v>
      </x:c>
      <x:c r="F271" t="str">
        <x:v>Strongest eligible grid peak; candidate status is separate</x:v>
      </x:c>
      <x:c r="G271" s="24" t="n">
        <x:v>140.43921134996634</x:v>
      </x:c>
      <x:c r="H271" s="24" t="n">
        <x:v>50.286992450422105</x:v>
      </x:c>
      <x:c r="I271" s="24" t="n">
        <x:v>26.254701837830737</x:v>
      </x:c>
      <x:c r="J271" s="25" t="n">
        <x:v>308</x:v>
      </x:c>
      <x:c r="K271" s="25" t="n">
        <x:v>254</x:v>
      </x:c>
      <x:c r="L271" s="24" t="n">
        <x:v>30</x:v>
      </x:c>
      <x:c r="M271" s="24" t="n">
        <x:v>400</x:v>
      </x:c>
      <x:c r="N271" s="25" t="n">
        <x:v>201</x:v>
      </x:c>
      <x:c r="O271" s="25" t="n">
        <x:v>20</x:v>
      </x:c>
      <x:c r="P271" s="24" t="n">
        <x:v>129.0312151812575</x:v>
      </x:c>
      <x:c r="Q27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1"/>
      <x:c r="S271" t="str">
        <x:v>Preserve consumed record; new data/scope requires a new ID</x:v>
      </x:c>
      <x:c r="T271" t="str">
        <x:v>../Project Recherche Data/utmost-batch02-20260909/J1327-6222/run01/result.json</x:v>
      </x:c>
      <x:c r="U271" t="str">
        <x:v>2f7fe68720647f30e26cde5f2fd504316e658c87ffa7b221bfc0c273a8220609</x:v>
      </x:c>
      <x:c r="V271" t="str">
        <x:v>observed=f26feaf8dd351f024c960a2c3bb9c7e7e05286858a7f49c586f69c1dec83dc86; calibration=8d4868894aab6f97373a01f7f4b1eaf41c8430ec7061b4cacf3621de6b4c640f</x:v>
      </x:c>
    </x:row>
    <x:row r="272" ht="15" hidden="0" customHeight="1">
      <x:c r="A272" t="str">
        <x:v>utmost-batch02-20260909-J1559-4438-run01</x:v>
      </x:c>
      <x:c r="B272" t="str">
        <x:v>J1559-4438</x:v>
      </x:c>
      <x:c r="C272" t="str">
        <x:v>UTMOST DR1; original circular search</x:v>
      </x:c>
      <x:c r="D272" t="str">
        <x:v>NO_TRIGGER</x:v>
      </x:c>
      <x:c r="E272" s="23" t="n">
        <x:v>64.59308748431046</x:v>
      </x:c>
      <x:c r="F272" t="str">
        <x:v>Strongest eligible grid peak; candidate status is separate</x:v>
      </x:c>
      <x:c r="G272" s="24" t="n">
        <x:v>63.87805597826295</x:v>
      </x:c>
      <x:c r="H272" s="24" t="n">
        <x:v>8.856928992607454</x:v>
      </x:c>
      <x:c r="I272" s="24" t="n">
        <x:v>26.110309255421758</x:v>
      </x:c>
      <x:c r="J272" s="25" t="n">
        <x:v>66</x:v>
      </x:c>
      <x:c r="K272" s="25" t="n">
        <x:v>62</x:v>
      </x:c>
      <x:c r="L272" s="24" t="n">
        <x:v>30</x:v>
      </x:c>
      <x:c r="M272" s="24" t="n">
        <x:v>400</x:v>
      </x:c>
      <x:c r="N272" s="25" t="n">
        <x:v>187</x:v>
      </x:c>
      <x:c r="O272" s="25" t="n">
        <x:v>3</x:v>
      </x:c>
      <x:c r="P272" s="24" t="n">
        <x:v>143.13213512781923</x:v>
      </x:c>
      <x:c r="Q27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2"/>
      <x:c r="S272" t="str">
        <x:v>Preserve consumed record; new data/scope requires a new ID</x:v>
      </x:c>
      <x:c r="T272" t="str">
        <x:v>../Project Recherche Data/utmost-batch02-20260909/J1559-4438/run01/result.json</x:v>
      </x:c>
      <x:c r="U272" t="str">
        <x:v>439731027f3cae195d09a15dd550d9fe033d983d8e4d157f4c668b7ff9029c2b</x:v>
      </x:c>
      <x:c r="V272" t="str">
        <x:v>observed=2566f52d1dc0aea4d19938ddf1ad7622fd15be0f586f54e205e7ef03daa4de49; calibration=c731ca2d40f6e6bf06ce207b5bf1f7dd771c7a90de7fccf9d3e7be04cfc22daf</x:v>
      </x:c>
    </x:row>
    <x:row r="273" ht="15" hidden="0" customHeight="1">
      <x:c r="A273" t="str">
        <x:v>utmost-batch02-20260909-J1001-5507-run01</x:v>
      </x:c>
      <x:c r="B273" t="str">
        <x:v>J1001-5507</x:v>
      </x:c>
      <x:c r="C273" t="str">
        <x:v>UTMOST DR1; original circular search</x:v>
      </x:c>
      <x:c r="D273" t="str">
        <x:v>NO_TRIGGER</x:v>
      </x:c>
      <x:c r="E273" s="23" t="n">
        <x:v>35.112193310389344</x:v>
      </x:c>
      <x:c r="F273" t="str">
        <x:v>Strongest eligible grid peak; candidate status is separate</x:v>
      </x:c>
      <x:c r="G273" s="24" t="n">
        <x:v>67.6222183760449</x:v>
      </x:c>
      <x:c r="H273" s="24" t="n">
        <x:v>12.039608502554698</x:v>
      </x:c>
      <x:c r="I273" s="24" t="n">
        <x:v>26.284332009401016</x:v>
      </x:c>
      <x:c r="J273" s="25" t="n">
        <x:v>138</x:v>
      </x:c>
      <x:c r="K273" s="25" t="n">
        <x:v>120</x:v>
      </x:c>
      <x:c r="L273" s="24" t="n">
        <x:v>30</x:v>
      </x:c>
      <x:c r="M273" s="24" t="n">
        <x:v>400</x:v>
      </x:c>
      <x:c r="N273" s="25" t="n">
        <x:v>204</x:v>
      </x:c>
      <x:c r="O273" s="25" t="n">
        <x:v>14</x:v>
      </x:c>
      <x:c r="P273" s="24" t="n">
        <x:v>158.5077562205832</x:v>
      </x:c>
      <x:c r="Q27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3"/>
      <x:c r="S273" t="str">
        <x:v>Preserve consumed record; new data/scope requires a new ID</x:v>
      </x:c>
      <x:c r="T273" t="str">
        <x:v>../Project Recherche Data/utmost-batch02-20260909/J1001-5507/run01/result.json</x:v>
      </x:c>
      <x:c r="U273" t="str">
        <x:v>a5e46936f6ec9aa41810c6c3f0b88848218e408751e7cbddd7e729cc62a46283</x:v>
      </x:c>
      <x:c r="V273" t="str">
        <x:v>observed=c4f1195e1afe2d9ba6aeb9db3de6530fd7ded7646f7b5a78373aa9edf54a3002; calibration=076a6e8294b4f753261df4ba7fbc3eb0a6d54e26c14622ed005b9bada5706828</x:v>
      </x:c>
    </x:row>
    <x:row r="274" ht="15" hidden="0" customHeight="1">
      <x:c r="A274" t="str">
        <x:v>utmost-batch02-20260909-J1401-6357-run01</x:v>
      </x:c>
      <x:c r="B274" t="str">
        <x:v>J1401-6357</x:v>
      </x:c>
      <x:c r="C274" t="str">
        <x:v>UTMOST DR1; original circular search</x:v>
      </x:c>
      <x:c r="D274" t="str">
        <x:v>NO_TRIGGER</x:v>
      </x:c>
      <x:c r="E274" s="23" t="n">
        <x:v>34.636589914611775</x:v>
      </x:c>
      <x:c r="F274" t="str">
        <x:v>Strongest eligible grid peak; candidate status is separate</x:v>
      </x:c>
      <x:c r="G274" s="24" t="n">
        <x:v>92.02807787818827</x:v>
      </x:c>
      <x:c r="H274" s="24" t="n">
        <x:v>11.380900969329268</x:v>
      </x:c>
      <x:c r="I274" s="24" t="n">
        <x:v>26.21449947918856</x:v>
      </x:c>
      <x:c r="J274" s="25" t="n">
        <x:v>245</x:v>
      </x:c>
      <x:c r="K274" s="25" t="n">
        <x:v>203</x:v>
      </x:c>
      <x:c r="L274" s="24" t="n">
        <x:v>30</x:v>
      </x:c>
      <x:c r="M274" s="24" t="n">
        <x:v>400</x:v>
      </x:c>
      <x:c r="N274" s="25" t="n">
        <x:v>197</x:v>
      </x:c>
      <x:c r="O274" s="25" t="n">
        <x:v>4</x:v>
      </x:c>
      <x:c r="P274" s="24" t="n">
        <x:v>187.25746893066568</x:v>
      </x:c>
      <x:c r="Q27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4"/>
      <x:c r="S274" t="str">
        <x:v>Preserve consumed record; new data/scope requires a new ID</x:v>
      </x:c>
      <x:c r="T274" t="str">
        <x:v>../Project Recherche Data/utmost-batch02-20260909/J1401-6357/run01/result.json</x:v>
      </x:c>
      <x:c r="U274" t="str">
        <x:v>f8b7e4afb8fdf6cf7decfa3b8f78525b8bb7550433558c546913cd3cc2258d30</x:v>
      </x:c>
      <x:c r="V274" t="str">
        <x:v>observed=347c890b14810137c948c1f95c50c25be5276522be4d93d40c0d6d806ecf7a50; calibration=548c86543cb62c59ab50c9016d88c83fc1690bd0ad1c807ecbb0a0dbedc47e9b</x:v>
      </x:c>
    </x:row>
    <x:row r="275" ht="15" hidden="0" customHeight="1">
      <x:c r="A275" t="str">
        <x:v>utmost-batch02-20260909-J1534-5334-run01</x:v>
      </x:c>
      <x:c r="B275" t="str">
        <x:v>J1534-5334</x:v>
      </x:c>
      <x:c r="C275" t="str">
        <x:v>UTMOST DR1; original circular search</x:v>
      </x:c>
      <x:c r="D275" t="str">
        <x:v>NO_TRIGGER</x:v>
      </x:c>
      <x:c r="E275" s="23" t="n">
        <x:v>82.73553559971867</x:v>
      </x:c>
      <x:c r="F275" t="str">
        <x:v>Strongest eligible grid peak; candidate status is separate</x:v>
      </x:c>
      <x:c r="G275" s="24" t="n">
        <x:v>72.40939968922407</x:v>
      </x:c>
      <x:c r="H275" s="24" t="n">
        <x:v>6.925955012656453</x:v>
      </x:c>
      <x:c r="I275" s="24" t="n">
        <x:v>26.254701837830737</x:v>
      </x:c>
      <x:c r="J275" s="25" t="n">
        <x:v>231</x:v>
      </x:c>
      <x:c r="K275" s="25" t="n">
        <x:v>208</x:v>
      </x:c>
      <x:c r="L275" s="24" t="n">
        <x:v>30</x:v>
      </x:c>
      <x:c r="M275" s="24" t="n">
        <x:v>400</x:v>
      </x:c>
      <x:c r="N275" s="25" t="n">
        <x:v>201</x:v>
      </x:c>
      <x:c r="O275" s="25" t="n">
        <x:v>5</x:v>
      </x:c>
      <x:c r="P275" s="24" t="n">
        <x:v>182.644062280403</x:v>
      </x:c>
      <x:c r="Q27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5"/>
      <x:c r="S275" t="str">
        <x:v>Preserve consumed record; new data/scope requires a new ID</x:v>
      </x:c>
      <x:c r="T275" t="str">
        <x:v>../Project Recherche Data/utmost-batch02-20260909/J1534-5334/run01/result.json</x:v>
      </x:c>
      <x:c r="U275" t="str">
        <x:v>4f83b678fc0975f98c6d8dbc01f2268190f026b1e2c5298483dd7625d9e489e8</x:v>
      </x:c>
      <x:c r="V275" t="str">
        <x:v>observed=1d3cdd74a70e28cc837352b31c828b31b91c17bc19f414eba22116014b853c73; calibration=7fe05ee2304f5a84c8045fc1d6a5cc714cc72206a4b1700b2e46a365e70af9eb</x:v>
      </x:c>
    </x:row>
    <x:row r="276" ht="15" hidden="0" customHeight="1">
      <x:c r="A276" t="str">
        <x:v>utmost-batch02-20260909-J1751-4657-run01</x:v>
      </x:c>
      <x:c r="B276" t="str">
        <x:v>J1751-4657</x:v>
      </x:c>
      <x:c r="C276" t="str">
        <x:v>UTMOST DR1; original circular search</x:v>
      </x:c>
      <x:c r="D276" t="str">
        <x:v>NO_TRIGGER</x:v>
      </x:c>
      <x:c r="E276" s="23" t="n">
        <x:v>320.3723424861402</x:v>
      </x:c>
      <x:c r="F276" t="str">
        <x:v>Strongest eligible grid peak; candidate status is separate</x:v>
      </x:c>
      <x:c r="G276" s="24" t="n">
        <x:v>151.84899287096104</x:v>
      </x:c>
      <x:c r="H276" s="24" t="n">
        <x:v>8.199676405618646</x:v>
      </x:c>
      <x:c r="I276" s="24" t="n">
        <x:v>26.244726754808656</x:v>
      </x:c>
      <x:c r="J276" s="25" t="n">
        <x:v>53</x:v>
      </x:c>
      <x:c r="K276" s="25" t="n">
        <x:v>50</x:v>
      </x:c>
      <x:c r="L276" s="24" t="n">
        <x:v>30</x:v>
      </x:c>
      <x:c r="M276" s="24" t="n">
        <x:v>400</x:v>
      </x:c>
      <x:c r="N276" s="25" t="n">
        <x:v>200</x:v>
      </x:c>
      <x:c r="O276" s="25" t="n">
        <x:v>4</x:v>
      </x:c>
      <x:c r="P276" s="24" t="n">
        <x:v>267.47911906956165</x:v>
      </x:c>
      <x:c r="Q27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6"/>
      <x:c r="S276" t="str">
        <x:v>Preserve consumed record; new data/scope requires a new ID</x:v>
      </x:c>
      <x:c r="T276" t="str">
        <x:v>../Project Recherche Data/utmost-batch02-20260909/J1751-4657/run01/result.json</x:v>
      </x:c>
      <x:c r="U276" t="str">
        <x:v>de6f95ede9aac88dc87485eafa5afd82b249e38721922358420c8cbdf0bb47f0</x:v>
      </x:c>
      <x:c r="V276" t="str">
        <x:v>observed=da52a149a53a249b105bc1895a9adddae4316d8d9be6522495d48b9d95608528; calibration=a6765fa6d8895fa4cf8417de47e293e06f16192420b67124994871acbb3ad764</x:v>
      </x:c>
    </x:row>
    <x:row r="277" ht="15" hidden="0" customHeight="1">
      <x:c r="A277" t="str">
        <x:v>utmost-batch02-20260909-J0907-5157-run01</x:v>
      </x:c>
      <x:c r="B277" t="str">
        <x:v>J0907-5157</x:v>
      </x:c>
      <x:c r="C277" t="str">
        <x:v>UTMOST DR1; original circular search</x:v>
      </x:c>
      <x:c r="D277" t="str">
        <x:v>NO_TRIGGER</x:v>
      </x:c>
      <x:c r="E277" s="23" t="n">
        <x:v>191.29607768587414</x:v>
      </x:c>
      <x:c r="F277" t="str">
        <x:v>Strongest eligible grid peak; candidate status is separate</x:v>
      </x:c>
      <x:c r="G277" s="24" t="n">
        <x:v>125.43205647870464</x:v>
      </x:c>
      <x:c r="H277" s="24" t="n">
        <x:v>7.311875009821685</x:v>
      </x:c>
      <x:c r="I277" s="24" t="n">
        <x:v>26.183808339839242</x:v>
      </x:c>
      <x:c r="J277" s="25" t="n">
        <x:v>121</x:v>
      </x:c>
      <x:c r="K277" s="25" t="n">
        <x:v>110</x:v>
      </x:c>
      <x:c r="L277" s="24" t="n">
        <x:v>30</x:v>
      </x:c>
      <x:c r="M277" s="24" t="n">
        <x:v>400</x:v>
      </x:c>
      <x:c r="N277" s="25" t="n">
        <x:v>194</x:v>
      </x:c>
      <x:c r="O277" s="25" t="n">
        <x:v>4</x:v>
      </x:c>
      <x:c r="P277" s="24" t="n">
        <x:v>252.68958427058976</x:v>
      </x:c>
      <x:c r="Q27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7"/>
      <x:c r="S277" t="str">
        <x:v>Preserve consumed record; new data/scope requires a new ID</x:v>
      </x:c>
      <x:c r="T277" t="str">
        <x:v>../Project Recherche Data/utmost-batch02-20260909/J0907-5157/run01/result.json</x:v>
      </x:c>
      <x:c r="U277" t="str">
        <x:v>f015c42c145149b38f382a83c18be319563dde68b378d6acc016dbf357a04373</x:v>
      </x:c>
      <x:c r="V277" t="str">
        <x:v>observed=febd1cef8bf182c58745b4aa64dbefaceddf383ed3f44221a98a8377eead364d; calibration=1caab8bbb0ff460bf38fe8cd669c6f0a967b0d35557d87a403e9ff3c02b68b75</x:v>
      </x:c>
    </x:row>
    <x:row r="278" ht="15" hidden="0" customHeight="1">
      <x:c r="A278" t="str">
        <x:v>utmost-batch02-20260909-J1651-5222-run01</x:v>
      </x:c>
      <x:c r="B278" t="str">
        <x:v>J1651-5222</x:v>
      </x:c>
      <x:c r="C278" t="str">
        <x:v>UTMOST DR1; original circular search</x:v>
      </x:c>
      <x:c r="D278" t="str">
        <x:v>NO_TRIGGER</x:v>
      </x:c>
      <x:c r="E278" s="23" t="n">
        <x:v>41.181406896463656</x:v>
      </x:c>
      <x:c r="F278" t="str">
        <x:v>Strongest eligible grid peak; candidate status is separate</x:v>
      </x:c>
      <x:c r="G278" s="24" t="n">
        <x:v>119.28223641364458</x:v>
      </x:c>
      <x:c r="H278" s="24" t="n">
        <x:v>8.080742105234622</x:v>
      </x:c>
      <x:c r="I278" s="24" t="n">
        <x:v>26.110309255421758</x:v>
      </x:c>
      <x:c r="J278" s="25" t="n">
        <x:v>95</x:v>
      </x:c>
      <x:c r="K278" s="25" t="n">
        <x:v>92</x:v>
      </x:c>
      <x:c r="L278" s="24" t="n">
        <x:v>30</x:v>
      </x:c>
      <x:c r="M278" s="24" t="n">
        <x:v>400</x:v>
      </x:c>
      <x:c r="N278" s="25" t="n">
        <x:v>187</x:v>
      </x:c>
      <x:c r="O278" s="25" t="n">
        <x:v>5</x:v>
      </x:c>
      <x:c r="P278" s="24" t="n">
        <x:v>335.08769249941065</x:v>
      </x:c>
      <x:c r="Q27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8"/>
      <x:c r="S278" t="str">
        <x:v>Preserve consumed record; new data/scope requires a new ID</x:v>
      </x:c>
      <x:c r="T278" t="str">
        <x:v>../Project Recherche Data/utmost-batch02-20260909/J1651-5222/run01/result.json</x:v>
      </x:c>
      <x:c r="U278" t="str">
        <x:v>80db9f1e734a7a623e0661e769e04a0516d0cd23454052e0770bd807cd4aa567</x:v>
      </x:c>
      <x:c r="V278" t="str">
        <x:v>observed=12ebde85d8623a4293e7b084e1259c000c89c96dd69f62870af22055114c910a; calibration=a4c9b6dba8b85262240028bc90dfc5f0595a69102bb0302a786e0a52d1cf9aa0</x:v>
      </x:c>
    </x:row>
    <x:row r="279" ht="15" hidden="0" customHeight="1">
      <x:c r="A279" t="str">
        <x:v>utmost-batch02-20260909-J1327-6301-run01</x:v>
      </x:c>
      <x:c r="B279" t="str">
        <x:v>J1327-6301</x:v>
      </x:c>
      <x:c r="C279" t="str">
        <x:v>UTMOST DR1; original circular search</x:v>
      </x:c>
      <x:c r="D279" t="str">
        <x:v>NO_TRIGGER</x:v>
      </x:c>
      <x:c r="E279" s="23" t="n">
        <x:v>241.2384472641835</x:v>
      </x:c>
      <x:c r="F279" t="str">
        <x:v>Strongest eligible grid peak; candidate status is separate</x:v>
      </x:c>
      <x:c r="G279" s="24" t="n">
        <x:v>229.5826001804209</x:v>
      </x:c>
      <x:c r="H279" s="24" t="n">
        <x:v>10.896666025798572</x:v>
      </x:c>
      <x:c r="I279" s="24" t="n">
        <x:v>26.131586051831867</x:v>
      </x:c>
      <x:c r="J279" s="25" t="n">
        <x:v>238</x:v>
      </x:c>
      <x:c r="K279" s="25" t="n">
        <x:v>169</x:v>
      </x:c>
      <x:c r="L279" s="24" t="n">
        <x:v>30</x:v>
      </x:c>
      <x:c r="M279" s="24" t="n">
        <x:v>400</x:v>
      </x:c>
      <x:c r="N279" s="25" t="n">
        <x:v>189</x:v>
      </x:c>
      <x:c r="O279" s="25" t="n">
        <x:v>4</x:v>
      </x:c>
      <x:c r="P279" s="24" t="n">
        <x:v>305.7673800295205</x:v>
      </x:c>
      <x:c r="Q27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79"/>
      <x:c r="S279" t="str">
        <x:v>Preserve consumed record; new data/scope requires a new ID</x:v>
      </x:c>
      <x:c r="T279" t="str">
        <x:v>../Project Recherche Data/utmost-batch02-20260909/J1327-6301/run01/result.json</x:v>
      </x:c>
      <x:c r="U279" t="str">
        <x:v>bdf2c9c1483a1e68ddc8a1d371b70b97fbbe81c196d5d74f5c040146aad6867f</x:v>
      </x:c>
      <x:c r="V279" t="str">
        <x:v>observed=4d6c925dbbdb86a5ff39fe1ca0f2792d6df2bdab5dd9664874eed9bd71f153de; calibration=b96db0012a986600838f4df8c26b3e1d4e9aa9f7cd6fb353abb3a6afd8fbdd55</x:v>
      </x:c>
    </x:row>
    <x:row r="280" ht="15" hidden="0" customHeight="1">
      <x:c r="A280" t="str">
        <x:v>utmost-batch02-20260909-J1320-5359-run01</x:v>
      </x:c>
      <x:c r="B280" t="str">
        <x:v>J1320-5359</x:v>
      </x:c>
      <x:c r="C280" t="str">
        <x:v>UTMOST DR1; original circular search</x:v>
      </x:c>
      <x:c r="D280" t="str">
        <x:v>NO_TRIGGER</x:v>
      </x:c>
      <x:c r="E280" s="23" t="n">
        <x:v>68.90136033874126</x:v>
      </x:c>
      <x:c r="F280" t="str">
        <x:v>Strongest eligible grid peak; candidate status is separate</x:v>
      </x:c>
      <x:c r="G280" s="24" t="n">
        <x:v>125.30753526428411</x:v>
      </x:c>
      <x:c r="H280" s="24" t="n">
        <x:v>8.27561209137841</x:v>
      </x:c>
      <x:c r="I280" s="24" t="n">
        <x:v>26.183808339839242</x:v>
      </x:c>
      <x:c r="J280" s="25" t="n">
        <x:v>129</x:v>
      </x:c>
      <x:c r="K280" s="25" t="n">
        <x:v>121</x:v>
      </x:c>
      <x:c r="L280" s="24" t="n">
        <x:v>30</x:v>
      </x:c>
      <x:c r="M280" s="24" t="n">
        <x:v>400</x:v>
      </x:c>
      <x:c r="N280" s="25" t="n">
        <x:v>194</x:v>
      </x:c>
      <x:c r="O280" s="25" t="n">
        <x:v>4</x:v>
      </x:c>
      <x:c r="P280" s="24" t="n">
        <x:v>296.5499291345107</x:v>
      </x:c>
      <x:c r="Q28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0"/>
      <x:c r="S280" t="str">
        <x:v>Preserve consumed record; new data/scope requires a new ID</x:v>
      </x:c>
      <x:c r="T280" t="str">
        <x:v>../Project Recherche Data/utmost-batch02-20260909/J1320-5359/run01/result.json</x:v>
      </x:c>
      <x:c r="U280" t="str">
        <x:v>75c0006111efe6fe622d9f68a2397cd5a40f95fc696afe0259811e9ef435a4a7</x:v>
      </x:c>
      <x:c r="V280" t="str">
        <x:v>observed=4c241da16b3afdbfe40c94a05e367682167867ce9ecc52b6e8eea52a9591e4d0; calibration=3ed996e2aed8e3f5b8d4921cd2041d5740963ed772d56fb331fb5e5275dd6401</x:v>
      </x:c>
    </x:row>
    <x:row r="281" ht="15" hidden="0" customHeight="1">
      <x:c r="A281" t="str">
        <x:v>utmost-batch02-20260909-J1633-5015-run01</x:v>
      </x:c>
      <x:c r="B281" t="str">
        <x:v>J1633-5015</x:v>
      </x:c>
      <x:c r="C281" t="str">
        <x:v>UTMOST DR1; original circular search</x:v>
      </x:c>
      <x:c r="D281" t="str">
        <x:v>NO_TRIGGER</x:v>
      </x:c>
      <x:c r="E281" s="23" t="n">
        <x:v>156.1089035225835</x:v>
      </x:c>
      <x:c r="F281" t="str">
        <x:v>Strongest eligible grid peak; candidate status is separate</x:v>
      </x:c>
      <x:c r="G281" s="24" t="n">
        <x:v>94.91848427089448</x:v>
      </x:c>
      <x:c r="H281" s="24" t="n">
        <x:v>4.943994971559127</x:v>
      </x:c>
      <x:c r="I281" s="24" t="n">
        <x:v>26.31352960824332</x:v>
      </x:c>
      <x:c r="J281" s="25" t="n">
        <x:v>110</x:v>
      </x:c>
      <x:c r="K281" s="25" t="n">
        <x:v>97</x:v>
      </x:c>
      <x:c r="L281" s="24" t="n">
        <x:v>30</x:v>
      </x:c>
      <x:c r="M281" s="24" t="n">
        <x:v>400</x:v>
      </x:c>
      <x:c r="N281" s="25" t="n">
        <x:v>207</x:v>
      </x:c>
      <x:c r="O281" s="25" t="n">
        <x:v>4</x:v>
      </x:c>
      <x:c r="P281" s="24" t="n">
        <x:v>301.38779635411356</x:v>
      </x:c>
      <x:c r="Q28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1"/>
      <x:c r="S281" t="str">
        <x:v>Preserve consumed record; new data/scope requires a new ID</x:v>
      </x:c>
      <x:c r="T281" t="str">
        <x:v>../Project Recherche Data/utmost-batch02-20260909/J1633-5015/run01/result.json</x:v>
      </x:c>
      <x:c r="U281" t="str">
        <x:v>b6481f7c3f241fea013994e7904f3c56c0840a475a98d503d5c3eee88c4fb2b6</x:v>
      </x:c>
      <x:c r="V281" t="str">
        <x:v>observed=de1cd26fa51a5df4075f77df2a05f40cf3d0a7dd5bba5b16a4d02435941786fd; calibration=22668a9199c5097caa6f9a4fb984ce90229c05a0279b5ceb148e07ef73a6bc58</x:v>
      </x:c>
    </x:row>
    <x:row r="282" ht="15" hidden="0" customHeight="1">
      <x:c r="A282" t="str">
        <x:v>utmost-batch02-20260909-J1305-6455-run01</x:v>
      </x:c>
      <x:c r="B282" t="str">
        <x:v>J1305-6455</x:v>
      </x:c>
      <x:c r="C282" t="str">
        <x:v>UTMOST DR1; original circular search</x:v>
      </x:c>
      <x:c r="D282" t="str">
        <x:v>NO_TRIGGER</x:v>
      </x:c>
      <x:c r="E282" s="23" t="n">
        <x:v>275.2467481444852</x:v>
      </x:c>
      <x:c r="F282" t="str">
        <x:v>Strongest eligible grid peak; candidate status is separate</x:v>
      </x:c>
      <x:c r="G282" s="24" t="n">
        <x:v>484.97496382402653</x:v>
      </x:c>
      <x:c r="H282" s="24" t="n">
        <x:v>5.684136186961812</x:v>
      </x:c>
      <x:c r="I282" s="24" t="n">
        <x:v>26.16308276576815</x:v>
      </x:c>
      <x:c r="J282" s="25" t="n">
        <x:v>175</x:v>
      </x:c>
      <x:c r="K282" s="25" t="n">
        <x:v>119</x:v>
      </x:c>
      <x:c r="L282" s="24" t="n">
        <x:v>30</x:v>
      </x:c>
      <x:c r="M282" s="24" t="n">
        <x:v>400</x:v>
      </x:c>
      <x:c r="N282" s="25" t="n">
        <x:v>192</x:v>
      </x:c>
      <x:c r="O282" s="25" t="n">
        <x:v>4</x:v>
      </x:c>
      <x:c r="P282" s="24" t="n">
        <x:v>487.888308208978</x:v>
      </x:c>
      <x:c r="Q28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2"/>
      <x:c r="S282" t="str">
        <x:v>Preserve consumed record; new data/scope requires a new ID</x:v>
      </x:c>
      <x:c r="T282" t="str">
        <x:v>../Project Recherche Data/utmost-batch02-20260909/J1305-6455/run01/result.json</x:v>
      </x:c>
      <x:c r="U282" t="str">
        <x:v>560680a4622c2ed1c68552a09d012bd461ffb9b90be7cd64bcb5fcce8c597898</x:v>
      </x:c>
      <x:c r="V282" t="str">
        <x:v>observed=c7a21d00345b7c2e1a6a653e5be4f8b20f6ed28e16df163cc23b9747e29d392c; calibration=d33a0e2480fbb8ba476a595f947cfad4683e2d9b4b5274ec73931fd628898d15</x:v>
      </x:c>
    </x:row>
    <x:row r="283" ht="15" hidden="0" customHeight="1">
      <x:c r="A283" t="str">
        <x:v>utmost-batch03-20260909-J1623-4256-run01</x:v>
      </x:c>
      <x:c r="B283" t="str">
        <x:v>J1623-4256</x:v>
      </x:c>
      <x:c r="C283" t="str">
        <x:v>UTMOST DR1; original circular search</x:v>
      </x:c>
      <x:c r="D283" t="str">
        <x:v>NO_TRIGGER</x:v>
      </x:c>
      <x:c r="E283" s="23" t="n">
        <x:v>49.7145219379737</x:v>
      </x:c>
      <x:c r="F283" t="str">
        <x:v>Strongest eligible grid peak; candidate status is separate</x:v>
      </x:c>
      <x:c r="G283" s="24" t="n">
        <x:v>327.01273628688676</x:v>
      </x:c>
      <x:c r="H283" s="24" t="n">
        <x:v>7.009545010954148</x:v>
      </x:c>
      <x:c r="I283" s="24" t="n">
        <x:v>26.16308276576815</x:v>
      </x:c>
      <x:c r="J283" s="25" t="n">
        <x:v>57</x:v>
      </x:c>
      <x:c r="K283" s="25" t="n">
        <x:v>54</x:v>
      </x:c>
      <x:c r="L283" s="24" t="n">
        <x:v>30</x:v>
      </x:c>
      <x:c r="M283" s="24" t="n">
        <x:v>400</x:v>
      </x:c>
      <x:c r="N283" s="25" t="n">
        <x:v>192</x:v>
      </x:c>
      <x:c r="O283" s="25" t="n">
        <x:v>6</x:v>
      </x:c>
      <x:c r="P283" s="24" t="n">
        <x:v>771.8113624538913</x:v>
      </x:c>
      <x:c r="Q28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3"/>
      <x:c r="S283" t="str">
        <x:v>Preserve consumed record; new data/scope requires a new ID</x:v>
      </x:c>
      <x:c r="T283" t="str">
        <x:v>../Project Recherche Data/utmost-batch03-20260909/J1623-4256/run01/result.json</x:v>
      </x:c>
      <x:c r="U283" t="str">
        <x:v>0387b70b1d88a744230a690ec4cbd7e63ef3a4d5a68ef9ae2b901bd83e9b20e6</x:v>
      </x:c>
      <x:c r="V283" t="str">
        <x:v>observed=990c81d0d2bea63dc8f86dbc788da84d67e5875e11f806c01631943015666f67; calibration=7bd74d8be353d5ba5ad7d3d0aeeecbda0eda733096ac1d319c4a970878195d15</x:v>
      </x:c>
    </x:row>
    <x:row r="284" ht="15" hidden="0" customHeight="1">
      <x:c r="A284" t="str">
        <x:v>utmost-batch03-20260909-J1435-5954-run01</x:v>
      </x:c>
      <x:c r="B284" t="str">
        <x:v>J1435-5954</x:v>
      </x:c>
      <x:c r="C284" t="str">
        <x:v>UTMOST DR1; original circular search</x:v>
      </x:c>
      <x:c r="D284" t="str">
        <x:v>NO_TRIGGER</x:v>
      </x:c>
      <x:c r="E284" s="23" t="n">
        <x:v>62.5087662150648</x:v>
      </x:c>
      <x:c r="F284" t="str">
        <x:v>Strongest eligible grid peak; candidate status is separate</x:v>
      </x:c>
      <x:c r="G284" s="24" t="n">
        <x:v>424.0534143522896</x:v>
      </x:c>
      <x:c r="H284" s="24" t="n">
        <x:v>6.37349609663374</x:v>
      </x:c>
      <x:c r="I284" s="24" t="n">
        <x:v>26.173472399522357</x:v>
      </x:c>
      <x:c r="J284" s="25" t="n">
        <x:v>254</x:v>
      </x:c>
      <x:c r="K284" s="25" t="n">
        <x:v>183</x:v>
      </x:c>
      <x:c r="L284" s="24" t="n">
        <x:v>30</x:v>
      </x:c>
      <x:c r="M284" s="24" t="n">
        <x:v>400</x:v>
      </x:c>
      <x:c r="N284" s="25" t="n">
        <x:v>193</x:v>
      </x:c>
      <x:c r="O284" s="25" t="n">
        <x:v>5</x:v>
      </x:c>
      <x:c r="P284" s="24" t="n">
        <x:v>1183.3458095399521</x:v>
      </x:c>
      <x:c r="Q28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4"/>
      <x:c r="S284" t="str">
        <x:v>Preserve consumed record; new data/scope requires a new ID</x:v>
      </x:c>
      <x:c r="T284" t="str">
        <x:v>../Project Recherche Data/utmost-batch03-20260909/J1435-5954/run01/result.json</x:v>
      </x:c>
      <x:c r="U284" t="str">
        <x:v>6ba76c0d6b856c1666129b87ff6138670017bf6fe65c3ba0b610d79ca9df8c66</x:v>
      </x:c>
      <x:c r="V284" t="str">
        <x:v>observed=54e84431920d450a18d9c8a81ef6637b7c8a8bd02997b96df9ee02e36e8f2e31; calibration=5f75d9bd3fc5feb35feea1cfdb5d5c0fb060078b849f4574958e33b917eaf152</x:v>
      </x:c>
    </x:row>
    <x:row r="285" ht="15" hidden="0" customHeight="1">
      <x:c r="A285" t="str">
        <x:v>utmost-batch03-20260909-J0536-7543-run01</x:v>
      </x:c>
      <x:c r="B285" t="str">
        <x:v>J0536-7543</x:v>
      </x:c>
      <x:c r="C285" t="str">
        <x:v>UTMOST DR1; original circular search</x:v>
      </x:c>
      <x:c r="D285" t="str">
        <x:v>NO_TRIGGER</x:v>
      </x:c>
      <x:c r="E285" s="23" t="n">
        <x:v>46.83707518074362</x:v>
      </x:c>
      <x:c r="F285" t="str">
        <x:v>Strongest eligible grid peak; candidate status is separate</x:v>
      </x:c>
      <x:c r="G285" s="24" t="n">
        <x:v>182.38820915259896</x:v>
      </x:c>
      <x:c r="H285" s="24" t="n">
        <x:v>1.9418224077945032</x:v>
      </x:c>
      <x:c r="I285" s="24" t="n">
        <x:v>26.254701837830737</x:v>
      </x:c>
      <x:c r="J285" s="25" t="n">
        <x:v>188</x:v>
      </x:c>
      <x:c r="K285" s="25" t="n">
        <x:v>181</x:v>
      </x:c>
      <x:c r="L285" s="24" t="n">
        <x:v>30</x:v>
      </x:c>
      <x:c r="M285" s="24" t="n">
        <x:v>400</x:v>
      </x:c>
      <x:c r="N285" s="25" t="n">
        <x:v>201</x:v>
      </x:c>
      <x:c r="O285" s="25" t="n">
        <x:v>6</x:v>
      </x:c>
      <x:c r="P285" s="24" t="n">
        <x:v>935.9407427365464</x:v>
      </x:c>
      <x:c r="Q28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5"/>
      <x:c r="S285" t="str">
        <x:v>Preserve consumed record; new data/scope requires a new ID</x:v>
      </x:c>
      <x:c r="T285" t="str">
        <x:v>../Project Recherche Data/utmost-batch03-20260909/J0536-7543/run01/result.json</x:v>
      </x:c>
      <x:c r="U285" t="str">
        <x:v>12f279c212d68eb9316d1c54efca6abbb1092687c6f18bf0592a3b9adbb5eae3</x:v>
      </x:c>
      <x:c r="V285" t="str">
        <x:v>observed=b7624a5a14f82b4fc71c7fb6e3cf6277b06f8f1a316aedf1fe831accf1b27d4f; calibration=5fe9add24d1ad8fc19ce7bf0ba0bccf40d79ed71aa4fd858a0a890de6635d143</x:v>
      </x:c>
    </x:row>
    <x:row r="286" ht="15" hidden="0" customHeight="1">
      <x:c r="A286" t="str">
        <x:v>utmost-batch03-20260909-J0418-4154-run01</x:v>
      </x:c>
      <x:c r="B286" t="str">
        <x:v>J0418-4154</x:v>
      </x:c>
      <x:c r="C286" t="str">
        <x:v>UTMOST DR1; original circular search</x:v>
      </x:c>
      <x:c r="D286" t="str">
        <x:v>NO_TRIGGER</x:v>
      </x:c>
      <x:c r="E286" s="23" t="n">
        <x:v>100.17799973517293</x:v>
      </x:c>
      <x:c r="F286" t="str">
        <x:v>Strongest eligible grid peak; candidate status is separate</x:v>
      </x:c>
      <x:c r="G286" s="24" t="n">
        <x:v>600.4096827538478</x:v>
      </x:c>
      <x:c r="H286" s="24" t="n">
        <x:v>11.708227316495039</x:v>
      </x:c>
      <x:c r="I286" s="24" t="n">
        <x:v>26.110309255421758</x:v>
      </x:c>
      <x:c r="J286" s="25" t="n">
        <x:v>99</x:v>
      </x:c>
      <x:c r="K286" s="25" t="n">
        <x:v>95</x:v>
      </x:c>
      <x:c r="L286" s="24" t="n">
        <x:v>30</x:v>
      </x:c>
      <x:c r="M286" s="24" t="n">
        <x:v>400</x:v>
      </x:c>
      <x:c r="N286" s="25" t="n">
        <x:v>187</x:v>
      </x:c>
      <x:c r="O286" s="25" t="n">
        <x:v>2</x:v>
      </x:c>
      <x:c r="P286" s="24" t="n">
        <x:v>1117.437389670972</x:v>
      </x:c>
      <x:c r="Q28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6"/>
      <x:c r="S286" t="str">
        <x:v>Preserve consumed record; new data/scope requires a new ID</x:v>
      </x:c>
      <x:c r="T286" t="str">
        <x:v>../Project Recherche Data/utmost-batch03-20260909/J0418-4154/run01/result.json</x:v>
      </x:c>
      <x:c r="U286" t="str">
        <x:v>dfcf912bfd6ee72843202561ce7f3f28fbfdef779804241d58142ca0cf0c816e</x:v>
      </x:c>
      <x:c r="V286" t="str">
        <x:v>observed=81a7343ea24da2f509a6a34ed5336a0fa089893033072c05ecf6c3e47f10ac7b; calibration=8ecd937f5be2e6c1e01b6b693b39cfe149ab09c54af0b851617f8e51e2c4b0a1</x:v>
      </x:c>
    </x:row>
    <x:row r="287" ht="15" hidden="0" customHeight="1">
      <x:c r="A287" t="str">
        <x:v>utmost-batch03-20260909-J1306-6617-run01</x:v>
      </x:c>
      <x:c r="B287" t="str">
        <x:v>J1306-6617</x:v>
      </x:c>
      <x:c r="C287" t="str">
        <x:v>UTMOST DR1; original circular search</x:v>
      </x:c>
      <x:c r="D287" t="str">
        <x:v>NO_TRIGGER</x:v>
      </x:c>
      <x:c r="E287" s="23" t="n">
        <x:v>33.83055523606735</x:v>
      </x:c>
      <x:c r="F287" t="str">
        <x:v>Strongest eligible grid peak; candidate status is separate</x:v>
      </x:c>
      <x:c r="G287" s="24" t="n">
        <x:v>557.7472008364167</x:v>
      </x:c>
      <x:c r="H287" s="24" t="n">
        <x:v>6.092178536855972</x:v>
      </x:c>
      <x:c r="I287" s="24" t="n">
        <x:v>26.110309255421758</x:v>
      </x:c>
      <x:c r="J287" s="25" t="n">
        <x:v>125</x:v>
      </x:c>
      <x:c r="K287" s="25" t="n">
        <x:v>95</x:v>
      </x:c>
      <x:c r="L287" s="24" t="n">
        <x:v>30</x:v>
      </x:c>
      <x:c r="M287" s="24" t="n">
        <x:v>400</x:v>
      </x:c>
      <x:c r="N287" s="25" t="n">
        <x:v>187</x:v>
      </x:c>
      <x:c r="O287" s="25" t="n">
        <x:v>4</x:v>
      </x:c>
      <x:c r="P287" s="24" t="n">
        <x:v>1609.754141076033</x:v>
      </x:c>
      <x:c r="Q28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7"/>
      <x:c r="S287" t="str">
        <x:v>Preserve consumed record; new data/scope requires a new ID</x:v>
      </x:c>
      <x:c r="T287" t="str">
        <x:v>../Project Recherche Data/utmost-batch03-20260909/J1306-6617/run01/result.json</x:v>
      </x:c>
      <x:c r="U287" t="str">
        <x:v>0c360a32622cbcba9a87d6de37764613cd116b72073622f361b6422188927273</x:v>
      </x:c>
      <x:c r="V287" t="str">
        <x:v>observed=bae1c84ea59abf1cf865d066e4f8966cdea7bd556e3758b148393d8697bbb58f; calibration=f0b5dc74e5c605bd38d6bc768f34fa71606478325ee4953a25a1a44a89198750</x:v>
      </x:c>
    </x:row>
    <x:row r="288" ht="15" hidden="0" customHeight="1">
      <x:c r="A288" t="str">
        <x:v>utmost-batch03-20260909-J0856-6137-run01</x:v>
      </x:c>
      <x:c r="B288" t="str">
        <x:v>J0856-6137</x:v>
      </x:c>
      <x:c r="C288" t="str">
        <x:v>UTMOST DR1; original circular search</x:v>
      </x:c>
      <x:c r="D288" t="str">
        <x:v>NO_TRIGGER</x:v>
      </x:c>
      <x:c r="E288" s="23" t="n">
        <x:v>33.90107133963149</x:v>
      </x:c>
      <x:c r="F288" t="str">
        <x:v>Strongest eligible grid peak; candidate status is separate</x:v>
      </x:c>
      <x:c r="G288" s="24" t="n">
        <x:v>633.0568346534268</x:v>
      </x:c>
      <x:c r="H288" s="24" t="n">
        <x:v>8.419812856418433</x:v>
      </x:c>
      <x:c r="I288" s="24" t="n">
        <x:v>26.120975947372482</x:v>
      </x:c>
      <x:c r="J288" s="25" t="n">
        <x:v>48</x:v>
      </x:c>
      <x:c r="K288" s="25" t="n">
        <x:v>44</x:v>
      </x:c>
      <x:c r="L288" s="24" t="n">
        <x:v>30</x:v>
      </x:c>
      <x:c r="M288" s="24" t="n">
        <x:v>400</x:v>
      </x:c>
      <x:c r="N288" s="25" t="n">
        <x:v>188</x:v>
      </x:c>
      <x:c r="O288" s="25" t="n">
        <x:v>4</x:v>
      </x:c>
      <x:c r="P288" s="24" t="n">
        <x:v>1608.5163024453277</x:v>
      </x:c>
      <x:c r="Q28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8"/>
      <x:c r="S288" t="str">
        <x:v>Preserve consumed record; new data/scope requires a new ID</x:v>
      </x:c>
      <x:c r="T288" t="str">
        <x:v>../Project Recherche Data/utmost-batch03-20260909/J0856-6137/run01/result.json</x:v>
      </x:c>
      <x:c r="U288" t="str">
        <x:v>9794019c68a6a26b7ec6935498653927e6bf250e08b3688ce68ea4d88cbbaf62</x:v>
      </x:c>
      <x:c r="V288" t="str">
        <x:v>observed=5c4515db079c0d318dac85e2eabc2c57124fe714a17f2d0730fb7ef9a7d2aea3; calibration=3315dd2a40030fdef04c12cbd4fa47a408f0a0c4ba6e31e23a9b7da26d33fd4e</x:v>
      </x:c>
    </x:row>
    <x:row r="289" ht="15" hidden="0" customHeight="1">
      <x:c r="A289" t="str">
        <x:v>utmost-batch03-20260909-J0924-5814-run01</x:v>
      </x:c>
      <x:c r="B289" t="str">
        <x:v>J0924-5814</x:v>
      </x:c>
      <x:c r="C289" t="str">
        <x:v>UTMOST DR1; original circular search</x:v>
      </x:c>
      <x:c r="D289" t="str">
        <x:v>NO_TRIGGER</x:v>
      </x:c>
      <x:c r="E289" s="23" t="n">
        <x:v>100.47116622191425</x:v>
      </x:c>
      <x:c r="F289" t="str">
        <x:v>Strongest eligible grid peak; candidate status is separate</x:v>
      </x:c>
      <x:c r="G289" s="24" t="n">
        <x:v>768.5328699064864</x:v>
      </x:c>
      <x:c r="H289" s="24" t="n">
        <x:v>7.272706083151809</x:v>
      </x:c>
      <x:c r="I289" s="24" t="n">
        <x:v>26.120975947372482</x:v>
      </x:c>
      <x:c r="J289" s="25" t="n">
        <x:v>72</x:v>
      </x:c>
      <x:c r="K289" s="25" t="n">
        <x:v>65</x:v>
      </x:c>
      <x:c r="L289" s="24" t="n">
        <x:v>30</x:v>
      </x:c>
      <x:c r="M289" s="24" t="n">
        <x:v>400</x:v>
      </x:c>
      <x:c r="N289" s="25" t="n">
        <x:v>188</x:v>
      </x:c>
      <x:c r="O289" s="25" t="n">
        <x:v>4</x:v>
      </x:c>
      <x:c r="P289" s="24" t="n">
        <x:v>1998.0879913158649</x:v>
      </x:c>
      <x:c r="Q28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89"/>
      <x:c r="S289" t="str">
        <x:v>Preserve consumed record; new data/scope requires a new ID</x:v>
      </x:c>
      <x:c r="T289" t="str">
        <x:v>../Project Recherche Data/utmost-batch03-20260909/J0924-5814/run01/result.json</x:v>
      </x:c>
      <x:c r="U289" t="str">
        <x:v>d9fe1b3d808fee67de2d78b0f19b4e94b12ccb7d1da174bc67aa8183f7023869</x:v>
      </x:c>
      <x:c r="V289" t="str">
        <x:v>observed=51980821e158df96c239b2d1dfbac14673c02db65ad902821ea1b5d6315830e9; calibration=e62238a4e23cb85fd06dbac166044ac9cd36cad7e5045720d997928d196950bd</x:v>
      </x:c>
    </x:row>
    <x:row r="290" ht="15" hidden="0" customHeight="1">
      <x:c r="A290" t="str">
        <x:v>utmost-batch03-20260909-J1418-3921-run01</x:v>
      </x:c>
      <x:c r="B290" t="str">
        <x:v>J1418-3921</x:v>
      </x:c>
      <x:c r="C290" t="str">
        <x:v>UTMOST DR1; original circular search</x:v>
      </x:c>
      <x:c r="D290" t="str">
        <x:v>NO_TRIGGER</x:v>
      </x:c>
      <x:c r="E290" s="23" t="n">
        <x:v>37.512891210802486</x:v>
      </x:c>
      <x:c r="F290" t="str">
        <x:v>Strongest eligible grid peak; candidate status is separate</x:v>
      </x:c>
      <x:c r="G290" s="24" t="n">
        <x:v>781.3089494737815</x:v>
      </x:c>
      <x:c r="H290" s="24" t="n">
        <x:v>8.439060027702629</x:v>
      </x:c>
      <x:c r="I290" s="24" t="n">
        <x:v>26.254701837830737</x:v>
      </x:c>
      <x:c r="J290" s="25" t="n">
        <x:v>57</x:v>
      </x:c>
      <x:c r="K290" s="25" t="n">
        <x:v>55</x:v>
      </x:c>
      <x:c r="L290" s="24" t="n">
        <x:v>30</x:v>
      </x:c>
      <x:c r="M290" s="24" t="n">
        <x:v>400</x:v>
      </x:c>
      <x:c r="N290" s="25" t="n">
        <x:v>201</x:v>
      </x:c>
      <x:c r="O290" s="25" t="n">
        <x:v>4</x:v>
      </x:c>
      <x:c r="P290" s="24" t="n">
        <x:v>2112.5069557514526</x:v>
      </x:c>
      <x:c r="Q29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0"/>
      <x:c r="S290" t="str">
        <x:v>Preserve consumed record; new data/scope requires a new ID</x:v>
      </x:c>
      <x:c r="T290" t="str">
        <x:v>../Project Recherche Data/utmost-batch03-20260909/J1418-3921/run01/result.json</x:v>
      </x:c>
      <x:c r="U290" t="str">
        <x:v>fed890644a03b0c270b83437927bb4260c303e85fac9b031f1ab8c3ee7079d5b</x:v>
      </x:c>
      <x:c r="V290" t="str">
        <x:v>observed=bc96097790cd1bea0ef01faa1ebadcd4d3e09a64345ac9149c08e11e1c48bb51; calibration=e231bb27338fda273193b6fbe4df732e58eaf2afff86b6d4ecefb47e03797699</x:v>
      </x:c>
    </x:row>
    <x:row r="291" ht="15" hidden="0" customHeight="1">
      <x:c r="A291" t="str">
        <x:v>utmost-batch03-20260909-J1707-4053-run01</x:v>
      </x:c>
      <x:c r="B291" t="str">
        <x:v>J1707-4053</x:v>
      </x:c>
      <x:c r="C291" t="str">
        <x:v>UTMOST DR1; original circular search</x:v>
      </x:c>
      <x:c r="D291" t="str">
        <x:v>NO_TRIGGER</x:v>
      </x:c>
      <x:c r="E291" s="23" t="n">
        <x:v>32.268949214490995</x:v>
      </x:c>
      <x:c r="F291" t="str">
        <x:v>Strongest eligible grid peak; candidate status is separate</x:v>
      </x:c>
      <x:c r="G291" s="24" t="n">
        <x:v>1726.7019513960422</x:v>
      </x:c>
      <x:c r="H291" s="24" t="n">
        <x:v>9.41109644036436</x:v>
      </x:c>
      <x:c r="I291" s="24" t="n">
        <x:v>26.183808339839242</x:v>
      </x:c>
      <x:c r="J291" s="25" t="n">
        <x:v>57</x:v>
      </x:c>
      <x:c r="K291" s="25" t="n">
        <x:v>56</x:v>
      </x:c>
      <x:c r="L291" s="24" t="n">
        <x:v>30</x:v>
      </x:c>
      <x:c r="M291" s="24" t="n">
        <x:v>400</x:v>
      </x:c>
      <x:c r="N291" s="25" t="n">
        <x:v>194</x:v>
      </x:c>
      <x:c r="O291" s="25" t="n">
        <x:v>6</x:v>
      </x:c>
      <x:c r="P291" s="24" t="n">
        <x:v>4134.207235583379</x:v>
      </x:c>
      <x:c r="Q29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1"/>
      <x:c r="S291" t="str">
        <x:v>Preserve consumed record; new data/scope requires a new ID</x:v>
      </x:c>
      <x:c r="T291" t="str">
        <x:v>../Project Recherche Data/utmost-batch03-20260909/J1707-4053/run01/result.json</x:v>
      </x:c>
      <x:c r="U291" t="str">
        <x:v>78eb308158830a400d5492879ccb65ff44b44971b1d064df67a267895a93af6a</x:v>
      </x:c>
      <x:c r="V291" t="str">
        <x:v>observed=99ffdb4d64a485a7feaf5f030d9e4d536615ea53e522c8d7917bba9bdf4cb79c; calibration=75e5745bef732d90fec5037507df8b415513d7e6e3f40aa4b1927381226d5ced</x:v>
      </x:c>
    </x:row>
    <x:row r="292" ht="15" hidden="0" customHeight="1">
      <x:c r="A292" t="str">
        <x:v>utmost-batch03-20260909-J1715-4034-run01</x:v>
      </x:c>
      <x:c r="B292" t="str">
        <x:v>J1715-4034</x:v>
      </x:c>
      <x:c r="C292" t="str">
        <x:v>UTMOST DR1; original circular search</x:v>
      </x:c>
      <x:c r="D292" t="str">
        <x:v>NO_TRIGGER</x:v>
      </x:c>
      <x:c r="E292" s="23" t="n">
        <x:v>102.94310022710012</x:v>
      </x:c>
      <x:c r="F292" t="str">
        <x:v>Strongest eligible grid peak; candidate status is separate</x:v>
      </x:c>
      <x:c r="G292" s="24" t="n">
        <x:v>2582.416147656954</x:v>
      </x:c>
      <x:c r="H292" s="24" t="n">
        <x:v>6.625696081150729</x:v>
      </x:c>
      <x:c r="I292" s="24" t="n">
        <x:v>26.183808339839242</x:v>
      </x:c>
      <x:c r="J292" s="25" t="n">
        <x:v>76</x:v>
      </x:c>
      <x:c r="K292" s="25" t="n">
        <x:v>69</x:v>
      </x:c>
      <x:c r="L292" s="24" t="n">
        <x:v>30</x:v>
      </x:c>
      <x:c r="M292" s="24" t="n">
        <x:v>400</x:v>
      </x:c>
      <x:c r="N292" s="25" t="n">
        <x:v>194</x:v>
      </x:c>
      <x:c r="O292" s="25" t="n">
        <x:v>6</x:v>
      </x:c>
      <x:c r="P292" s="24" t="n">
        <x:v>5934.2429989552</x:v>
      </x:c>
      <x:c r="Q29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2"/>
      <x:c r="S292" t="str">
        <x:v>Preserve consumed record; new data/scope requires a new ID</x:v>
      </x:c>
      <x:c r="T292" t="str">
        <x:v>../Project Recherche Data/utmost-batch03-20260909/J1715-4034/run01/result.json</x:v>
      </x:c>
      <x:c r="U292" t="str">
        <x:v>986b71baa702f3cd05b7b374839ae9712b2b4510cd5e28afa9304acda6a37554</x:v>
      </x:c>
      <x:c r="V292" t="str">
        <x:v>observed=fbf61a93697e3915f50f30d5d077f0abbe2d99f440ff860f4feaf1fb9868b007; calibration=e3c203306301c232b9eb6efda944ad015e5696c9e93ca4cb7183038cdf291768</x:v>
      </x:c>
    </x:row>
    <x:row r="293" ht="15" hidden="0" customHeight="1">
      <x:c r="A293" t="str">
        <x:v>utmost-batch03-20260909-J1231-6303-run01</x:v>
      </x:c>
      <x:c r="B293" t="str">
        <x:v>J1231-6303</x:v>
      </x:c>
      <x:c r="C293" t="str">
        <x:v>UTMOST DR1; original circular search</x:v>
      </x:c>
      <x:c r="D293" t="str">
        <x:v>NO_TRIGGER</x:v>
      </x:c>
      <x:c r="E293" s="23" t="n">
        <x:v>45.963033494878964</x:v>
      </x:c>
      <x:c r="F293" t="str">
        <x:v>Strongest eligible grid peak; candidate status is separate</x:v>
      </x:c>
      <x:c r="G293" s="24" t="n">
        <x:v>5638.367477356047</x:v>
      </x:c>
      <x:c r="H293" s="24" t="n">
        <x:v>4.774643514610261</x:v>
      </x:c>
      <x:c r="I293" s="24" t="n">
        <x:v>26.110309255421758</x:v>
      </x:c>
      <x:c r="J293" s="25" t="n">
        <x:v>79</x:v>
      </x:c>
      <x:c r="K293" s="25" t="n">
        <x:v>69</x:v>
      </x:c>
      <x:c r="L293" s="24" t="n">
        <x:v>30</x:v>
      </x:c>
      <x:c r="M293" s="24" t="n">
        <x:v>400</x:v>
      </x:c>
      <x:c r="N293" s="25" t="n">
        <x:v>187</x:v>
      </x:c>
      <x:c r="O293" s="25" t="n">
        <x:v>8</x:v>
      </x:c>
      <x:c r="P293" s="24" t="n">
        <x:v>19300.09427998106</x:v>
      </x:c>
      <x:c r="Q29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3"/>
      <x:c r="S293" t="str">
        <x:v>Preserve consumed record; new data/scope requires a new ID</x:v>
      </x:c>
      <x:c r="T293" t="str">
        <x:v>../Project Recherche Data/utmost-batch03-20260909/J1231-6303/run01/result.json</x:v>
      </x:c>
      <x:c r="U293" t="str">
        <x:v>87aaaddef032055d305e446a59813e76145f5d0ae43315ae6d68eb8c163d78c2</x:v>
      </x:c>
      <x:c r="V293" t="str">
        <x:v>observed=46c043315027f2ebedf56634ec815015465e10b447a8c484fe70977e5ea3eab1; calibration=a8b01067d3041e4e6f520994541f1f03faa5647bbadd3a73740cde5948182089</x:v>
      </x:c>
    </x:row>
    <x:row r="294" ht="15" hidden="0" customHeight="1">
      <x:c r="A294" t="str">
        <x:v>utmost-batch03-20260909-J1824-1945-run01</x:v>
      </x:c>
      <x:c r="B294" t="str">
        <x:v>J1824-1945</x:v>
      </x:c>
      <x:c r="C294" t="str">
        <x:v>UTMOST DR1; original circular search</x:v>
      </x:c>
      <x:c r="D294" t="str">
        <x:v>NO_TRIGGER</x:v>
      </x:c>
      <x:c r="E294" s="23" t="n">
        <x:v>103.74609655129368</x:v>
      </x:c>
      <x:c r="F294" t="str">
        <x:v>Strongest eligible grid peak; candidate status is separate</x:v>
      </x:c>
      <x:c r="G294" s="24" t="n">
        <x:v>35.540019589117016</x:v>
      </x:c>
      <x:c r="H294" s="24" t="n">
        <x:v>20.80328459902617</x:v>
      </x:c>
      <x:c r="I294" s="24" t="n">
        <x:v>26.110309255421758</x:v>
      </x:c>
      <x:c r="J294" s="25" t="n">
        <x:v>95</x:v>
      </x:c>
      <x:c r="K294" s="25" t="n">
        <x:v>91</x:v>
      </x:c>
      <x:c r="L294" s="24" t="n">
        <x:v>30</x:v>
      </x:c>
      <x:c r="M294" s="24" t="n">
        <x:v>400</x:v>
      </x:c>
      <x:c r="N294" s="25" t="n">
        <x:v>187</x:v>
      </x:c>
      <x:c r="O294" s="25" t="n">
        <x:v>7</x:v>
      </x:c>
      <x:c r="P294" s="24" t="n">
        <x:v>52.16683288721782</x:v>
      </x:c>
      <x:c r="Q29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4"/>
      <x:c r="S294" t="str">
        <x:v>Preserve consumed record; new data/scope requires a new ID</x:v>
      </x:c>
      <x:c r="T294" t="str">
        <x:v>../Project Recherche Data/utmost-batch03-20260909/J1824-1945/run01/result.json</x:v>
      </x:c>
      <x:c r="U294" t="str">
        <x:v>4635b2b6d6d2e5fdca93b6bd0c6b853d76268d0dd8865b96692eb187e2c0723e</x:v>
      </x:c>
      <x:c r="V294" t="str">
        <x:v>observed=f50da0de45102351e79eafe3bccfd7f137dd654e8837922be34439a5d7dd0b1d; calibration=012b95ae1d848a79f044da86db76dd606270687e2fc5f72654141b3aff19190f</x:v>
      </x:c>
    </x:row>
    <x:row r="295" ht="15" hidden="0" customHeight="1">
      <x:c r="A295" t="str">
        <x:v>utmost-batch03-20260909-J0601-0527-run01</x:v>
      </x:c>
      <x:c r="B295" t="str">
        <x:v>J0601-0527</x:v>
      </x:c>
      <x:c r="C295" t="str">
        <x:v>UTMOST DR1; original circular search</x:v>
      </x:c>
      <x:c r="D295" t="str">
        <x:v>NO_TRIGGER</x:v>
      </x:c>
      <x:c r="E295" s="23" t="n">
        <x:v>70.07431345277654</x:v>
      </x:c>
      <x:c r="F295" t="str">
        <x:v>Strongest eligible grid peak; candidate status is separate</x:v>
      </x:c>
      <x:c r="G295" s="24" t="n">
        <x:v>94.4410005447482</x:v>
      </x:c>
      <x:c r="H295" s="24" t="n">
        <x:v>9.728688057116182</x:v>
      </x:c>
      <x:c r="I295" s="24" t="n">
        <x:v>26.303844359291748</x:v>
      </x:c>
      <x:c r="J295" s="25" t="n">
        <x:v>208</x:v>
      </x:c>
      <x:c r="K295" s="25" t="n">
        <x:v>202</x:v>
      </x:c>
      <x:c r="L295" s="24" t="n">
        <x:v>30</x:v>
      </x:c>
      <x:c r="M295" s="24" t="n">
        <x:v>400</x:v>
      </x:c>
      <x:c r="N295" s="25" t="n">
        <x:v>206</x:v>
      </x:c>
      <x:c r="O295" s="25" t="n">
        <x:v>4</x:v>
      </x:c>
      <x:c r="P295" s="24" t="n">
        <x:v>206.26476384832569</x:v>
      </x:c>
      <x:c r="Q29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5"/>
      <x:c r="S295" t="str">
        <x:v>Preserve consumed record; new data/scope requires a new ID</x:v>
      </x:c>
      <x:c r="T295" t="str">
        <x:v>../Project Recherche Data/utmost-batch03-20260909/J0601-0527/run01/result.json</x:v>
      </x:c>
      <x:c r="U295" t="str">
        <x:v>64edea43e983c7b1cf23fa2edd621386bb162b7eb4aa87b202788a10e6a7e9ff</x:v>
      </x:c>
      <x:c r="V295" t="str">
        <x:v>observed=0394daa8b8d8aa803fad4cda9320791ef58ffe898c318ee610b553d7dbd4fad2; calibration=c58aa134971a659543f66918c2084540a801b788a71667f40b4d14f86d44ad4a</x:v>
      </x:c>
    </x:row>
    <x:row r="296" ht="15" hidden="0" customHeight="1">
      <x:c r="A296" t="str">
        <x:v>utmost-batch03-20260909-J0452-1759-run01</x:v>
      </x:c>
      <x:c r="B296" t="str">
        <x:v>J0452-1759</x:v>
      </x:c>
      <x:c r="C296" t="str">
        <x:v>UTMOST DR1; original circular search</x:v>
      </x:c>
      <x:c r="D296" t="str">
        <x:v>NO_TRIGGER</x:v>
      </x:c>
      <x:c r="E296" s="23" t="n">
        <x:v>31.96744638844518</x:v>
      </x:c>
      <x:c r="F296" t="str">
        <x:v>Strongest eligible grid peak; candidate status is separate</x:v>
      </x:c>
      <x:c r="G296" s="24" t="n">
        <x:v>110.61887659042513</x:v>
      </x:c>
      <x:c r="H296" s="24" t="n">
        <x:v>13.980649188117049</x:v>
      </x:c>
      <x:c r="I296" s="24" t="n">
        <x:v>26.303844359291748</x:v>
      </x:c>
      <x:c r="J296" s="25" t="n">
        <x:v>121</x:v>
      </x:c>
      <x:c r="K296" s="25" t="n">
        <x:v>116</x:v>
      </x:c>
      <x:c r="L296" s="24" t="n">
        <x:v>30</x:v>
      </x:c>
      <x:c r="M296" s="24" t="n">
        <x:v>400</x:v>
      </x:c>
      <x:c r="N296" s="25" t="n">
        <x:v>206</x:v>
      </x:c>
      <x:c r="O296" s="25" t="n">
        <x:v>3</x:v>
      </x:c>
      <x:c r="P296" s="24" t="n">
        <x:v>221.25875592302756</x:v>
      </x:c>
      <x:c r="Q29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6"/>
      <x:c r="S296" t="str">
        <x:v>Preserve consumed record; new data/scope requires a new ID</x:v>
      </x:c>
      <x:c r="T296" t="str">
        <x:v>../Project Recherche Data/utmost-batch03-20260909/J0452-1759/run01/result.json</x:v>
      </x:c>
      <x:c r="U296" t="str">
        <x:v>5a073cfc8b540e1445b099073d14b20dd3a601925115a940dafeb016092cbb9d</x:v>
      </x:c>
      <x:c r="V296" t="str">
        <x:v>observed=33311cd661bb9cdf8f2668e38723de169d85d01571b83f0b5d8939a3f43c7aac; calibration=6e0696ceaabe9160a83b2ac8992beebfc340decc331b39db46faf965d0d0deb8</x:v>
      </x:c>
    </x:row>
    <x:row r="297" ht="15" hidden="0" customHeight="1">
      <x:c r="A297" t="str">
        <x:v>utmost-batch03-20260909-J1848-0123-run01</x:v>
      </x:c>
      <x:c r="B297" t="str">
        <x:v>J1848-0123</x:v>
      </x:c>
      <x:c r="C297" t="str">
        <x:v>UTMOST DR1; original circular search</x:v>
      </x:c>
      <x:c r="D297" t="str">
        <x:v>NO_TRIGGER</x:v>
      </x:c>
      <x:c r="E297" s="23" t="n">
        <x:v>32.80423113313124</x:v>
      </x:c>
      <x:c r="F297" t="str">
        <x:v>Strongest eligible grid peak; candidate status is separate</x:v>
      </x:c>
      <x:c r="G297" s="24" t="n">
        <x:v>149.74237748312677</x:v>
      </x:c>
      <x:c r="H297" s="24" t="n">
        <x:v>12.67971399263991</x:v>
      </x:c>
      <x:c r="I297" s="24" t="n">
        <x:v>26.173472399522357</x:v>
      </x:c>
      <x:c r="J297" s="25" t="n">
        <x:v>111</x:v>
      </x:c>
      <x:c r="K297" s="25" t="n">
        <x:v>97</x:v>
      </x:c>
      <x:c r="L297" s="24" t="n">
        <x:v>30</x:v>
      </x:c>
      <x:c r="M297" s="24" t="n">
        <x:v>400</x:v>
      </x:c>
      <x:c r="N297" s="25" t="n">
        <x:v>193</x:v>
      </x:c>
      <x:c r="O297" s="25" t="n">
        <x:v>5</x:v>
      </x:c>
      <x:c r="P297" s="24" t="n">
        <x:v>317.91091890422996</x:v>
      </x:c>
      <x:c r="Q29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7"/>
      <x:c r="S297" t="str">
        <x:v>Preserve consumed record; new data/scope requires a new ID</x:v>
      </x:c>
      <x:c r="T297" t="str">
        <x:v>../Project Recherche Data/utmost-batch03-20260909/J1848-0123/run01/result.json</x:v>
      </x:c>
      <x:c r="U297" t="str">
        <x:v>a9b8c0b28889641f133ed0acecf64290c5bd5253ad3ac174d15aa0b09ea24e7e</x:v>
      </x:c>
      <x:c r="V297" t="str">
        <x:v>observed=0a98364b627ed49c626d7749fe80baf6d803b681f1cdd11547a07ae32e78c2e0; calibration=7a6f0b8db50c83374362b1c234184bacc62bf8a606eb6a0fb072ccd044da646d</x:v>
      </x:c>
    </x:row>
    <x:row r="298" ht="15" hidden="0" customHeight="1">
      <x:c r="A298" t="str">
        <x:v>utmost-batch03-20260909-J0837+0610-run01</x:v>
      </x:c>
      <x:c r="B298" t="str">
        <x:v>J0837+0610</x:v>
      </x:c>
      <x:c r="C298" t="str">
        <x:v>UTMOST DR1; original circular search</x:v>
      </x:c>
      <x:c r="D298" t="str">
        <x:v>NO_TRIGGER</x:v>
      </x:c>
      <x:c r="E298" s="23" t="n">
        <x:v>30.00225881243466</x:v>
      </x:c>
      <x:c r="F298" t="str">
        <x:v>Strongest eligible grid peak; candidate status is separate</x:v>
      </x:c>
      <x:c r="G298" s="24" t="n">
        <x:v>90.33022186781234</x:v>
      </x:c>
      <x:c r="H298" s="24" t="n">
        <x:v>10.146028322071698</x:v>
      </x:c>
      <x:c r="I298" s="24" t="n">
        <x:v>26.32316818111522</x:v>
      </x:c>
      <x:c r="J298" s="25" t="n">
        <x:v>78</x:v>
      </x:c>
      <x:c r="K298" s="25" t="n">
        <x:v>62</x:v>
      </x:c>
      <x:c r="L298" s="24" t="n">
        <x:v>30</x:v>
      </x:c>
      <x:c r="M298" s="24" t="n">
        <x:v>400</x:v>
      </x:c>
      <x:c r="N298" s="25" t="n">
        <x:v>208</x:v>
      </x:c>
      <x:c r="O298" s="25" t="n">
        <x:v>7</x:v>
      </x:c>
      <x:c r="P298" s="24" t="n">
        <x:v>208.5503934539897</x:v>
      </x:c>
      <x:c r="Q29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8"/>
      <x:c r="S298" t="str">
        <x:v>Preserve consumed record; new data/scope requires a new ID</x:v>
      </x:c>
      <x:c r="T298" t="str">
        <x:v>../Project Recherche Data/utmost-batch03-20260909/J0837+0610/run01/result.json</x:v>
      </x:c>
      <x:c r="U298" t="str">
        <x:v>0ca33034dbb18e0c2786e249254b8837bb95811bb57ef027e4a2cb8f1f59ab27</x:v>
      </x:c>
      <x:c r="V298" t="str">
        <x:v>observed=aec3cbfd7b3eac4563be755558913fb7a1fd2b7958a7523555f8a3fab40796d7; calibration=b2f43d7a67652efb3c49e1537d15d4f3d7f620deac4079b28738bda75673f336</x:v>
      </x:c>
    </x:row>
    <x:row r="299" ht="15" hidden="0" customHeight="1">
      <x:c r="A299" t="str">
        <x:v>utmost-batch03-20260909-J2330-2005-run01</x:v>
      </x:c>
      <x:c r="B299" t="str">
        <x:v>J2330-2005</x:v>
      </x:c>
      <x:c r="C299" t="str">
        <x:v>UTMOST DR1; original circular search</x:v>
      </x:c>
      <x:c r="D299" t="str">
        <x:v>NO_TRIGGER</x:v>
      </x:c>
      <x:c r="E299" s="23" t="n">
        <x:v>31.077659234394563</x:v>
      </x:c>
      <x:c r="F299" t="str">
        <x:v>Strongest eligible grid peak; candidate status is separate</x:v>
      </x:c>
      <x:c r="G299" s="24" t="n">
        <x:v>149.94176030775873</x:v>
      </x:c>
      <x:c r="H299" s="24" t="n">
        <x:v>10.185884406533</x:v>
      </x:c>
      <x:c r="I299" s="24" t="n">
        <x:v>26.19409113884008</x:v>
      </x:c>
      <x:c r="J299" s="25" t="n">
        <x:v>172</x:v>
      </x:c>
      <x:c r="K299" s="25" t="n">
        <x:v>146</x:v>
      </x:c>
      <x:c r="L299" s="24" t="n">
        <x:v>30</x:v>
      </x:c>
      <x:c r="M299" s="24" t="n">
        <x:v>400</x:v>
      </x:c>
      <x:c r="N299" s="25" t="n">
        <x:v>195</x:v>
      </x:c>
      <x:c r="O299" s="25" t="n">
        <x:v>5</x:v>
      </x:c>
      <x:c r="P299" s="24" t="n">
        <x:v>342.5861049054655</x:v>
      </x:c>
      <x:c r="Q29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299"/>
      <x:c r="S299" t="str">
        <x:v>Preserve consumed record; new data/scope requires a new ID</x:v>
      </x:c>
      <x:c r="T299" t="str">
        <x:v>../Project Recherche Data/utmost-batch03-20260909/J2330-2005/run01/result.json</x:v>
      </x:c>
      <x:c r="U299" t="str">
        <x:v>554b84d285ba55086d32b43d7ad5f0aed0be17426a9f19423e2e4ebbc4aab10a</x:v>
      </x:c>
      <x:c r="V299" t="str">
        <x:v>observed=6ddc1e0a57ad9bb2bd1d12a2749b4a13b5b90cf1149004871ad746219b29ea8e; calibration=96030ceffe5631e08590fcc1b6ff5807c73730ca69a3704b3b076a9b7040e426</x:v>
      </x:c>
    </x:row>
    <x:row r="300" ht="15" hidden="0" customHeight="1">
      <x:c r="A300" t="str">
        <x:v>utmost-batch03-20260909-J0820-1350-run01</x:v>
      </x:c>
      <x:c r="B300" t="str">
        <x:v>J0820-1350</x:v>
      </x:c>
      <x:c r="C300" t="str">
        <x:v>UTMOST DR1; original circular search</x:v>
      </x:c>
      <x:c r="D300" t="str">
        <x:v>NO_TRIGGER</x:v>
      </x:c>
      <x:c r="E300" s="23" t="n">
        <x:v>111.74027820326715</x:v>
      </x:c>
      <x:c r="F300" t="str">
        <x:v>Strongest eligible grid peak; candidate status is separate</x:v>
      </x:c>
      <x:c r="G300" s="24" t="n">
        <x:v>217.45418725652408</x:v>
      </x:c>
      <x:c r="H300" s="24" t="n">
        <x:v>11.485097256136395</x:v>
      </x:c>
      <x:c r="I300" s="24" t="n">
        <x:v>26.224626083101654</x:v>
      </x:c>
      <x:c r="J300" s="25" t="n">
        <x:v>51</x:v>
      </x:c>
      <x:c r="K300" s="25" t="n">
        <x:v>50</x:v>
      </x:c>
      <x:c r="L300" s="24" t="n">
        <x:v>30</x:v>
      </x:c>
      <x:c r="M300" s="24" t="n">
        <x:v>400</x:v>
      </x:c>
      <x:c r="N300" s="25" t="n">
        <x:v>198</x:v>
      </x:c>
      <x:c r="O300" s="25" t="n">
        <x:v>4</x:v>
      </x:c>
      <x:c r="P300" s="24" t="n">
        <x:v>444.1379455529837</x:v>
      </x:c>
      <x:c r="Q30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0"/>
      <x:c r="S300" t="str">
        <x:v>Preserve consumed record; new data/scope requires a new ID</x:v>
      </x:c>
      <x:c r="T300" t="str">
        <x:v>../Project Recherche Data/utmost-batch03-20260909/J0820-1350/run01/result.json</x:v>
      </x:c>
      <x:c r="U300" t="str">
        <x:v>1f6f777f47a93fe8c145f2d9235778abf8b404d3eb29715ee5ab7467455b064f</x:v>
      </x:c>
      <x:c r="V300" t="str">
        <x:v>observed=2756000bc31689e1db367685592617f5be7ed652b587fb22a1c131f8b5c785a0; calibration=57580508bce561d8ac1256169d1ade9abbdb58fac87b9d3e344042390fabe6e7</x:v>
      </x:c>
    </x:row>
    <x:row r="301" ht="15" hidden="0" customHeight="1">
      <x:c r="A301" t="str">
        <x:v>utmost-batch03-20260909-J1847-0402-run01</x:v>
      </x:c>
      <x:c r="B301" t="str">
        <x:v>J1847-0402</x:v>
      </x:c>
      <x:c r="C301" t="str">
        <x:v>UTMOST DR1; original circular search</x:v>
      </x:c>
      <x:c r="D301" t="str">
        <x:v>NO_TRIGGER</x:v>
      </x:c>
      <x:c r="E301" s="23" t="n">
        <x:v>128.99046494648604</x:v>
      </x:c>
      <x:c r="F301" t="str">
        <x:v>Strongest eligible grid peak; candidate status is separate</x:v>
      </x:c>
      <x:c r="G301" s="24" t="n">
        <x:v>193.19026280367515</x:v>
      </x:c>
      <x:c r="H301" s="24" t="n">
        <x:v>12.056670353541255</x:v>
      </x:c>
      <x:c r="I301" s="24" t="n">
        <x:v>26.19409113884008</x:v>
      </x:c>
      <x:c r="J301" s="25" t="n">
        <x:v>127</x:v>
      </x:c>
      <x:c r="K301" s="25" t="n">
        <x:v>115</x:v>
      </x:c>
      <x:c r="L301" s="24" t="n">
        <x:v>30</x:v>
      </x:c>
      <x:c r="M301" s="24" t="n">
        <x:v>400</x:v>
      </x:c>
      <x:c r="N301" s="25" t="n">
        <x:v>195</x:v>
      </x:c>
      <x:c r="O301" s="25" t="n">
        <x:v>7</x:v>
      </x:c>
      <x:c r="P301" s="24" t="n">
        <x:v>327.10893793755065</x:v>
      </x:c>
      <x:c r="Q30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1"/>
      <x:c r="S301" t="str">
        <x:v>Preserve consumed record; new data/scope requires a new ID</x:v>
      </x:c>
      <x:c r="T301" t="str">
        <x:v>../Project Recherche Data/utmost-batch03-20260909/J1847-0402/run01/result.json</x:v>
      </x:c>
      <x:c r="U301" t="str">
        <x:v>c5f6dca5e8e6280e705f4316e3321ced7f1b1107dac0091351ac8da7f8dca6b2</x:v>
      </x:c>
      <x:c r="V301" t="str">
        <x:v>observed=4f54d79d35eefe9b3befb67db4da6a195ce67356d28e5263544af2bf94064a68; calibration=84f4f801ec61ec1987e11182c8d4211a5ef25b38ac2d450bae968fdeb1136d0e</x:v>
      </x:c>
    </x:row>
    <x:row r="302" ht="15" hidden="0" customHeight="1">
      <x:c r="A302" t="str">
        <x:v>utmost-batch03-20260909-J1705-3423-run01</x:v>
      </x:c>
      <x:c r="B302" t="str">
        <x:v>J1705-3423</x:v>
      </x:c>
      <x:c r="C302" t="str">
        <x:v>UTMOST DR1; original circular search</x:v>
      </x:c>
      <x:c r="D302" t="str">
        <x:v>NO_TRIGGER</x:v>
      </x:c>
      <x:c r="E302" s="23" t="n">
        <x:v>49.586400038906135</x:v>
      </x:c>
      <x:c r="F302" t="str">
        <x:v>Strongest eligible grid peak; candidate status is separate</x:v>
      </x:c>
      <x:c r="G302" s="24" t="n">
        <x:v>222.14282724197457</x:v>
      </x:c>
      <x:c r="H302" s="24" t="n">
        <x:v>7.553508295089576</x:v>
      </x:c>
      <x:c r="I302" s="24" t="n">
        <x:v>26.142140166033556</x:v>
      </x:c>
      <x:c r="J302" s="25" t="n">
        <x:v>112</x:v>
      </x:c>
      <x:c r="K302" s="25" t="n">
        <x:v>104</x:v>
      </x:c>
      <x:c r="L302" s="24" t="n">
        <x:v>30</x:v>
      </x:c>
      <x:c r="M302" s="24" t="n">
        <x:v>400</x:v>
      </x:c>
      <x:c r="N302" s="25" t="n">
        <x:v>190</x:v>
      </x:c>
      <x:c r="O302" s="25" t="n">
        <x:v>4</x:v>
      </x:c>
      <x:c r="P302" s="24" t="n">
        <x:v>483.057832075177</x:v>
      </x:c>
      <x:c r="Q30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2"/>
      <x:c r="S302" t="str">
        <x:v>Preserve consumed record; new data/scope requires a new ID</x:v>
      </x:c>
      <x:c r="T302" t="str">
        <x:v>../Project Recherche Data/utmost-batch03-20260909/J1705-3423/run01/result.json</x:v>
      </x:c>
      <x:c r="U302" t="str">
        <x:v>bd0950cae3e0657e96e04313ebb78566d554e5dc3b93efab0f146fdde6bf7233</x:v>
      </x:c>
      <x:c r="V302" t="str">
        <x:v>observed=d9bb8cf0c33e2b59cfc1634c0d0bd2d8b811d045e23460bf422e48cbb2179d7d; calibration=d76ebed51b5d06eab75b6efea29e94cd18fab62a279e03dac2a56f8fb8849715</x:v>
      </x:c>
    </x:row>
    <x:row r="303" ht="15" hidden="0" customHeight="1">
      <x:c r="A303" t="str">
        <x:v>utmost-batch03-20260909-J1836-1008-run01</x:v>
      </x:c>
      <x:c r="B303" t="str">
        <x:v>J1836-1008</x:v>
      </x:c>
      <x:c r="C303" t="str">
        <x:v>UTMOST DR1; original circular search</x:v>
      </x:c>
      <x:c r="D303" t="str">
        <x:v>NO_TRIGGER</x:v>
      </x:c>
      <x:c r="E303" s="23" t="n">
        <x:v>150.64051710811896</x:v>
      </x:c>
      <x:c r="F303" t="str">
        <x:v>Strongest eligible grid peak; candidate status is separate</x:v>
      </x:c>
      <x:c r="G303" s="24" t="n">
        <x:v>202.19604735768863</x:v>
      </x:c>
      <x:c r="H303" s="24" t="n">
        <x:v>8.810894417741073</x:v>
      </x:c>
      <x:c r="I303" s="24" t="n">
        <x:v>26.19409113884008</x:v>
      </x:c>
      <x:c r="J303" s="25" t="n">
        <x:v>74</x:v>
      </x:c>
      <x:c r="K303" s="25" t="n">
        <x:v>72</x:v>
      </x:c>
      <x:c r="L303" s="24" t="n">
        <x:v>30</x:v>
      </x:c>
      <x:c r="M303" s="24" t="n">
        <x:v>400</x:v>
      </x:c>
      <x:c r="N303" s="25" t="n">
        <x:v>195</x:v>
      </x:c>
      <x:c r="O303" s="25" t="n">
        <x:v>5</x:v>
      </x:c>
      <x:c r="P303" s="24" t="n">
        <x:v>467.72931093748775</x:v>
      </x:c>
      <x:c r="Q30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3"/>
      <x:c r="S303" t="str">
        <x:v>Preserve consumed record; new data/scope requires a new ID</x:v>
      </x:c>
      <x:c r="T303" t="str">
        <x:v>../Project Recherche Data/utmost-batch03-20260909/J1836-1008/run01/result.json</x:v>
      </x:c>
      <x:c r="U303" t="str">
        <x:v>931540825c321c423fae957ccd94485fd22a348db20d94adcfe38105ec8655c0</x:v>
      </x:c>
      <x:c r="V303" t="str">
        <x:v>observed=02de9089596bedcdbffe31e706cff4479ef2825d261c49698ff5e3b6b0bda0ca; calibration=c5f193beea2628dc443c09852ce1099abf48dfa01866f7fa9c7cf838d9a57eae</x:v>
      </x:c>
    </x:row>
    <x:row r="304" ht="15" hidden="0" customHeight="1">
      <x:c r="A304" t="str">
        <x:v>utmost-batch03-20260909-J0742-2822-run01</x:v>
      </x:c>
      <x:c r="B304" t="str">
        <x:v>J0742-2822</x:v>
      </x:c>
      <x:c r="C304" t="str">
        <x:v>UTMOST DR1; original circular search</x:v>
      </x:c>
      <x:c r="D304" t="str">
        <x:v>NO_TRIGGER</x:v>
      </x:c>
      <x:c r="E304" s="23" t="n">
        <x:v>97.13963013722535</x:v>
      </x:c>
      <x:c r="F304" t="str">
        <x:v>Strongest eligible grid peak; candidate status is separate</x:v>
      </x:c>
      <x:c r="G304" s="24" t="n">
        <x:v>281.4573849354873</x:v>
      </x:c>
      <x:c r="H304" s="24" t="n">
        <x:v>10.909824549996731</x:v>
      </x:c>
      <x:c r="I304" s="24" t="n">
        <x:v>26.152638877805845</x:v>
      </x:c>
      <x:c r="J304" s="25" t="n">
        <x:v>180</x:v>
      </x:c>
      <x:c r="K304" s="25" t="n">
        <x:v>171</x:v>
      </x:c>
      <x:c r="L304" s="24" t="n">
        <x:v>30</x:v>
      </x:c>
      <x:c r="M304" s="24" t="n">
        <x:v>400</x:v>
      </x:c>
      <x:c r="N304" s="25" t="n">
        <x:v>191</x:v>
      </x:c>
      <x:c r="O304" s="25" t="n">
        <x:v>6</x:v>
      </x:c>
      <x:c r="P304" s="24" t="n">
        <x:v>569.7244726807678</x:v>
      </x:c>
      <x:c r="Q30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4"/>
      <x:c r="S304" t="str">
        <x:v>Preserve consumed record; new data/scope requires a new ID</x:v>
      </x:c>
      <x:c r="T304" t="str">
        <x:v>../Project Recherche Data/utmost-batch03-20260909/J0742-2822/run01/result.json</x:v>
      </x:c>
      <x:c r="U304" t="str">
        <x:v>36752aed8b368f26047ef610ddbc0bc9fd25225817708cca507f0d7fa36fbfb5</x:v>
      </x:c>
      <x:c r="V304" t="str">
        <x:v>observed=05458a6af39950f5944ae5d1674080df8b4d30c1a1bb93f83f8473ba47e4f0ef; calibration=9958c965fc017c03d6b636cbb5b0c8940a5f51069cfe651e0fe97eab73e93ba2</x:v>
      </x:c>
    </x:row>
    <x:row r="305" ht="15" hidden="0" customHeight="1">
      <x:c r="A305" t="str">
        <x:v>utmost-batch03-20260909-J2046-0421-run01</x:v>
      </x:c>
      <x:c r="B305" t="str">
        <x:v>J2046-0421</x:v>
      </x:c>
      <x:c r="C305" t="str">
        <x:v>UTMOST DR1; original circular search</x:v>
      </x:c>
      <x:c r="D305" t="str">
        <x:v>NO_TRIGGER</x:v>
      </x:c>
      <x:c r="E305" s="23" t="n">
        <x:v>208.02024615314343</x:v>
      </x:c>
      <x:c r="F305" t="str">
        <x:v>Strongest eligible grid peak; candidate status is separate</x:v>
      </x:c>
      <x:c r="G305" s="24" t="n">
        <x:v>247.796366833114</x:v>
      </x:c>
      <x:c r="H305" s="24" t="n">
        <x:v>9.245956066437987</x:v>
      </x:c>
      <x:c r="I305" s="24" t="n">
        <x:v>26.131586051831867</x:v>
      </x:c>
      <x:c r="J305" s="25" t="n">
        <x:v>141</x:v>
      </x:c>
      <x:c r="K305" s="25" t="n">
        <x:v>123</x:v>
      </x:c>
      <x:c r="L305" s="24" t="n">
        <x:v>30</x:v>
      </x:c>
      <x:c r="M305" s="24" t="n">
        <x:v>400</x:v>
      </x:c>
      <x:c r="N305" s="25" t="n">
        <x:v>189</x:v>
      </x:c>
      <x:c r="O305" s="25" t="n">
        <x:v>5</x:v>
      </x:c>
      <x:c r="P305" s="24" t="n">
        <x:v>495.34422494539876</x:v>
      </x:c>
      <x:c r="Q30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5"/>
      <x:c r="S305" t="str">
        <x:v>Preserve consumed record; new data/scope requires a new ID</x:v>
      </x:c>
      <x:c r="T305" t="str">
        <x:v>../Project Recherche Data/utmost-batch03-20260909/J2046-0421/run01/result.json</x:v>
      </x:c>
      <x:c r="U305" t="str">
        <x:v>a12fe78f0abdc49a6db952603d9bfa928cd2c67bc1732fc6fded47342bc6f9b1</x:v>
      </x:c>
      <x:c r="V305" t="str">
        <x:v>observed=e10f20b1de9afc83d843d90bf8290dfc0b77c3d067584b1bcbf63f3331af2d52; calibration=6b5951c72681717d09dcf08c133e5f4c838fa9db5725edd1d674741e9c7d2430</x:v>
      </x:c>
    </x:row>
    <x:row r="306" ht="15" hidden="0" customHeight="1">
      <x:c r="A306" t="str">
        <x:v>utmost-batch03-20260909-J0151-0635-run01</x:v>
      </x:c>
      <x:c r="B306" t="str">
        <x:v>J0151-0635</x:v>
      </x:c>
      <x:c r="C306" t="str">
        <x:v>UTMOST DR1; original circular search</x:v>
      </x:c>
      <x:c r="D306" t="str">
        <x:v>NO_TRIGGER</x:v>
      </x:c>
      <x:c r="E306" s="23" t="n">
        <x:v>33.8972390486583</x:v>
      </x:c>
      <x:c r="F306" t="str">
        <x:v>Strongest eligible grid peak; candidate status is separate</x:v>
      </x:c>
      <x:c r="G306" s="24" t="n">
        <x:v>320.3265461544507</x:v>
      </x:c>
      <x:c r="H306" s="24" t="n">
        <x:v>15.415502552225474</x:v>
      </x:c>
      <x:c r="I306" s="24" t="n">
        <x:v>26.31352960824332</x:v>
      </x:c>
      <x:c r="J306" s="25" t="n">
        <x:v>196</x:v>
      </x:c>
      <x:c r="K306" s="25" t="n">
        <x:v>194</x:v>
      </x:c>
      <x:c r="L306" s="24" t="n">
        <x:v>30</x:v>
      </x:c>
      <x:c r="M306" s="24" t="n">
        <x:v>400</x:v>
      </x:c>
      <x:c r="N306" s="25" t="n">
        <x:v>207</x:v>
      </x:c>
      <x:c r="O306" s="25" t="n">
        <x:v>4</x:v>
      </x:c>
      <x:c r="P306" s="24" t="n">
        <x:v>611.6881955876354</x:v>
      </x:c>
      <x:c r="Q30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6"/>
      <x:c r="S306" t="str">
        <x:v>Preserve consumed record; new data/scope requires a new ID</x:v>
      </x:c>
      <x:c r="T306" t="str">
        <x:v>../Project Recherche Data/utmost-batch03-20260909/J0151-0635/run01/result.json</x:v>
      </x:c>
      <x:c r="U306" t="str">
        <x:v>673402a10812980734ab1b5654078ffde8f1f998d419d09bd3b8980708d39fdc</x:v>
      </x:c>
      <x:c r="V306" t="str">
        <x:v>observed=d903fa4eb700655994f0406709027cbc8ed9989e72990ea6ebeea97230794c59; calibration=ff70f2a405dfc71471084d9f0f4470b8f5d2ec8dc527aff7c00a205c0ae6a816</x:v>
      </x:c>
    </x:row>
    <x:row r="307" ht="15" hidden="0" customHeight="1">
      <x:c r="A307" t="str">
        <x:v>utmost-batch03-20260909-J2046+1540-run01</x:v>
      </x:c>
      <x:c r="B307" t="str">
        <x:v>J2046+1540</x:v>
      </x:c>
      <x:c r="C307" t="str">
        <x:v>UTMOST DR1; original circular search</x:v>
      </x:c>
      <x:c r="D307" t="str">
        <x:v>NO_TRIGGER</x:v>
      </x:c>
      <x:c r="E307" s="23" t="n">
        <x:v>66.9731100645554</x:v>
      </x:c>
      <x:c r="F307" t="str">
        <x:v>Strongest eligible grid peak; candidate status is separate</x:v>
      </x:c>
      <x:c r="G307" s="24" t="n">
        <x:v>544.8803634017294</x:v>
      </x:c>
      <x:c r="H307" s="24" t="n">
        <x:v>12.02284046318325</x:v>
      </x:c>
      <x:c r="I307" s="24" t="n">
        <x:v>26.120975947372482</x:v>
      </x:c>
      <x:c r="J307" s="25" t="n">
        <x:v>72</x:v>
      </x:c>
      <x:c r="K307" s="25" t="n">
        <x:v>71</x:v>
      </x:c>
      <x:c r="L307" s="24" t="n">
        <x:v>30</x:v>
      </x:c>
      <x:c r="M307" s="24" t="n">
        <x:v>400</x:v>
      </x:c>
      <x:c r="N307" s="25" t="n">
        <x:v>188</x:v>
      </x:c>
      <x:c r="O307" s="25" t="n">
        <x:v>6</x:v>
      </x:c>
      <x:c r="P307" s="24" t="n">
        <x:v>1006.6116555633296</x:v>
      </x:c>
      <x:c r="Q30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7"/>
      <x:c r="S307" t="str">
        <x:v>Preserve consumed record; new data/scope requires a new ID</x:v>
      </x:c>
      <x:c r="T307" t="str">
        <x:v>../Project Recherche Data/utmost-batch03-20260909/J2046+1540/run01/result.json</x:v>
      </x:c>
      <x:c r="U307" t="str">
        <x:v>8481932929a6e5745b8ad569f238f4c2462d2643d55e33f68e1f9a3339a56bc3</x:v>
      </x:c>
      <x:c r="V307" t="str">
        <x:v>observed=269c191fe48aa3d7aec2fd492ab2641d3c4b5cad80bc289090fc4a7246dd12df; calibration=36ec429cf36e3def1078809c69c83465749ed45fa546732760e750acabba82b7</x:v>
      </x:c>
    </x:row>
    <x:row r="308" ht="15" hidden="0" customHeight="1">
      <x:c r="A308" t="str">
        <x:v>utmost-batch04-20260909-J0630-2834-run01</x:v>
      </x:c>
      <x:c r="B308" t="str">
        <x:v>J0630-2834</x:v>
      </x:c>
      <x:c r="C308" t="str">
        <x:v>UTMOST DR1; original circular search</x:v>
      </x:c>
      <x:c r="D308" t="str">
        <x:v>NO_TRIGGER</x:v>
      </x:c>
      <x:c r="E308" s="23" t="n">
        <x:v>66.85685232203639</x:v>
      </x:c>
      <x:c r="F308" t="str">
        <x:v>Strongest eligible grid peak; candidate status is separate</x:v>
      </x:c>
      <x:c r="G308" s="24" t="n">
        <x:v>932.3061310746897</x:v>
      </x:c>
      <x:c r="H308" s="24" t="n">
        <x:v>7.292713087088474</x:v>
      </x:c>
      <x:c r="I308" s="24" t="n">
        <x:v>26.264627416514994</x:v>
      </x:c>
      <x:c r="J308" s="25" t="n">
        <x:v>87</x:v>
      </x:c>
      <x:c r="K308" s="25" t="n">
        <x:v>83</x:v>
      </x:c>
      <x:c r="L308" s="24" t="n">
        <x:v>30</x:v>
      </x:c>
      <x:c r="M308" s="24" t="n">
        <x:v>400</x:v>
      </x:c>
      <x:c r="N308" s="25" t="n">
        <x:v>202</x:v>
      </x:c>
      <x:c r="O308" s="25" t="n">
        <x:v>4</x:v>
      </x:c>
      <x:c r="P308" s="24" t="n">
        <x:v>2453.0254911646853</x:v>
      </x:c>
      <x:c r="Q30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8"/>
      <x:c r="S308" t="str">
        <x:v>Preserve consumed record; new data/scope requires a new ID</x:v>
      </x:c>
      <x:c r="T308" t="str">
        <x:v>../Project Recherche Data/utmost-batch04-20260909/J0630-2834/run01/result.json</x:v>
      </x:c>
      <x:c r="U308" t="str">
        <x:v>38b7c99a1c58b2cb2a5f349948337d752f4bfa9926c2544c8d1909f6954f69db</x:v>
      </x:c>
      <x:c r="V308" t="str">
        <x:v>observed=0f65e1a0628cf181162f25d835f8a9d444a78b0aeca0e1703c23ba9c62bb8fcd; calibration=84ae3243cdb67504edc3f7ea4beaa755a006920e7d27923e6fc568b1fd281e06</x:v>
      </x:c>
    </x:row>
    <x:row r="309" ht="15" hidden="0" customHeight="1">
      <x:c r="A309" t="str">
        <x:v>utmost-batch04-20260909-J1034-3224-run01</x:v>
      </x:c>
      <x:c r="B309" t="str">
        <x:v>J1034-3224</x:v>
      </x:c>
      <x:c r="C309" t="str">
        <x:v>UTMOST DR1; original circular search</x:v>
      </x:c>
      <x:c r="D309" t="str">
        <x:v>NO_TRIGGER</x:v>
      </x:c>
      <x:c r="E309" s="23" t="n">
        <x:v>31.178335051519976</x:v>
      </x:c>
      <x:c r="F309" t="str">
        <x:v>Strongest eligible grid peak; candidate status is separate</x:v>
      </x:c>
      <x:c r="G309" s="24" t="n">
        <x:v>957.5869497519797</x:v>
      </x:c>
      <x:c r="H309" s="24" t="n">
        <x:v>8.687763808547672</x:v>
      </x:c>
      <x:c r="I309" s="24" t="n">
        <x:v>26.31352960824332</x:v>
      </x:c>
      <x:c r="J309" s="25" t="n">
        <x:v>41</x:v>
      </x:c>
      <x:c r="K309" s="25" t="n">
        <x:v>40</x:v>
      </x:c>
      <x:c r="L309" s="24" t="n">
        <x:v>30</x:v>
      </x:c>
      <x:c r="M309" s="24" t="n">
        <x:v>400</x:v>
      </x:c>
      <x:c r="N309" s="25" t="n">
        <x:v>207</x:v>
      </x:c>
      <x:c r="O309" s="25" t="n">
        <x:v>4</x:v>
      </x:c>
      <x:c r="P309" s="24" t="n">
        <x:v>2276.353232096523</x:v>
      </x:c>
      <x:c r="Q30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09"/>
      <x:c r="S309" t="str">
        <x:v>Preserve consumed record; new data/scope requires a new ID</x:v>
      </x:c>
      <x:c r="T309" t="str">
        <x:v>../Project Recherche Data/utmost-batch04-20260909/J1034-3224/run01/result.json</x:v>
      </x:c>
      <x:c r="U309" t="str">
        <x:v>699b0f9f83d884a4b59e84dfea39038bc9b2897d7f920b1b78a5688041f781a6</x:v>
      </x:c>
      <x:c r="V309" t="str">
        <x:v>observed=7fc4cde5b1ac2848cc99720b4f562ed3ef5ac4ed8b4bb8916a67a1223b423710; calibration=54fa5bb98811ee6da5e3fd580403e41310d757876511e5d81d4e5a0180a618e3</x:v>
      </x:c>
    </x:row>
    <x:row r="310" ht="15" hidden="0" customHeight="1">
      <x:c r="A310" t="str">
        <x:v>utmost-batch04-20260909-J1359-6038-run01</x:v>
      </x:c>
      <x:c r="B310" t="str">
        <x:v>J1359-6038</x:v>
      </x:c>
      <x:c r="C310" t="str">
        <x:v>UTMOST DR1; original circular search</x:v>
      </x:c>
      <x:c r="D310" t="str">
        <x:v>PERIODIC_SIGNAL_CANDIDATE</x:v>
      </x:c>
      <x:c r="E310" s="23" t="n">
        <x:v>95.96498162462603</x:v>
      </x:c>
      <x:c r="F310" t="str">
        <x:v>Strongest eligible grid peak; candidate status is separate</x:v>
      </x:c>
      <x:c r="G310" s="24" t="n">
        <x:v>22.931550285311804</x:v>
      </x:c>
      <x:c r="H310" s="24" t="n">
        <x:v>41.74064788052098</x:v>
      </x:c>
      <x:c r="I310" s="24" t="n">
        <x:v>26.204321340173617</x:v>
      </x:c>
      <x:c r="J310" s="25" t="n">
        <x:v>429</x:v>
      </x:c>
      <x:c r="K310" s="25" t="n">
        <x:v>309</x:v>
      </x:c>
      <x:c r="L310" s="24" t="n">
        <x:v>30</x:v>
      </x:c>
      <x:c r="M310" s="24" t="n">
        <x:v>400</x:v>
      </x:c>
      <x:c r="N310" s="25" t="n">
        <x:v>196</x:v>
      </x:c>
      <x:c r="O310" s="25" t="n">
        <x:v>6</x:v>
      </x:c>
      <x:c r="P310" s="24" t="n">
        <x:v>23.70152658388965</x:v>
      </x:c>
      <x:c r="Q31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0"/>
      <x:c r="S310" t="str">
        <x:v>Preserve consumed record; new data/scope requires a new ID</x:v>
      </x:c>
      <x:c r="T310" t="str">
        <x:v>../Project Recherche Data/utmost-batch04-20260909/J1359-6038/run01/result.json</x:v>
      </x:c>
      <x:c r="U310" t="str">
        <x:v>e8293d14b3c50c7e6e8523fbfa3cdf7c17c91c5c7dc10b12197f9ae7fcbfe328</x:v>
      </x:c>
      <x:c r="V310" t="str">
        <x:v>observed=8296f624577624199c9c370def83de675292adc83a6941181cfc6a14fbf63e2e; calibration=f68f7b6edaf4bdeee8893815e4557c34e14cd30802614772a7ca0a8fcdabdef9</x:v>
      </x:c>
    </x:row>
    <x:row r="311" ht="15" hidden="0" customHeight="1">
      <x:c r="A311" t="str">
        <x:v>utmost-batch04-20260909-J0908-4913-run01</x:v>
      </x:c>
      <x:c r="B311" t="str">
        <x:v>J0908-4913</x:v>
      </x:c>
      <x:c r="C311" t="str">
        <x:v>UTMOST DR1; original circular search</x:v>
      </x:c>
      <x:c r="D311" t="str">
        <x:v>PERIODIC_SIGNAL_CANDIDATE</x:v>
      </x:c>
      <x:c r="E311" s="23" t="n">
        <x:v>93.15004091835715</x:v>
      </x:c>
      <x:c r="F311" t="str">
        <x:v>Strongest eligible grid peak; candidate status is separate</x:v>
      </x:c>
      <x:c r="G311" s="24" t="n">
        <x:v>49.23591554457553</x:v>
      </x:c>
      <x:c r="H311" s="24" t="n">
        <x:v>27.85177991584048</x:v>
      </x:c>
      <x:c r="I311" s="24" t="n">
        <x:v>26.16308276576815</x:v>
      </x:c>
      <x:c r="J311" s="25" t="n">
        <x:v>173</x:v>
      </x:c>
      <x:c r="K311" s="25" t="n">
        <x:v>152</x:v>
      </x:c>
      <x:c r="L311" s="24" t="n">
        <x:v>30</x:v>
      </x:c>
      <x:c r="M311" s="24" t="n">
        <x:v>400</x:v>
      </x:c>
      <x:c r="N311" s="25" t="n">
        <x:v>192</x:v>
      </x:c>
      <x:c r="O311" s="25" t="n">
        <x:v>11</x:v>
      </x:c>
      <x:c r="P311" s="24" t="n">
        <x:v>58.710046851503954</x:v>
      </x:c>
      <x:c r="Q31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1"/>
      <x:c r="S311" t="str">
        <x:v>Preserve consumed record; new data/scope requires a new ID</x:v>
      </x:c>
      <x:c r="T311" t="str">
        <x:v>../Project Recherche Data/utmost-batch04-20260909/J0908-4913/run01/result.json</x:v>
      </x:c>
      <x:c r="U311" t="str">
        <x:v>df607afc0d33df12b58794e4c530165a6378954fdabe1a79f26058130c54bd39</x:v>
      </x:c>
      <x:c r="V311" t="str">
        <x:v>observed=55b528ff58336ae3fb33549024d519b024852634d6a6599bf8122bbdc918891e; calibration=207081b7d513e9f8df4f502358250636de70635af09c6bcec70d30a17b034094</x:v>
      </x:c>
    </x:row>
    <x:row r="312" ht="15" hidden="0" customHeight="1">
      <x:c r="A312" t="str">
        <x:v>utmost-batch04-20260909-J1600-5044-run01</x:v>
      </x:c>
      <x:c r="B312" t="str">
        <x:v>J1600-5044</x:v>
      </x:c>
      <x:c r="C312" t="str">
        <x:v>UTMOST DR1; original circular search</x:v>
      </x:c>
      <x:c r="D312" t="str">
        <x:v>NO_TRIGGER</x:v>
      </x:c>
      <x:c r="E312" s="23" t="n">
        <x:v>41.09298846583454</x:v>
      </x:c>
      <x:c r="F312" t="str">
        <x:v>Strongest eligible grid peak; candidate status is separate</x:v>
      </x:c>
      <x:c r="G312" s="24" t="n">
        <x:v>60.05089443098268</x:v>
      </x:c>
      <x:c r="H312" s="24" t="n">
        <x:v>12.918261361941328</x:v>
      </x:c>
      <x:c r="I312" s="24" t="n">
        <x:v>26.254701837830737</x:v>
      </x:c>
      <x:c r="J312" s="25" t="n">
        <x:v>175</x:v>
      </x:c>
      <x:c r="K312" s="25" t="n">
        <x:v>157</x:v>
      </x:c>
      <x:c r="L312" s="24" t="n">
        <x:v>30</x:v>
      </x:c>
      <x:c r="M312" s="24" t="n">
        <x:v>400</x:v>
      </x:c>
      <x:c r="N312" s="25" t="n">
        <x:v>201</x:v>
      </x:c>
      <x:c r="O312" s="25" t="n">
        <x:v>4</x:v>
      </x:c>
      <x:c r="P312" s="24" t="n">
        <x:v>116.70801653497004</x:v>
      </x:c>
      <x:c r="Q31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2"/>
      <x:c r="S312" t="str">
        <x:v>Preserve consumed record; new data/scope requires a new ID</x:v>
      </x:c>
      <x:c r="T312" t="str">
        <x:v>../Project Recherche Data/utmost-batch04-20260909/J1600-5044/run01/result.json</x:v>
      </x:c>
      <x:c r="U312" t="str">
        <x:v>1f37588ab551acabaad91a85ee6adf992a7c4d2eb27ad293ef27a00b3ae665cd</x:v>
      </x:c>
      <x:c r="V312" t="str">
        <x:v>observed=50cfb7e2c5a1b049bf69c57ef462a8e60469386ecec472216ed9530ba7553b38; calibration=91531088342f99158977b316af6febbaab995604731225381077de8ec7c87f0d</x:v>
      </x:c>
    </x:row>
    <x:row r="313" ht="15" hidden="0" customHeight="1">
      <x:c r="A313" t="str">
        <x:v>utmost-batch04-20260909-J1048-5832-run01</x:v>
      </x:c>
      <x:c r="B313" t="str">
        <x:v>J1048-5832</x:v>
      </x:c>
      <x:c r="C313" t="str">
        <x:v>UTMOST DR1; original circular search</x:v>
      </x:c>
      <x:c r="D313" t="str">
        <x:v>PERIODIC_SIGNAL_CANDIDATE</x:v>
      </x:c>
      <x:c r="E313" s="23" t="n">
        <x:v>105.00660092293155</x:v>
      </x:c>
      <x:c r="F313" t="str">
        <x:v>Strongest eligible grid peak; candidate status is separate</x:v>
      </x:c>
      <x:c r="G313" s="24" t="n">
        <x:v>197.66205493286603</x:v>
      </x:c>
      <x:c r="H313" s="24" t="n">
        <x:v>36.722411022511466</x:v>
      </x:c>
      <x:c r="I313" s="24" t="n">
        <x:v>26.142140166033556</x:v>
      </x:c>
      <x:c r="J313" s="25" t="n">
        <x:v>232</x:v>
      </x:c>
      <x:c r="K313" s="25" t="n">
        <x:v>198</x:v>
      </x:c>
      <x:c r="L313" s="24" t="n">
        <x:v>30</x:v>
      </x:c>
      <x:c r="M313" s="24" t="n">
        <x:v>400</x:v>
      </x:c>
      <x:c r="N313" s="25" t="n">
        <x:v>190</x:v>
      </x:c>
      <x:c r="O313" s="25" t="n">
        <x:v>22</x:v>
      </x:c>
      <x:c r="P313" s="24" t="n">
        <x:v>147.01826648584083</x:v>
      </x:c>
      <x:c r="Q31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3"/>
      <x:c r="S313" t="str">
        <x:v>Preserve consumed record; new data/scope requires a new ID</x:v>
      </x:c>
      <x:c r="T313" t="str">
        <x:v>../Project Recherche Data/utmost-batch04-20260909/J1048-5832/run01/result.json</x:v>
      </x:c>
      <x:c r="U313" t="str">
        <x:v>2c04882bac3140cbe9877014b9d55d8af67c55e8ce6899a4151ed9c36054fa29</x:v>
      </x:c>
      <x:c r="V313" t="str">
        <x:v>observed=1a7cd4bca7b3afa70dad204ed7816c6c5db102cf5f80bda4cd5a871e17fa9f7d; calibration=8b5b91605cca44109c5d22ab7e6d1cc0078ebdd7e20709727bfd6b350564abb2</x:v>
      </x:c>
    </x:row>
    <x:row r="314" ht="15" hidden="0" customHeight="1">
      <x:c r="A314" t="str">
        <x:v>utmost-batch04-20260909-J1456-6843-run01</x:v>
      </x:c>
      <x:c r="B314" t="str">
        <x:v>J1456-6843</x:v>
      </x:c>
      <x:c r="C314" t="str">
        <x:v>UTMOST DR1; original circular search</x:v>
      </x:c>
      <x:c r="D314" t="str">
        <x:v>NO_TRIGGER</x:v>
      </x:c>
      <x:c r="E314" s="23" t="n">
        <x:v>48.179906653623725</x:v>
      </x:c>
      <x:c r="F314" t="str">
        <x:v>Strongest eligible grid peak; candidate status is separate</x:v>
      </x:c>
      <x:c r="G314" s="24" t="n">
        <x:v>77.57851682058347</x:v>
      </x:c>
      <x:c r="H314" s="24" t="n">
        <x:v>12.549230980027927</x:v>
      </x:c>
      <x:c r="I314" s="24" t="n">
        <x:v>26.550168928843984</x:v>
      </x:c>
      <x:c r="J314" s="25" t="n">
        <x:v>119</x:v>
      </x:c>
      <x:c r="K314" s="25" t="n">
        <x:v>108</x:v>
      </x:c>
      <x:c r="L314" s="24" t="n">
        <x:v>30</x:v>
      </x:c>
      <x:c r="M314" s="24" t="n">
        <x:v>400</x:v>
      </x:c>
      <x:c r="N314" s="25" t="n">
        <x:v>233</x:v>
      </x:c>
      <x:c r="O314" s="25" t="n">
        <x:v>3</x:v>
      </x:c>
      <x:c r="P314" s="24" t="n">
        <x:v>161.13301970694306</x:v>
      </x:c>
      <x:c r="Q31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4"/>
      <x:c r="S314" t="str">
        <x:v>Preserve consumed record; new data/scope requires a new ID</x:v>
      </x:c>
      <x:c r="T314" t="str">
        <x:v>../Project Recherche Data/utmost-batch04-20260909/J1456-6843/run01/result.json</x:v>
      </x:c>
      <x:c r="U314" t="str">
        <x:v>c5bf1005e044f2f184f4123e8db3affcc95be763857ec5a5606e3ee9543e6a23</x:v>
      </x:c>
      <x:c r="V314" t="str">
        <x:v>observed=a941c34cf446810ae8e9ad8ae21343302495cfc22fede427e9ee522eb0516772; calibration=3dad08c1f9d5cc4291f60d4907bef3a41855cd0e58de48ca2dd81872f50d83ac</x:v>
      </x:c>
    </x:row>
    <x:row r="315" ht="15" hidden="0" customHeight="1">
      <x:c r="A315" t="str">
        <x:v>utmost-batch04-20260909-J1057-5226-run01</x:v>
      </x:c>
      <x:c r="B315" t="str">
        <x:v>J1057-5226</x:v>
      </x:c>
      <x:c r="C315" t="str">
        <x:v>UTMOST DR1; original circular search</x:v>
      </x:c>
      <x:c r="D315" t="str">
        <x:v>NO_TRIGGER</x:v>
      </x:c>
      <x:c r="E315" s="23" t="n">
        <x:v>34.80410000964876</x:v>
      </x:c>
      <x:c r="F315" t="str">
        <x:v>Strongest eligible grid peak; candidate status is separate</x:v>
      </x:c>
      <x:c r="G315" s="24" t="n">
        <x:v>66.48134608391518</x:v>
      </x:c>
      <x:c r="H315" s="24" t="n">
        <x:v>8.666026162393939</x:v>
      </x:c>
      <x:c r="I315" s="24" t="n">
        <x:v>26.244726754808656</x:v>
      </x:c>
      <x:c r="J315" s="25" t="n">
        <x:v>126</x:v>
      </x:c>
      <x:c r="K315" s="25" t="n">
        <x:v>120</x:v>
      </x:c>
      <x:c r="L315" s="24" t="n">
        <x:v>30</x:v>
      </x:c>
      <x:c r="M315" s="24" t="n">
        <x:v>400</x:v>
      </x:c>
      <x:c r="N315" s="25" t="n">
        <x:v>200</x:v>
      </x:c>
      <x:c r="O315" s="25" t="n">
        <x:v>4</x:v>
      </x:c>
      <x:c r="P315" s="24" t="n">
        <x:v>154.2467612328242</x:v>
      </x:c>
      <x:c r="Q31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5"/>
      <x:c r="S315" t="str">
        <x:v>Preserve consumed record; new data/scope requires a new ID</x:v>
      </x:c>
      <x:c r="T315" t="str">
        <x:v>../Project Recherche Data/utmost-batch04-20260909/J1057-5226/run01/result.json</x:v>
      </x:c>
      <x:c r="U315" t="str">
        <x:v>543f6b46b9b859bdfe2ecc7697f93975a5f4e92d02d860abc9e8f1e3c84348b0</x:v>
      </x:c>
      <x:c r="V315" t="str">
        <x:v>observed=e0ad8f691c5b549315133791b6d420fc30d8300977de24db5e2e4805a95d696c; calibration=3e8fb9e22edba03822a2a7859c723ed021c0e6a67780308eaafa4eebfa8ae347</x:v>
      </x:c>
    </x:row>
    <x:row r="316" ht="15" hidden="0" customHeight="1">
      <x:c r="A316" t="str">
        <x:v>utmost-batch04-20260909-J1202-5820-run01</x:v>
      </x:c>
      <x:c r="B316" t="str">
        <x:v>J1202-5820</x:v>
      </x:c>
      <x:c r="C316" t="str">
        <x:v>UTMOST DR1; original circular search</x:v>
      </x:c>
      <x:c r="D316" t="str">
        <x:v>NO_TRIGGER</x:v>
      </x:c>
      <x:c r="E316" s="23" t="n">
        <x:v>52.74098202283312</x:v>
      </x:c>
      <x:c r="F316" t="str">
        <x:v>Strongest eligible grid peak; candidate status is separate</x:v>
      </x:c>
      <x:c r="G316" s="24" t="n">
        <x:v>67.5236091205805</x:v>
      </x:c>
      <x:c r="H316" s="24" t="n">
        <x:v>7.8631245206770455</x:v>
      </x:c>
      <x:c r="I316" s="24" t="n">
        <x:v>26.183808339839242</x:v>
      </x:c>
      <x:c r="J316" s="25" t="n">
        <x:v>134</x:v>
      </x:c>
      <x:c r="K316" s="25" t="n">
        <x:v>130</x:v>
      </x:c>
      <x:c r="L316" s="24" t="n">
        <x:v>30</x:v>
      </x:c>
      <x:c r="M316" s="24" t="n">
        <x:v>400</x:v>
      </x:c>
      <x:c r="N316" s="25" t="n">
        <x:v>194</x:v>
      </x:c>
      <x:c r="O316" s="25" t="n">
        <x:v>4</x:v>
      </x:c>
      <x:c r="P316" s="24" t="n">
        <x:v>176.56522174401866</x:v>
      </x:c>
      <x:c r="Q31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6"/>
      <x:c r="S316" t="str">
        <x:v>Preserve consumed record; new data/scope requires a new ID</x:v>
      </x:c>
      <x:c r="T316" t="str">
        <x:v>../Project Recherche Data/utmost-batch04-20260909/J1202-5820/run01/result.json</x:v>
      </x:c>
      <x:c r="U316" t="str">
        <x:v>367c32b18d13975967a994c27a9943cd73fb9bdcad266ad120b1d4b5cabebfb6</x:v>
      </x:c>
      <x:c r="V316" t="str">
        <x:v>observed=ffbf172701945ed4fc1fc2a0e32cae8a1fd7ad0f9a0d84a1ae304d3dc15ee0ea; calibration=616bcdfc908f5b6a03282ba534ce5be8e0cdaf6b18453f609bb3c8b077d91d15</x:v>
      </x:c>
    </x:row>
    <x:row r="317" ht="15" hidden="0" customHeight="1">
      <x:c r="A317" t="str">
        <x:v>utmost-batch04-20260909-J1056-6258-run01</x:v>
      </x:c>
      <x:c r="B317" t="str">
        <x:v>J1056-6258</x:v>
      </x:c>
      <x:c r="C317" t="str">
        <x:v>UTMOST DR1; original circular search</x:v>
      </x:c>
      <x:c r="D317" t="str">
        <x:v>NO_TRIGGER</x:v>
      </x:c>
      <x:c r="E317" s="23" t="n">
        <x:v>125.41332242258446</x:v>
      </x:c>
      <x:c r="F317" t="str">
        <x:v>Strongest eligible grid peak; candidate status is separate</x:v>
      </x:c>
      <x:c r="G317" s="24" t="n">
        <x:v>137.34660315955207</x:v>
      </x:c>
      <x:c r="H317" s="24" t="n">
        <x:v>9.640352201539077</x:v>
      </x:c>
      <x:c r="I317" s="24" t="n">
        <x:v>26.284332009401016</x:v>
      </x:c>
      <x:c r="J317" s="25" t="n">
        <x:v>198</x:v>
      </x:c>
      <x:c r="K317" s="25" t="n">
        <x:v>170</x:v>
      </x:c>
      <x:c r="L317" s="24" t="n">
        <x:v>30</x:v>
      </x:c>
      <x:c r="M317" s="24" t="n">
        <x:v>400</x:v>
      </x:c>
      <x:c r="N317" s="25" t="n">
        <x:v>204</x:v>
      </x:c>
      <x:c r="O317" s="25" t="n">
        <x:v>4</x:v>
      </x:c>
      <x:c r="P317" s="24" t="n">
        <x:v>151.652935321484</x:v>
      </x:c>
      <x:c r="Q31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7"/>
      <x:c r="S317" t="str">
        <x:v>Preserve consumed record; new data/scope requires a new ID</x:v>
      </x:c>
      <x:c r="T317" t="str">
        <x:v>../Project Recherche Data/utmost-batch04-20260909/J1056-6258/run01/result.json</x:v>
      </x:c>
      <x:c r="U317" t="str">
        <x:v>94d35f3ca9b105a303088870ec4df5c248705b06daa3627f6458383acf68f58d</x:v>
      </x:c>
      <x:c r="V317" t="str">
        <x:v>observed=01ee571c2f65c3081d49d4eed692ac7c27cffdd0c7da5161a4a7d1471eba826e; calibration=29845f78b379befefb2b9c5ec3e16a34d81c200678cf625d14a204db34749c5f</x:v>
      </x:c>
    </x:row>
    <x:row r="318" ht="15" hidden="0" customHeight="1">
      <x:c r="A318" t="str">
        <x:v>utmost-batch04-20260909-J1829-1751-run01</x:v>
      </x:c>
      <x:c r="B318" t="str">
        <x:v>J1829-1751</x:v>
      </x:c>
      <x:c r="C318" t="str">
        <x:v>UTMOST DR1; original circular search</x:v>
      </x:c>
      <x:c r="D318" t="str">
        <x:v>NO_TRIGGER</x:v>
      </x:c>
      <x:c r="E318" s="23" t="n">
        <x:v>121.02066709395118</x:v>
      </x:c>
      <x:c r="F318" t="str">
        <x:v>Strongest eligible grid peak; candidate status is separate</x:v>
      </x:c>
      <x:c r="G318" s="24" t="n">
        <x:v>57.66249532053834</x:v>
      </x:c>
      <x:c r="H318" s="24" t="n">
        <x:v>4.494504655964937</x:v>
      </x:c>
      <x:c r="I318" s="24" t="n">
        <x:v>26.131586051831867</x:v>
      </x:c>
      <x:c r="J318" s="25" t="n">
        <x:v>79</x:v>
      </x:c>
      <x:c r="K318" s="25" t="n">
        <x:v>75</x:v>
      </x:c>
      <x:c r="L318" s="24" t="n">
        <x:v>30</x:v>
      </x:c>
      <x:c r="M318" s="24" t="n">
        <x:v>400</x:v>
      </x:c>
      <x:c r="N318" s="25" t="n">
        <x:v>189</x:v>
      </x:c>
      <x:c r="O318" s="25" t="n">
        <x:v>8</x:v>
      </x:c>
      <x:c r="P318" s="24" t="n">
        <x:v>125.03868174462215</x:v>
      </x:c>
      <x:c r="Q31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8"/>
      <x:c r="S318" t="str">
        <x:v>Preserve consumed record; new data/scope requires a new ID</x:v>
      </x:c>
      <x:c r="T318" t="str">
        <x:v>../Project Recherche Data/utmost-batch04-20260909/J1829-1751/run01/result.json</x:v>
      </x:c>
      <x:c r="U318" t="str">
        <x:v>f81f5692084c3432448b4b86bded3a90b1b346d4a9aced85c5d280b7ea3e9cd4</x:v>
      </x:c>
      <x:c r="V318" t="str">
        <x:v>observed=aae836a9ef2a41dfaffd6058b3b6bbd597c4e26b49f5802c45616c1357125aed; calibration=9eff90643d333e92d6d05dd7d7aa2b44a353c9ad6136547e9160e91fc796b9de</x:v>
      </x:c>
    </x:row>
    <x:row r="319" ht="15" hidden="0" customHeight="1">
      <x:c r="A319" t="str">
        <x:v>utmost-batch04-20260909-J1013-5934-run01</x:v>
      </x:c>
      <x:c r="B319" t="str">
        <x:v>J1013-5934</x:v>
      </x:c>
      <x:c r="C319" t="str">
        <x:v>UTMOST DR1; original circular search</x:v>
      </x:c>
      <x:c r="D319" t="str">
        <x:v>NO_TRIGGER</x:v>
      </x:c>
      <x:c r="E319" s="23" t="n">
        <x:v>30.347087955520063</x:v>
      </x:c>
      <x:c r="F319" t="str">
        <x:v>Strongest eligible grid peak; candidate status is separate</x:v>
      </x:c>
      <x:c r="G319" s="24" t="n">
        <x:v>127.45398846199403</x:v>
      </x:c>
      <x:c r="H319" s="24" t="n">
        <x:v>11.07777709055456</x:v>
      </x:c>
      <x:c r="I319" s="24" t="n">
        <x:v>26.142140166033556</x:v>
      </x:c>
      <x:c r="J319" s="25" t="n">
        <x:v>132</x:v>
      </x:c>
      <x:c r="K319" s="25" t="n">
        <x:v>102</x:v>
      </x:c>
      <x:c r="L319" s="24" t="n">
        <x:v>30</x:v>
      </x:c>
      <x:c r="M319" s="24" t="n">
        <x:v>400</x:v>
      </x:c>
      <x:c r="N319" s="25" t="n">
        <x:v>190</x:v>
      </x:c>
      <x:c r="O319" s="25" t="n">
        <x:v>4</x:v>
      </x:c>
      <x:c r="P319" s="24" t="n">
        <x:v>281.59437982992495</x:v>
      </x:c>
      <x:c r="Q31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19"/>
      <x:c r="S319" t="str">
        <x:v>Preserve consumed record; new data/scope requires a new ID</x:v>
      </x:c>
      <x:c r="T319" t="str">
        <x:v>../Project Recherche Data/utmost-batch04-20260909/J1013-5934/run01/result.json</x:v>
      </x:c>
      <x:c r="U319" t="str">
        <x:v>87610cc1a081775d3911b07ec4b03e93f8b480425c31b84576171f3faf2589ab</x:v>
      </x:c>
      <x:c r="V319" t="str">
        <x:v>observed=f9d0b628dbfe7230e5a76a0843b95e3bd0f633f11bff218ecb3c6e21cd71bea2; calibration=fe05ea55bf6d0cd3636b9c6b9b01c5c4333fcf373237396d81350b64ee0dfcdf</x:v>
      </x:c>
    </x:row>
    <x:row r="320" ht="15" hidden="0" customHeight="1">
      <x:c r="A320" t="str">
        <x:v>utmost-batch04-20260909-J1136-5525-run01</x:v>
      </x:c>
      <x:c r="B320" t="str">
        <x:v>J1136-5525</x:v>
      </x:c>
      <x:c r="C320" t="str">
        <x:v>UTMOST DR1; original circular search</x:v>
      </x:c>
      <x:c r="D320" t="str">
        <x:v>NO_TRIGGER</x:v>
      </x:c>
      <x:c r="E320" s="23" t="n">
        <x:v>75.15288586138708</x:v>
      </x:c>
      <x:c r="F320" t="str">
        <x:v>Strongest eligible grid peak; candidate status is separate</x:v>
      </x:c>
      <x:c r="G320" s="24" t="n">
        <x:v>117.5401522357877</x:v>
      </x:c>
      <x:c r="H320" s="24" t="n">
        <x:v>7.505962140463769</x:v>
      </x:c>
      <x:c r="I320" s="24" t="n">
        <x:v>26.204321340173617</x:v>
      </x:c>
      <x:c r="J320" s="25" t="n">
        <x:v>147</x:v>
      </x:c>
      <x:c r="K320" s="25" t="n">
        <x:v>116</x:v>
      </x:c>
      <x:c r="L320" s="24" t="n">
        <x:v>30</x:v>
      </x:c>
      <x:c r="M320" s="24" t="n">
        <x:v>400</x:v>
      </x:c>
      <x:c r="N320" s="25" t="n">
        <x:v>196</x:v>
      </x:c>
      <x:c r="O320" s="25" t="n">
        <x:v>4</x:v>
      </x:c>
      <x:c r="P320" s="24" t="n">
        <x:v>316.3958337649228</x:v>
      </x:c>
      <x:c r="Q32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0"/>
      <x:c r="S320" t="str">
        <x:v>Preserve consumed record; new data/scope requires a new ID</x:v>
      </x:c>
      <x:c r="T320" t="str">
        <x:v>../Project Recherche Data/utmost-batch04-20260909/J1136-5525/run01/result.json</x:v>
      </x:c>
      <x:c r="U320" t="str">
        <x:v>32e7d2aca5a6eb4549fcae0f4423bbd33352ff69d1c6463fb89ce06cb59d6dc5</x:v>
      </x:c>
      <x:c r="V320" t="str">
        <x:v>observed=6f353903a3aa1d61e8648ec09017fc905695509d070d18d1b4c5df1a8949dc78; calibration=2db03cf29e9bf21349ce8968a45629e606c36f4013bd0809912ba8f1f8086645</x:v>
      </x:c>
    </x:row>
    <x:row r="321" ht="15" hidden="0" customHeight="1">
      <x:c r="A321" t="str">
        <x:v>utmost-batch04-20260909-J1428-5530-run01</x:v>
      </x:c>
      <x:c r="B321" t="str">
        <x:v>J1428-5530</x:v>
      </x:c>
      <x:c r="C321" t="str">
        <x:v>UTMOST DR1; original circular search</x:v>
      </x:c>
      <x:c r="D321" t="str">
        <x:v>NO_TRIGGER</x:v>
      </x:c>
      <x:c r="E321" s="23" t="n">
        <x:v>43.7130202257766</x:v>
      </x:c>
      <x:c r="F321" t="str">
        <x:v>Strongest eligible grid peak; candidate status is separate</x:v>
      </x:c>
      <x:c r="G321" s="24" t="n">
        <x:v>173.71015358027705</x:v>
      </x:c>
      <x:c r="H321" s="24" t="n">
        <x:v>8.684356166370321</x:v>
      </x:c>
      <x:c r="I321" s="24" t="n">
        <x:v>26.274503979796158</x:v>
      </x:c>
      <x:c r="J321" s="25" t="n">
        <x:v>168</x:v>
      </x:c>
      <x:c r="K321" s="25" t="n">
        <x:v>156</x:v>
      </x:c>
      <x:c r="L321" s="24" t="n">
        <x:v>30</x:v>
      </x:c>
      <x:c r="M321" s="24" t="n">
        <x:v>400</x:v>
      </x:c>
      <x:c r="N321" s="25" t="n">
        <x:v>203</x:v>
      </x:c>
      <x:c r="O321" s="25" t="n">
        <x:v>4</x:v>
      </x:c>
      <x:c r="P321" s="24" t="n">
        <x:v>424.94594569845043</x:v>
      </x:c>
      <x:c r="Q32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1"/>
      <x:c r="S321" t="str">
        <x:v>Preserve consumed record; new data/scope requires a new ID</x:v>
      </x:c>
      <x:c r="T321" t="str">
        <x:v>../Project Recherche Data/utmost-batch04-20260909/J1428-5530/run01/result.json</x:v>
      </x:c>
      <x:c r="U321" t="str">
        <x:v>4813e993ed7a9408e7ea59ce82a0f9484d105d71a2188bb2d8321c864ce64c13</x:v>
      </x:c>
      <x:c r="V321" t="str">
        <x:v>observed=6578812c3d12f9331e4caad7b5e6748162d108969e55dafd30b978da1af9fab3; calibration=0ead8895fb2f848f57c426de0e183ac76a69bc590f5f8f782a2d298822fc1a5d</x:v>
      </x:c>
    </x:row>
    <x:row r="322" ht="15" hidden="0" customHeight="1">
      <x:c r="A322" t="str">
        <x:v>utmost-batch04-20260909-J1605-5257-run01</x:v>
      </x:c>
      <x:c r="B322" t="str">
        <x:v>J1605-5257</x:v>
      </x:c>
      <x:c r="C322" t="str">
        <x:v>UTMOST DR1; original circular search</x:v>
      </x:c>
      <x:c r="D322" t="str">
        <x:v>NO_TRIGGER</x:v>
      </x:c>
      <x:c r="E322" s="23" t="n">
        <x:v>49.907775029010644</x:v>
      </x:c>
      <x:c r="F322" t="str">
        <x:v>Strongest eligible grid peak; candidate status is separate</x:v>
      </x:c>
      <x:c r="G322" s="24" t="n">
        <x:v>216.09932757250763</x:v>
      </x:c>
      <x:c r="H322" s="24" t="n">
        <x:v>13.360587366753633</x:v>
      </x:c>
      <x:c r="I322" s="24" t="n">
        <x:v>26.31352960824332</x:v>
      </x:c>
      <x:c r="J322" s="25" t="n">
        <x:v>162</x:v>
      </x:c>
      <x:c r="K322" s="25" t="n">
        <x:v>147</x:v>
      </x:c>
      <x:c r="L322" s="24" t="n">
        <x:v>30</x:v>
      </x:c>
      <x:c r="M322" s="24" t="n">
        <x:v>400</x:v>
      </x:c>
      <x:c r="N322" s="25" t="n">
        <x:v>207</x:v>
      </x:c>
      <x:c r="O322" s="25" t="n">
        <x:v>5</x:v>
      </x:c>
      <x:c r="P322" s="24" t="n">
        <x:v>433.08810964332827</x:v>
      </x:c>
      <x:c r="Q32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2"/>
      <x:c r="S322" t="str">
        <x:v>Preserve consumed record; new data/scope requires a new ID</x:v>
      </x:c>
      <x:c r="T322" t="str">
        <x:v>../Project Recherche Data/utmost-batch04-20260909/J1605-5257/run01/result.json</x:v>
      </x:c>
      <x:c r="U322" t="str">
        <x:v>86446269b5c5e952634fa3ac81501b05209e5d930d10ebdbba50d4583c1b601d</x:v>
      </x:c>
      <x:c r="V322" t="str">
        <x:v>observed=7e93ccbd41c7b04e411a4a0a5db396e6874e3930dd73478b3f94ed9e29629464; calibration=d823b1dd2e8ee6c93772402a70005b5d5bfe4050ceb95e393d3b9f59365ab999</x:v>
      </x:c>
    </x:row>
    <x:row r="323" ht="15" hidden="0" customHeight="1">
      <x:c r="A323" t="str">
        <x:v>utmost-batch04-20260909-J1326-6700-run01</x:v>
      </x:c>
      <x:c r="B323" t="str">
        <x:v>J1326-6700</x:v>
      </x:c>
      <x:c r="C323" t="str">
        <x:v>UTMOST DR1; original circular search</x:v>
      </x:c>
      <x:c r="D323" t="str">
        <x:v>NO_TRIGGER</x:v>
      </x:c>
      <x:c r="E323" s="23" t="n">
        <x:v>97.38660127725048</x:v>
      </x:c>
      <x:c r="F323" t="str">
        <x:v>Strongest eligible grid peak; candidate status is separate</x:v>
      </x:c>
      <x:c r="G323" s="24" t="n">
        <x:v>386.5019245150906</x:v>
      </x:c>
      <x:c r="H323" s="24" t="n">
        <x:v>15.992508802182059</x:v>
      </x:c>
      <x:c r="I323" s="24" t="n">
        <x:v>26.204321340173617</x:v>
      </x:c>
      <x:c r="J323" s="25" t="n">
        <x:v>132</x:v>
      </x:c>
      <x:c r="K323" s="25" t="n">
        <x:v>118</x:v>
      </x:c>
      <x:c r="L323" s="24" t="n">
        <x:v>30</x:v>
      </x:c>
      <x:c r="M323" s="24" t="n">
        <x:v>400</x:v>
      </x:c>
      <x:c r="N323" s="25" t="n">
        <x:v>196</x:v>
      </x:c>
      <x:c r="O323" s="25" t="n">
        <x:v>4</x:v>
      </x:c>
      <x:c r="P323" s="24" t="n">
        <x:v>571.0681733775275</x:v>
      </x:c>
      <x:c r="Q323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3"/>
      <x:c r="S323" t="str">
        <x:v>Preserve consumed record; new data/scope requires a new ID</x:v>
      </x:c>
      <x:c r="T323" t="str">
        <x:v>../Project Recherche Data/utmost-batch04-20260909/J1326-6700/run01/result.json</x:v>
      </x:c>
      <x:c r="U323" t="str">
        <x:v>f4f1e47e406356d6987c5b1f708c828b31a9ae2c27d25a84dc78940bf58553e5</x:v>
      </x:c>
      <x:c r="V323" t="str">
        <x:v>observed=f9c508d75bfaf25ae5892767492d823577d5fd0eef4d69a257bd2d9096817ecb; calibration=55211aa9d22cdc3ee83ea94e2bb9154ca324a0cf4a743d76a42ff06b4e0ea7b1</x:v>
      </x:c>
    </x:row>
    <x:row r="324" ht="15" hidden="0" customHeight="1">
      <x:c r="A324" t="str">
        <x:v>utmost-batch04-20260909-J1012-5857-run01</x:v>
      </x:c>
      <x:c r="B324" t="str">
        <x:v>J1012-5857</x:v>
      </x:c>
      <x:c r="C324" t="str">
        <x:v>UTMOST DR1; original circular search</x:v>
      </x:c>
      <x:c r="D324" t="str">
        <x:v>NO_TRIGGER</x:v>
      </x:c>
      <x:c r="E324" s="23" t="n">
        <x:v>139.03330875489016</x:v>
      </x:c>
      <x:c r="F324" t="str">
        <x:v>Strongest eligible grid peak; candidate status is separate</x:v>
      </x:c>
      <x:c r="G324" s="24" t="n">
        <x:v>324.3886644460184</x:v>
      </x:c>
      <x:c r="H324" s="24" t="n">
        <x:v>13.185835556380326</x:v>
      </x:c>
      <x:c r="I324" s="24" t="n">
        <x:v>26.2941119799894</x:v>
      </x:c>
      <x:c r="J324" s="25" t="n">
        <x:v>193</x:v>
      </x:c>
      <x:c r="K324" s="25" t="n">
        <x:v>142</x:v>
      </x:c>
      <x:c r="L324" s="24" t="n">
        <x:v>30</x:v>
      </x:c>
      <x:c r="M324" s="24" t="n">
        <x:v>400</x:v>
      </x:c>
      <x:c r="N324" s="25" t="n">
        <x:v>205</x:v>
      </x:c>
      <x:c r="O324" s="25" t="n">
        <x:v>4</x:v>
      </x:c>
      <x:c r="P324" s="24" t="n">
        <x:v>628.9765853197634</x:v>
      </x:c>
      <x:c r="Q324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4"/>
      <x:c r="S324" t="str">
        <x:v>Preserve consumed record; new data/scope requires a new ID</x:v>
      </x:c>
      <x:c r="T324" t="str">
        <x:v>../Project Recherche Data/utmost-batch04-20260909/J1012-5857/run01/result.json</x:v>
      </x:c>
      <x:c r="U324" t="str">
        <x:v>576bcccb3cf947d69a5db2e1659718bf08a36a389507e49ae0d64149aa00fb5a</x:v>
      </x:c>
      <x:c r="V324" t="str">
        <x:v>observed=032714004f6f1e5ae1f7e213681cbafdd51fe4eb8f05d7fd826068775060116a; calibration=cb15485a60d3111453a60b69fa97e4359a59283a2d5f673907b4febccc285c61</x:v>
      </x:c>
    </x:row>
    <x:row r="325" ht="15" hidden="0" customHeight="1">
      <x:c r="A325" t="str">
        <x:v>utmost-batch04-20260909-J1651-4246-run01</x:v>
      </x:c>
      <x:c r="B325" t="str">
        <x:v>J1651-4246</x:v>
      </x:c>
      <x:c r="C325" t="str">
        <x:v>UTMOST DR1; original circular search</x:v>
      </x:c>
      <x:c r="D325" t="str">
        <x:v>NO_TRIGGER</x:v>
      </x:c>
      <x:c r="E325" s="23" t="n">
        <x:v>41.779315960422856</x:v>
      </x:c>
      <x:c r="F325" t="str">
        <x:v>Strongest eligible grid peak; candidate status is separate</x:v>
      </x:c>
      <x:c r="G325" s="24" t="n">
        <x:v>360.39639448600315</x:v>
      </x:c>
      <x:c r="H325" s="24" t="n">
        <x:v>8.913019043117664</x:v>
      </x:c>
      <x:c r="I325" s="24" t="n">
        <x:v>26.152638877805845</x:v>
      </x:c>
      <x:c r="J325" s="25" t="n">
        <x:v>148</x:v>
      </x:c>
      <x:c r="K325" s="25" t="n">
        <x:v>98</x:v>
      </x:c>
      <x:c r="L325" s="24" t="n">
        <x:v>30</x:v>
      </x:c>
      <x:c r="M325" s="24" t="n">
        <x:v>400</x:v>
      </x:c>
      <x:c r="N325" s="25" t="n">
        <x:v>191</x:v>
      </x:c>
      <x:c r="O325" s="25" t="n">
        <x:v>4</x:v>
      </x:c>
      <x:c r="P325" s="24" t="n">
        <x:v>898.8352362411968</x:v>
      </x:c>
      <x:c r="Q325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5"/>
      <x:c r="S325" t="str">
        <x:v>Preserve consumed record; new data/scope requires a new ID</x:v>
      </x:c>
      <x:c r="T325" t="str">
        <x:v>../Project Recherche Data/utmost-batch04-20260909/J1651-4246/run01/result.json</x:v>
      </x:c>
      <x:c r="U325" t="str">
        <x:v>0fbb58bd8ea4ccd26c5abc131d808b6cb9d4c10ebb7fb65a12bd7369de3ae8d2</x:v>
      </x:c>
      <x:c r="V325" t="str">
        <x:v>observed=20ad0d627b36460795fa099c5f2bc325b115e280d68178385976aaaf3aa507a1; calibration=4f375f5230c116a552118cec4f4305e5f980e7162f29cbf8d0e23dc484c4034c</x:v>
      </x:c>
    </x:row>
    <x:row r="326" ht="15" hidden="0" customHeight="1">
      <x:c r="A326" t="str">
        <x:v>utmost-batch04-20260909-J1840-0809-run01</x:v>
      </x:c>
      <x:c r="B326" t="str">
        <x:v>J1840-0809</x:v>
      </x:c>
      <x:c r="C326" t="str">
        <x:v>UTMOST DR1; original circular search</x:v>
      </x:c>
      <x:c r="D326" t="str">
        <x:v>NO_TRIGGER</x:v>
      </x:c>
      <x:c r="E326" s="23" t="n">
        <x:v>141.23153286556527</x:v>
      </x:c>
      <x:c r="F326" t="str">
        <x:v>Strongest eligible grid peak; candidate status is separate</x:v>
      </x:c>
      <x:c r="G326" s="24" t="n">
        <x:v>746.8155901211098</x:v>
      </x:c>
      <x:c r="H326" s="24" t="n">
        <x:v>8.072174733719562</x:v>
      </x:c>
      <x:c r="I326" s="24" t="n">
        <x:v>26.142140166033556</x:v>
      </x:c>
      <x:c r="J326" s="25" t="n">
        <x:v>75</x:v>
      </x:c>
      <x:c r="K326" s="25" t="n">
        <x:v>69</x:v>
      </x:c>
      <x:c r="L326" s="24" t="n">
        <x:v>30</x:v>
      </x:c>
      <x:c r="M326" s="24" t="n">
        <x:v>400</x:v>
      </x:c>
      <x:c r="N326" s="25" t="n">
        <x:v>190</x:v>
      </x:c>
      <x:c r="O326" s="25" t="n">
        <x:v>5</x:v>
      </x:c>
      <x:c r="P326" s="24" t="n">
        <x:v>1670.2554584593815</x:v>
      </x:c>
      <x:c r="Q326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6"/>
      <x:c r="S326" t="str">
        <x:v>Preserve consumed record; new data/scope requires a new ID</x:v>
      </x:c>
      <x:c r="T326" t="str">
        <x:v>../Project Recherche Data/utmost-batch04-20260909/J1840-0809/run01/result.json</x:v>
      </x:c>
      <x:c r="U326" t="str">
        <x:v>df415e4cce9deb6064407ad25dfa1904e615cb04fc757a7920ed8598d64698fe</x:v>
      </x:c>
      <x:c r="V326" t="str">
        <x:v>observed=14ae52c10b69c8ef3cb455f145a10027e116af5f3d30fe6c007580434b38b01a; calibration=37196c3db235b0e026c4f5c34c1b47e479a18898a67e7d5bbc87c9ef89944207</x:v>
      </x:c>
    </x:row>
    <x:row r="327" ht="15" hidden="0" customHeight="1">
      <x:c r="A327" t="str">
        <x:v>utmost-batch04-20260909-J0820-4114-run01</x:v>
      </x:c>
      <x:c r="B327" t="str">
        <x:v>J0820-4114</x:v>
      </x:c>
      <x:c r="C327" t="str">
        <x:v>UTMOST DR1; original circular search</x:v>
      </x:c>
      <x:c r="D327" t="str">
        <x:v>NO_TRIGGER</x:v>
      </x:c>
      <x:c r="E327" s="23" t="n">
        <x:v>143.43378920630988</x:v>
      </x:c>
      <x:c r="F327" t="str">
        <x:v>Strongest eligible grid peak; candidate status is separate</x:v>
      </x:c>
      <x:c r="G327" s="24" t="n">
        <x:v>700.0023453493583</x:v>
      </x:c>
      <x:c r="H327" s="24" t="n">
        <x:v>5.432931568683916</x:v>
      </x:c>
      <x:c r="I327" s="24" t="n">
        <x:v>26.120975947372482</x:v>
      </x:c>
      <x:c r="J327" s="25" t="n">
        <x:v>88</x:v>
      </x:c>
      <x:c r="K327" s="25" t="n">
        <x:v>78</x:v>
      </x:c>
      <x:c r="L327" s="24" t="n">
        <x:v>30</x:v>
      </x:c>
      <x:c r="M327" s="24" t="n">
        <x:v>400</x:v>
      </x:c>
      <x:c r="N327" s="25" t="n">
        <x:v>188</x:v>
      </x:c>
      <x:c r="O327" s="25" t="n">
        <x:v>3</x:v>
      </x:c>
      <x:c r="P327" s="24" t="n">
        <x:v>2173.168450180203</x:v>
      </x:c>
      <x:c r="Q327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7"/>
      <x:c r="S327" t="str">
        <x:v>Preserve consumed record; new data/scope requires a new ID</x:v>
      </x:c>
      <x:c r="T327" t="str">
        <x:v>../Project Recherche Data/utmost-batch04-20260909/J0820-4114/run01/result.json</x:v>
      </x:c>
      <x:c r="U327" t="str">
        <x:v>688a87a605982b7856661ab8a4f60216eef35994b1e76e828a017828e79a5b51</x:v>
      </x:c>
      <x:c r="V327" t="str">
        <x:v>observed=23adc93bd3d7a9d198b2b55d28be5ac9ca108b1e1a5512839adf6799efefc1b0; calibration=fb96e88cca2c5dc10b1b29263051a9697e24927725baada774e1f51f3e37e330</x:v>
      </x:c>
    </x:row>
    <x:row r="328" ht="15" hidden="0" customHeight="1">
      <x:c r="A328" t="str">
        <x:v>utmost-batch04-20260909-J1932+1059-run01</x:v>
      </x:c>
      <x:c r="B328" t="str">
        <x:v>J1932+1059</x:v>
      </x:c>
      <x:c r="C328" t="str">
        <x:v>UTMOST DR1; original circular search</x:v>
      </x:c>
      <x:c r="D328" t="str">
        <x:v>NO_TRIGGER</x:v>
      </x:c>
      <x:c r="E328" s="23" t="n">
        <x:v>39.21280417233482</x:v>
      </x:c>
      <x:c r="F328" t="str">
        <x:v>Strongest eligible grid peak; candidate status is separate</x:v>
      </x:c>
      <x:c r="G328" s="24" t="n">
        <x:v>27.185094770728885</x:v>
      </x:c>
      <x:c r="H328" s="24" t="n">
        <x:v>7.1003715415150985</x:v>
      </x:c>
      <x:c r="I328" s="24" t="n">
        <x:v>26.254701837830737</x:v>
      </x:c>
      <x:c r="J328" s="25" t="n">
        <x:v>116</x:v>
      </x:c>
      <x:c r="K328" s="25" t="n">
        <x:v>106</x:v>
      </x:c>
      <x:c r="L328" s="24" t="n">
        <x:v>30</x:v>
      </x:c>
      <x:c r="M328" s="24" t="n">
        <x:v>400</x:v>
      </x:c>
      <x:c r="N328" s="25" t="n">
        <x:v>201</x:v>
      </x:c>
      <x:c r="O328" s="25" t="n">
        <x:v>4</x:v>
      </x:c>
      <x:c r="P328" s="24" t="n">
        <x:v>75.71841623855079</x:v>
      </x:c>
      <x:c r="Q328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8"/>
      <x:c r="S328" t="str">
        <x:v>Preserve consumed record; new data/scope requires a new ID</x:v>
      </x:c>
      <x:c r="T328" t="str">
        <x:v>../Project Recherche Data/utmost-batch04-20260909/J1932+1059/run01/result.json</x:v>
      </x:c>
      <x:c r="U328" t="str">
        <x:v>ea8c83e8810da755737541edc2c5964f27929741ceee4c06186dadb21242feb5</x:v>
      </x:c>
      <x:c r="V328" t="str">
        <x:v>observed=56e631cb7e32b44cdd60d8910172cf816a7d39a9a051afb66bb9e453a19afbbd; calibration=64b18a862eb7b2ddaf7df26e32c83600139b975cd6846c490f04840b514fcaf7</x:v>
      </x:c>
    </x:row>
    <x:row r="329" ht="15" hidden="0" customHeight="1">
      <x:c r="A329" t="str">
        <x:v>utmost-batch04-20260909-J1752-2806-run01</x:v>
      </x:c>
      <x:c r="B329" t="str">
        <x:v>J1752-2806</x:v>
      </x:c>
      <x:c r="C329" t="str">
        <x:v>UTMOST DR1; original circular search</x:v>
      </x:c>
      <x:c r="D329" t="str">
        <x:v>PERIODIC_SIGNAL_CANDIDATE</x:v>
      </x:c>
      <x:c r="E329" s="23" t="n">
        <x:v>81.78496479869125</x:v>
      </x:c>
      <x:c r="F329" t="str">
        <x:v>Strongest eligible grid peak; candidate status is separate</x:v>
      </x:c>
      <x:c r="G329" s="24" t="n">
        <x:v>137.1962246887286</x:v>
      </x:c>
      <x:c r="H329" s="24" t="n">
        <x:v>57.67185510437747</x:v>
      </x:c>
      <x:c r="I329" s="24" t="n">
        <x:v>26.49799205667539</x:v>
      </x:c>
      <x:c r="J329" s="25" t="n">
        <x:v>145</x:v>
      </x:c>
      <x:c r="K329" s="25" t="n">
        <x:v>130</x:v>
      </x:c>
      <x:c r="L329" s="24" t="n">
        <x:v>30</x:v>
      </x:c>
      <x:c r="M329" s="24" t="n">
        <x:v>400</x:v>
      </x:c>
      <x:c r="N329" s="25" t="n">
        <x:v>227</x:v>
      </x:c>
      <x:c r="O329" s="25" t="n">
        <x:v>9</x:v>
      </x:c>
      <x:c r="P329" s="24" t="n">
        <x:v>123.09364482525066</x:v>
      </x:c>
      <x:c r="Q329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29"/>
      <x:c r="S329" t="str">
        <x:v>Preserve consumed record; new data/scope requires a new ID</x:v>
      </x:c>
      <x:c r="T329" t="str">
        <x:v>../Project Recherche Data/utmost-batch04-20260909/J1752-2806/run01/result.json</x:v>
      </x:c>
      <x:c r="U329" t="str">
        <x:v>95eeadd38dcb16ded708638fa9493b512365a4d82d13ff852081da5af89bb84a</x:v>
      </x:c>
      <x:c r="V329" t="str">
        <x:v>observed=9c965355d1fabcd99439e709e6badfe9f1e71d25bc32420f754bdd89dbf1c797; calibration=011689662de7d62d35fb5333ef507fc45f2af149bae4759e77795883d93a7591</x:v>
      </x:c>
    </x:row>
    <x:row r="330" ht="15" hidden="0" customHeight="1">
      <x:c r="A330" t="str">
        <x:v>utmost-batch04-20260909-J1745-3040-run01</x:v>
      </x:c>
      <x:c r="B330" t="str">
        <x:v>J1745-3040</x:v>
      </x:c>
      <x:c r="C330" t="str">
        <x:v>UTMOST DR1; original circular search</x:v>
      </x:c>
      <x:c r="D330" t="str">
        <x:v>NO_TRIGGER</x:v>
      </x:c>
      <x:c r="E330" s="23" t="n">
        <x:v>33.07405068757412</x:v>
      </x:c>
      <x:c r="F330" t="str">
        <x:v>Strongest eligible grid peak; candidate status is separate</x:v>
      </x:c>
      <x:c r="G330" s="24" t="n">
        <x:v>66.24933443296763</x:v>
      </x:c>
      <x:c r="H330" s="24" t="n">
        <x:v>10.121613756321057</x:v>
      </x:c>
      <x:c r="I330" s="24" t="n">
        <x:v>26.183808339839242</x:v>
      </x:c>
      <x:c r="J330" s="25" t="n">
        <x:v>110</x:v>
      </x:c>
      <x:c r="K330" s="25" t="n">
        <x:v>90</x:v>
      </x:c>
      <x:c r="L330" s="24" t="n">
        <x:v>30</x:v>
      </x:c>
      <x:c r="M330" s="24" t="n">
        <x:v>400</x:v>
      </x:c>
      <x:c r="N330" s="25" t="n">
        <x:v>194</x:v>
      </x:c>
      <x:c r="O330" s="25" t="n">
        <x:v>4</x:v>
      </x:c>
      <x:c r="P330" s="24" t="n">
        <x:v>133.66795737346115</x:v>
      </x:c>
      <x:c r="Q330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30"/>
      <x:c r="S330" t="str">
        <x:v>Preserve consumed record; new data/scope requires a new ID</x:v>
      </x:c>
      <x:c r="T330" t="str">
        <x:v>../Project Recherche Data/utmost-batch04-20260909/J1745-3040/run01/result.json</x:v>
      </x:c>
      <x:c r="U330" t="str">
        <x:v>9faf718a47ce23326ea82d507c71ccf385bd85a083216838aba87927b822cc85</x:v>
      </x:c>
      <x:c r="V330" t="str">
        <x:v>observed=d51bbcc8072f43d27ea26d751299c05db53854cfac0f110403c2ace1e0f683e6; calibration=1962048955270dc2d0b2ea61e63373e4959889d66498963452ca69bb1c2e0c4f</x:v>
      </x:c>
    </x:row>
    <x:row r="331" ht="15" hidden="0" customHeight="1">
      <x:c r="A331" t="str">
        <x:v>utmost-batch04-20260909-J1913-0440-run01</x:v>
      </x:c>
      <x:c r="B331" t="str">
        <x:v>J1913-0440</x:v>
      </x:c>
      <x:c r="C331" t="str">
        <x:v>UTMOST DR1; original circular search</x:v>
      </x:c>
      <x:c r="D331" t="str">
        <x:v>NO_TRIGGER</x:v>
      </x:c>
      <x:c r="E331" s="23" t="n">
        <x:v>33.992613270186254</x:v>
      </x:c>
      <x:c r="F331" t="str">
        <x:v>Strongest eligible grid peak; candidate status is separate</x:v>
      </x:c>
      <x:c r="G331" s="24" t="n">
        <x:v>43.161007646135054</x:v>
      </x:c>
      <x:c r="H331" s="24" t="n">
        <x:v>8.765472966885426</x:v>
      </x:c>
      <x:c r="I331" s="24" t="n">
        <x:v>26.19409113884008</x:v>
      </x:c>
      <x:c r="J331" s="25" t="n">
        <x:v>88</x:v>
      </x:c>
      <x:c r="K331" s="25" t="n">
        <x:v>80</x:v>
      </x:c>
      <x:c r="L331" s="24" t="n">
        <x:v>30</x:v>
      </x:c>
      <x:c r="M331" s="24" t="n">
        <x:v>400</x:v>
      </x:c>
      <x:c r="N331" s="25" t="n">
        <x:v>195</x:v>
      </x:c>
      <x:c r="O331" s="25" t="n">
        <x:v>6</x:v>
      </x:c>
      <x:c r="P331" s="24" t="n">
        <x:v>101.10706697698646</x:v>
      </x:c>
      <x:c r="Q331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31"/>
      <x:c r="S331" t="str">
        <x:v>Preserve consumed record; new data/scope requires a new ID</x:v>
      </x:c>
      <x:c r="T331" t="str">
        <x:v>../Project Recherche Data/utmost-batch04-20260909/J1913-0440/run01/result.json</x:v>
      </x:c>
      <x:c r="U331" t="str">
        <x:v>d830ed9b0d8509191fb6a2f270faa74ff42f30420bd482029e8225de7d1c2b26</x:v>
      </x:c>
      <x:c r="V331" t="str">
        <x:v>observed=af82d236b7335d914ff377fd5592ca81999fdbf8142d8c517d1781f633f9875c; calibration=5df909efe96188940c97c5e881c598f373e6854b83db69853502f87e5cd96044</x:v>
      </x:c>
    </x:row>
    <x:row r="332" ht="15" hidden="0" customHeight="1">
      <x:c r="A332" t="str">
        <x:v>utmost-batch04-20260909-J0953+0755-run01</x:v>
      </x:c>
      <x:c r="B332" t="str">
        <x:v>J0953+0755</x:v>
      </x:c>
      <x:c r="C332" t="str">
        <x:v>UTMOST DR1; original circular search</x:v>
      </x:c>
      <x:c r="D332" t="str">
        <x:v>NO_TRIGGER</x:v>
      </x:c>
      <x:c r="E332" s="23" t="n">
        <x:v>71.36455024702484</x:v>
      </x:c>
      <x:c r="F332" t="str">
        <x:v>Strongest eligible grid peak; candidate status is separate</x:v>
      </x:c>
      <x:c r="G332" s="24" t="n">
        <x:v>62.46388933804302</x:v>
      </x:c>
      <x:c r="H332" s="24" t="n">
        <x:v>8.283622318490194</x:v>
      </x:c>
      <x:c r="I332" s="24" t="n">
        <x:v>26.2941119799894</x:v>
      </x:c>
      <x:c r="J332" s="25" t="n">
        <x:v>73</x:v>
      </x:c>
      <x:c r="K332" s="25" t="n">
        <x:v>66</x:v>
      </x:c>
      <x:c r="L332" s="24" t="n">
        <x:v>30</x:v>
      </x:c>
      <x:c r="M332" s="24" t="n">
        <x:v>400</x:v>
      </x:c>
      <x:c r="N332" s="25" t="n">
        <x:v>205</x:v>
      </x:c>
      <x:c r="O332" s="25" t="n">
        <x:v>4</x:v>
      </x:c>
      <x:c r="P332" s="24" t="n">
        <x:v>146.39439965673523</x:v>
      </x:c>
      <x:c r="Q332" t="str">
        <x:v>Fixed released single-band total timing noise; no epoch DM. Conditional Gaussian fixed covariance/design; 1.0% union-bound allowance for at most 25 fixed grids. 95% detection probability; circular on-grid signal; fixed published noise; not a posterior upper limit</x:v>
      </x:c>
      <x:c r="R332"/>
      <x:c r="S332" t="str">
        <x:v>Preserve consumed record; new data/scope requires a new ID</x:v>
      </x:c>
      <x:c r="T332" t="str">
        <x:v>../Project Recherche Data/utmost-batch04-20260909/J0953+0755/run01/result.json</x:v>
      </x:c>
      <x:c r="U332" t="str">
        <x:v>c7aa0ba47610096a9807642c99e5b33b8ac539194f79dd511322dfbb8ca94a70</x:v>
      </x:c>
      <x:c r="V332" t="str">
        <x:v>observed=85ba1e035f7506601730be5c2ffea213ba73626845cd5f6d162d1426a8917eb8; calibration=86225afdc8a0b92b65522017742a36084eac67566154795b7de949620b26873a</x:v>
      </x:c>
    </x:row>
    <x:row r="333" ht="15" hidden="0" customHeight="1">
      <x:c r="A333" t="str">
        <x:v>utmost-batch05-20260909-J1705-1906-run01</x:v>
      </x:c>
      <x:c r="B333" t="str">
        <x:v>J1705-1906</x:v>
      </x:c>
      <x:c r="C333" t="str">
        <x:v>UTMOST DR1; original circular search</x:v>
      </x:c>
      <x:c r="D333" t="str">
        <x:v>NO_TRIGGER</x:v>
      </x:c>
      <x:c r="E333" s="23" t="n">
        <x:v>36.967291080713764</x:v>
      </x:c>
      <x:c r="F333" t="str">
        <x:v>Strongest eligible grid peak; candidate status is separate</x:v>
      </x:c>
      <x:c r="G333" s="24" t="n">
        <x:v>60.792172530038</x:v>
      </x:c>
      <x:c r="H333" s="24" t="n">
        <x:v>8.57733402100516</x:v>
      </x:c>
      <x:c r="I333" s="24" t="n">
        <x:v>23.339858427559786</x:v>
      </x:c>
      <x:c r="J333" s="25" t="n">
        <x:v>78</x:v>
      </x:c>
      <x:c r="K333" s="25" t="n">
        <x:v>75</x:v>
      </x:c>
      <x:c r="L333" s="24" t="n">
        <x:v>30</x:v>
      </x:c>
      <x:c r="M333" s="24" t="n">
        <x:v>400</x:v>
      </x:c>
      <x:c r="N333" s="25" t="n">
        <x:v>195</x:v>
      </x:c>
      <x:c r="O333" s="25" t="n">
        <x:v>4</x:v>
      </x:c>
      <x:c r="P333" s="24" t="n">
        <x:v>147.98629621555023</x:v>
      </x:c>
      <x:c r="Q333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3"/>
      <x:c r="S333" t="str">
        <x:v>Preserve consumed record; new data/scope requires a new ID</x:v>
      </x:c>
      <x:c r="T333" t="str">
        <x:v>../Project Recherche Data/utmost-batch05-20260909/J1705-1906/run01/result.json</x:v>
      </x:c>
      <x:c r="U333" t="str">
        <x:v>7d5b2099551fccc5897fa2bebac92ecbc64ffb127a5cee8301025707ee04f329</x:v>
      </x:c>
      <x:c r="V333" t="str">
        <x:v>observed=5caaa501feda5d870b39e3ad15de00f18cebf235c0c70f0d799f6526de36763c; calibration=49d42d873b5e5feb9e86799dadf05325ead102c38371b8f6373af36ff623c16e</x:v>
      </x:c>
    </x:row>
    <x:row r="334" ht="15" hidden="0" customHeight="1">
      <x:c r="A334" t="str">
        <x:v>utmost-batch05-20260909-J1820-0427-run01</x:v>
      </x:c>
      <x:c r="B334" t="str">
        <x:v>J1820-0427</x:v>
      </x:c>
      <x:c r="C334" t="str">
        <x:v>UTMOST DR1; original circular search</x:v>
      </x:c>
      <x:c r="D334" t="str">
        <x:v>NO_TRIGGER</x:v>
      </x:c>
      <x:c r="E334" s="23" t="n">
        <x:v>88.28285923556534</x:v>
      </x:c>
      <x:c r="F334" t="str">
        <x:v>Strongest eligible grid peak; candidate status is separate</x:v>
      </x:c>
      <x:c r="G334" s="24" t="n">
        <x:v>66.14514187108391</x:v>
      </x:c>
      <x:c r="H334" s="24" t="n">
        <x:v>11.011276830932019</x:v>
      </x:c>
      <x:c r="I334" s="24" t="n">
        <x:v>23.400469126550444</x:v>
      </x:c>
      <x:c r="J334" s="25" t="n">
        <x:v>55</x:v>
      </x:c>
      <x:c r="K334" s="25" t="n">
        <x:v>54</x:v>
      </x:c>
      <x:c r="L334" s="24" t="n">
        <x:v>30</x:v>
      </x:c>
      <x:c r="M334" s="24" t="n">
        <x:v>400</x:v>
      </x:c>
      <x:c r="N334" s="25" t="n">
        <x:v>201</x:v>
      </x:c>
      <x:c r="O334" s="25" t="n">
        <x:v>4</x:v>
      </x:c>
      <x:c r="P334" s="24" t="n">
        <x:v>160.84181087765887</x:v>
      </x:c>
      <x:c r="Q334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4"/>
      <x:c r="S334" t="str">
        <x:v>Preserve consumed record; new data/scope requires a new ID</x:v>
      </x:c>
      <x:c r="T334" t="str">
        <x:v>../Project Recherche Data/utmost-batch05-20260909/J1820-0427/run01/result.json</x:v>
      </x:c>
      <x:c r="U334" t="str">
        <x:v>038514b17ec51f008fbc4121bf7f228fca7d3ccb16310df39f62bbcf4ee7a9d5</x:v>
      </x:c>
      <x:c r="V334" t="str">
        <x:v>observed=b1645966d5ed313da8f1d4641ba2f4c3ac9929c01f8415b6bbe109a6f79b849d; calibration=c6782c2fe71a37e189b18157ac2e5272bacb2fa38e97cbd737630a1a6570c747</x:v>
      </x:c>
    </x:row>
    <x:row r="335" ht="15" hidden="0" customHeight="1">
      <x:c r="A335" t="str">
        <x:v>utmost-batch05-20260909-J1703-3241-run01</x:v>
      </x:c>
      <x:c r="B335" t="str">
        <x:v>J1703-3241</x:v>
      </x:c>
      <x:c r="C335" t="str">
        <x:v>UTMOST DR1; original circular search</x:v>
      </x:c>
      <x:c r="D335" t="str">
        <x:v>NO_TRIGGER</x:v>
      </x:c>
      <x:c r="E335" s="23" t="n">
        <x:v>47.836035606599474</x:v>
      </x:c>
      <x:c r="F335" t="str">
        <x:v>Strongest eligible grid peak; candidate status is separate</x:v>
      </x:c>
      <x:c r="G335" s="24" t="n">
        <x:v>210.67577742000057</x:v>
      </x:c>
      <x:c r="H335" s="24" t="n">
        <x:v>9.07206873093537</x:v>
      </x:c>
      <x:c r="I335" s="24" t="n">
        <x:v>23.350088628893328</x:v>
      </x:c>
      <x:c r="J335" s="25" t="n">
        <x:v>81</x:v>
      </x:c>
      <x:c r="K335" s="25" t="n">
        <x:v>75</x:v>
      </x:c>
      <x:c r="L335" s="24" t="n">
        <x:v>30</x:v>
      </x:c>
      <x:c r="M335" s="24" t="n">
        <x:v>400</x:v>
      </x:c>
      <x:c r="N335" s="25" t="n">
        <x:v>196</x:v>
      </x:c>
      <x:c r="O335" s="25" t="n">
        <x:v>4</x:v>
      </x:c>
      <x:c r="P335" s="24" t="n">
        <x:v>453.9037101256332</x:v>
      </x:c>
      <x:c r="Q335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5"/>
      <x:c r="S335" t="str">
        <x:v>Preserve consumed record; new data/scope requires a new ID</x:v>
      </x:c>
      <x:c r="T335" t="str">
        <x:v>../Project Recherche Data/utmost-batch05-20260909/J1703-3241/run01/result.json</x:v>
      </x:c>
      <x:c r="U335" t="str">
        <x:v>68f71970112b61125985d0c017ad8cb49b2b9066826f31309009501d4d9342e2</x:v>
      </x:c>
      <x:c r="V335" t="str">
        <x:v>observed=78a9c816e6794479165660560dc9730002f765a536d040ff986232f681700b7a; calibration=8e794b011855087fb184c11608b65c2e1a0000d3394997fc5e413124fe37bfb4</x:v>
      </x:c>
    </x:row>
    <x:row r="336" ht="15" hidden="0" customHeight="1">
      <x:c r="A336" t="str">
        <x:v>utmost-batch05-20260909-J2048-1616-run01</x:v>
      </x:c>
      <x:c r="B336" t="str">
        <x:v>J2048-1616</x:v>
      </x:c>
      <x:c r="C336" t="str">
        <x:v>UTMOST DR1; original circular search</x:v>
      </x:c>
      <x:c r="D336" t="str">
        <x:v>NO_TRIGGER</x:v>
      </x:c>
      <x:c r="E336" s="23" t="n">
        <x:v>312.99538353014253</x:v>
      </x:c>
      <x:c r="F336" t="str">
        <x:v>Strongest eligible grid peak; candidate status is separate</x:v>
      </x:c>
      <x:c r="G336" s="24" t="n">
        <x:v>349.88499356905174</x:v>
      </x:c>
      <x:c r="H336" s="24" t="n">
        <x:v>13.693182278367685</x:v>
      </x:c>
      <x:c r="I336" s="24" t="n">
        <x:v>23.60820285335253</x:v>
      </x:c>
      <x:c r="J336" s="25" t="n">
        <x:v>105</x:v>
      </x:c>
      <x:c r="K336" s="25" t="n">
        <x:v>100</x:v>
      </x:c>
      <x:c r="L336" s="24" t="n">
        <x:v>30</x:v>
      </x:c>
      <x:c r="M336" s="24" t="n">
        <x:v>400</x:v>
      </x:c>
      <x:c r="N336" s="25" t="n">
        <x:v>223</x:v>
      </x:c>
      <x:c r="O336" s="25" t="n">
        <x:v>5</x:v>
      </x:c>
      <x:c r="P336" s="24" t="n">
        <x:v>550.796255826984</x:v>
      </x:c>
      <x:c r="Q336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6"/>
      <x:c r="S336" t="str">
        <x:v>Preserve consumed record; new data/scope requires a new ID</x:v>
      </x:c>
      <x:c r="T336" t="str">
        <x:v>../Project Recherche Data/utmost-batch05-20260909/J2048-1616/run01/result.json</x:v>
      </x:c>
      <x:c r="U336" t="str">
        <x:v>c974ef418accdde1150df94450b42088006fbb27125c490b88e1426c2bd5cd38</x:v>
      </x:c>
      <x:c r="V336" t="str">
        <x:v>observed=4a24412183955cee3ad6843fb9f00a35642cdaed87727f45fda248ba8d19304c; calibration=cc0250f9dc02fe5803d268e89e7b856e2571a49e917e51b95b0e2b7eddb47f3f</x:v>
      </x:c>
    </x:row>
    <x:row r="337" ht="15" hidden="0" customHeight="1">
      <x:c r="A337" t="str">
        <x:v>utmost-batch05-20260909-J2006-0807-run01</x:v>
      </x:c>
      <x:c r="B337" t="str">
        <x:v>J2006-0807</x:v>
      </x:c>
      <x:c r="C337" t="str">
        <x:v>UTMOST DR1; original circular search</x:v>
      </x:c>
      <x:c r="D337" t="str">
        <x:v>NO_TRIGGER</x:v>
      </x:c>
      <x:c r="E337" s="23" t="n">
        <x:v>33.25143534411975</x:v>
      </x:c>
      <x:c r="F337" t="str">
        <x:v>Strongest eligible grid peak; candidate status is separate</x:v>
      </x:c>
      <x:c r="G337" s="24" t="n">
        <x:v>278.45101374855295</x:v>
      </x:c>
      <x:c r="H337" s="24" t="n">
        <x:v>7.115326225186877</x:v>
      </x:c>
      <x:c r="I337" s="24" t="n">
        <x:v>23.277353340551578</x:v>
      </x:c>
      <x:c r="J337" s="25" t="n">
        <x:v>255</x:v>
      </x:c>
      <x:c r="K337" s="25" t="n">
        <x:v>253</x:v>
      </x:c>
      <x:c r="L337" s="24" t="n">
        <x:v>30</x:v>
      </x:c>
      <x:c r="M337" s="24" t="n">
        <x:v>400</x:v>
      </x:c>
      <x:c r="N337" s="25" t="n">
        <x:v>189</x:v>
      </x:c>
      <x:c r="O337" s="25" t="n">
        <x:v>6</x:v>
      </x:c>
      <x:c r="P337" s="24" t="n">
        <x:v>723.1837428524448</x:v>
      </x:c>
      <x:c r="Q337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7"/>
      <x:c r="S337" t="str">
        <x:v>Preserve consumed record; new data/scope requires a new ID</x:v>
      </x:c>
      <x:c r="T337" t="str">
        <x:v>../Project Recherche Data/utmost-batch05-20260909/J2006-0807/run01/result.json</x:v>
      </x:c>
      <x:c r="U337" t="str">
        <x:v>d0ca639408f0a94a4c2f653b07bb4f9eaa12da3d22bf7249252a8a6ea8cf0ff0</x:v>
      </x:c>
      <x:c r="V337" t="str">
        <x:v>observed=92dfa73e79436d67e28446024be41f440d5faed56227cbded948685098a2b7c7; calibration=1da076c2adc4fc376c7b772821d921a91b2c6c85229a197144001ed50f986fa3</x:v>
      </x:c>
    </x:row>
    <x:row r="338" ht="15" hidden="0" customHeight="1">
      <x:c r="A338" t="str">
        <x:v>utmost-batch05-20260909-J1842-0359-run01</x:v>
      </x:c>
      <x:c r="B338" t="str">
        <x:v>J1842-0359</x:v>
      </x:c>
      <x:c r="C338" t="str">
        <x:v>UTMOST DR1; original circular search</x:v>
      </x:c>
      <x:c r="D338" t="str">
        <x:v>NO_TRIGGER</x:v>
      </x:c>
      <x:c r="E338" s="23" t="n">
        <x:v>178.55095545106508</x:v>
      </x:c>
      <x:c r="F338" t="str">
        <x:v>Strongest eligible grid peak; candidate status is separate</x:v>
      </x:c>
      <x:c r="G338" s="24" t="n">
        <x:v>1200.5782331053351</x:v>
      </x:c>
      <x:c r="H338" s="24" t="n">
        <x:v>4.915011659971704</x:v>
      </x:c>
      <x:c r="I338" s="24" t="n">
        <x:v>23.287907454753267</x:v>
      </x:c>
      <x:c r="J338" s="25" t="n">
        <x:v>77</x:v>
      </x:c>
      <x:c r="K338" s="25" t="n">
        <x:v>67</x:v>
      </x:c>
      <x:c r="L338" s="24" t="n">
        <x:v>30</x:v>
      </x:c>
      <x:c r="M338" s="24" t="n">
        <x:v>400</x:v>
      </x:c>
      <x:c r="N338" s="25" t="n">
        <x:v>190</x:v>
      </x:c>
      <x:c r="O338" s="25" t="n">
        <x:v>5</x:v>
      </x:c>
      <x:c r="P338" s="24" t="n">
        <x:v>3859.3953107337998</x:v>
      </x:c>
      <x:c r="Q338" t="str">
        <x:v>Fixed released single-band total timing noise; no epoch DM. Conditional Gaussian fixed covariance/design; 1.0% union-bound allowance for at most 6 fixed grids. 95% detection probability; circular on-grid signal; fixed published noise; not a posterior upper limit</x:v>
      </x:c>
      <x:c r="R338"/>
      <x:c r="S338" t="str">
        <x:v>Preserve consumed record; new data/scope requires a new ID</x:v>
      </x:c>
      <x:c r="T338" t="str">
        <x:v>../Project Recherche Data/utmost-batch05-20260909/J1842-0359/run01/result.json</x:v>
      </x:c>
      <x:c r="U338" t="str">
        <x:v>050c984f531bcc27ba323440a8c69fe02a2ba2abda9597c36e849e20d20afb74</x:v>
      </x:c>
      <x:c r="V338" t="str">
        <x:v>observed=5b5da752203ea6ae473c5ba3fe24b1a7c6c5f0b73bfa629aa5f4a371d1ead1bd; calibration=907b4331f7d8c58406696f4f2bd3e67542bcdc53e560c8a6e36fa6496003e453</x:v>
      </x:c>
    </x:row>
    <x:row r="339" ht="15" hidden="0" customHeight="1">
      <x:c r="A339" t="str">
        <x:v>ipta-batch01-20260909-J1721-2457-run01</x:v>
      </x:c>
      <x:c r="B339" t="str">
        <x:v>J1721-2457</x:v>
      </x:c>
      <x:c r="C339" t="str">
        <x:v>IPTA DR2 Version B TDB; circular search</x:v>
      </x:c>
      <x:c r="D339" t="str">
        <x:v>NO_TRIGGER</x:v>
      </x:c>
      <x:c r="E339" s="23" t="n">
        <x:v>42.24720597087783</x:v>
      </x:c>
      <x:c r="F339" t="str">
        <x:v>Strongest eligible grid peak; candidate status is separate</x:v>
      </x:c>
      <x:c r="G339" s="24" t="n">
        <x:v>6.783907095993332</x:v>
      </x:c>
      <x:c r="H339" s="24" t="n">
        <x:v>9.124107049551668</x:v>
      </x:c>
      <x:c r="I339" s="24" t="n">
        <x:v>22.495313974710694</x:v>
      </x:c>
      <x:c r="J339" s="25" t="n">
        <x:v>150</x:v>
      </x:c>
      <x:c r="K339" s="25"/>
      <x:c r="L339" s="24" t="n">
        <x:v>30</x:v>
      </x:c>
      <x:c r="M339" s="24" t="n">
        <x:v>2000</x:v>
      </x:c>
      <x:c r="N339" s="25" t="n">
        <x:v>767</x:v>
      </x:c>
      <x:c r="O339" s="25" t="n">
        <x:v>7</x:v>
      </x:c>
      <x:c r="P339" s="24" t="n">
        <x:v>14.926487963794223</x:v>
      </x:c>
      <x:c r="Q339" t="str">
        <x:v>Fixed released EFAC/EQUAD plus 74 red and 74 DM Fourier pairs; no ECORR in this target. Conditional Gaussian fixed covariance/design; 1.0% union-bound allowance for at most 1 fixed grids. 95% detection probability; circular on-grid signal; fixed published noise; not a posterior upper limit</x:v>
      </x:c>
      <x:c r="R339"/>
      <x:c r="S339" t="str">
        <x:v>Preserve consumed record; new data/scope requires a new ID</x:v>
      </x:c>
      <x:c r="T339" t="str">
        <x:v>../Project Recherche Data/ipta-batch01-20260909/J1721-2457/run01/result.json</x:v>
      </x:c>
      <x:c r="U339" t="str">
        <x:v>f37d3c23e0f1f4a5406781aedf3be7605af9c0f7fc092d968c96209025a14742</x:v>
      </x:c>
      <x:c r="V339" t="str">
        <x:v>observed=cd340eff777218950ff91e6d2380405e8cde2456cf10ed8a9bdb1af62ee3a5fd; calibration=ea90776235fca7ce4ed6894a928e89d72c5651a3ae34d72cec8fbb3018bb1b32</x:v>
      </x:c>
    </x:row>
    <x:row r="340" ht="15" hidden="0" customHeight="1">
      <x:c r="A340" t="str">
        <x:v>ipta-batch02-20260909-J1801-1417-J1801-1417-run01</x:v>
      </x:c>
      <x:c r="B340" t="str">
        <x:v>J1801-1417</x:v>
      </x:c>
      <x:c r="C340" t="str">
        <x:v>IPTA DR2 Version B TDB; circular search</x:v>
      </x:c>
      <x:c r="D340" t="str">
        <x:v>NO_TRIGGER</x:v>
      </x:c>
      <x:c r="E340" s="23" t="n">
        <x:v>33.36907547767312</x:v>
      </x:c>
      <x:c r="F340" t="str">
        <x:v>Strongest eligible grid peak; candidate status is separate</x:v>
      </x:c>
      <x:c r="G340" s="24" t="n">
        <x:v>1.3019437210438232</x:v>
      </x:c>
      <x:c r="H340" s="24" t="n">
        <x:v>7.067541500063957</x:v>
      </x:c>
      <x:c r="I340" s="24" t="n">
        <x:v>26.42550475426402</x:v>
      </x:c>
      <x:c r="J340" s="25" t="n">
        <x:v>126</x:v>
      </x:c>
      <x:c r="K340" s="25" t="n">
        <x:v>126</x:v>
      </x:c>
      <x:c r="L340" s="24" t="n">
        <x:v>30</x:v>
      </x:c>
      <x:c r="M340" s="24" t="n">
        <x:v>1288.0463134381826</x:v>
      </x:c>
      <x:c r="N340" s="25" t="n">
        <x:v>421</x:v>
      </x:c>
      <x:c r="O340" s="25" t="n">
        <x:v>7</x:v>
      </x:c>
      <x:c r="P340" s="24" t="n">
        <x:v>3.4741397125688427</x:v>
      </x:c>
      <x:c r="Q340" t="str">
        <x:v>Fixed released EFAC/EQUAD/ECORR plus 42 red and 42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0"/>
      <x:c r="S340" t="str">
        <x:v>Preserve consumed record; new data/scope requires a new ID</x:v>
      </x:c>
      <x:c r="T340" t="str">
        <x:v>../Project Recherche Data/ipta-batch02-20260909/executions/ipta-batch02-20260909-J1801-1417/J1801-1417/run01/result.json</x:v>
      </x:c>
      <x:c r="U340" t="str">
        <x:v>ed760eac3b39405dcb0dc2a56f5a7a7260590132e4a698850c35082459d3862e</x:v>
      </x:c>
      <x:c r="V340" t="str">
        <x:v>observed=3809cd37a8cd0183d75fee93e60284aa347d5ff72e82578d1af31489196ddfce; calibration=dff3a3c5a1ba181e3691bb2f13b7e58698bdbc841bfc44ce14a66f2aebf9c549</x:v>
      </x:c>
    </x:row>
    <x:row r="341" ht="15" hidden="0" customHeight="1">
      <x:c r="A341" t="str">
        <x:v>ipta-batch02-20260909-J2322+2057-J2322+2057-run01</x:v>
      </x:c>
      <x:c r="B341" t="str">
        <x:v>J2322+2057</x:v>
      </x:c>
      <x:c r="C341" t="str">
        <x:v>IPTA DR2 Version B TDB; circular search</x:v>
      </x:c>
      <x:c r="D341" t="str">
        <x:v>NO_TRIGGER</x:v>
      </x:c>
      <x:c r="E341" s="23" t="n">
        <x:v>53.00293971293072</x:v>
      </x:c>
      <x:c r="F341" t="str">
        <x:v>Strongest eligible grid peak; candidate status is separate</x:v>
      </x:c>
      <x:c r="G341" s="24" t="n">
        <x:v>1.9943248392553656</x:v>
      </x:c>
      <x:c r="H341" s="24" t="n">
        <x:v>7.385591787605301</x:v>
      </x:c>
      <x:c r="I341" s="24" t="n">
        <x:v>26.654197058070366</x:v>
      </x:c>
      <x:c r="J341" s="25" t="n">
        <x:v>229</x:v>
      </x:c>
      <x:c r="K341" s="25" t="n">
        <x:v>221</x:v>
      </x:c>
      <x:c r="L341" s="24" t="n">
        <x:v>30</x:v>
      </x:c>
      <x:c r="M341" s="24" t="n">
        <x:v>1441.6799601917155</x:v>
      </x:c>
      <x:c r="N341" s="25" t="n">
        <x:v>472</x:v>
      </x:c>
      <x:c r="O341" s="25" t="n">
        <x:v>10</x:v>
      </x:c>
      <x:c r="P341" s="24" t="n">
        <x:v>5.260152216314793</x:v>
      </x:c>
      <x:c r="Q341" t="str">
        <x:v>Fixed released EFAC/EQUAD/ECORR plus 48 red and 48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1"/>
      <x:c r="S341" t="str">
        <x:v>Preserve consumed record; new data/scope requires a new ID</x:v>
      </x:c>
      <x:c r="T341" t="str">
        <x:v>../Project Recherche Data/ipta-batch02-20260909/executions/ipta-batch02-20260909-J2322+2057/J2322+2057/run01/result.json</x:v>
      </x:c>
      <x:c r="U341" t="str">
        <x:v>3e4e775a26a582fed21e2d73f454e616681fc00a6b1ebb781204270daaeee3c2</x:v>
      </x:c>
      <x:c r="V341" t="str">
        <x:v>observed=628380c5a3a47d1fc259c345c3af0f3f1fad90e39d0364b725ce520dbdde768c; calibration=3890d8d52b744c53b22f3baf85f1dbb288e7f9673301a284fe6826698aa14f4b</x:v>
      </x:c>
    </x:row>
    <x:row r="342" ht="15" hidden="0" customHeight="1">
      <x:c r="A342" t="str">
        <x:v>ipta-batch02-20260909-J1824-2452A-J1824-2452A-run01</x:v>
      </x:c>
      <x:c r="B342" t="str">
        <x:v>J1824-2452A</x:v>
      </x:c>
      <x:c r="C342" t="str">
        <x:v>IPTA DR2 Version B TDB; circular search</x:v>
      </x:c>
      <x:c r="D342" t="str">
        <x:v>NO_TRIGGER</x:v>
      </x:c>
      <x:c r="E342" s="23" t="n">
        <x:v>52.367957015748416</x:v>
      </x:c>
      <x:c r="F342" t="str">
        <x:v>Strongest eligible grid peak; candidate status is separate</x:v>
      </x:c>
      <x:c r="G342" s="24" t="n">
        <x:v>0.2990310699592342</x:v>
      </x:c>
      <x:c r="H342" s="24" t="n">
        <x:v>12.090263374653198</x:v>
      </x:c>
      <x:c r="I342" s="24" t="n">
        <x:v>25.96850015054939</x:v>
      </x:c>
      <x:c r="J342" s="25" t="n">
        <x:v>276</x:v>
      </x:c>
      <x:c r="K342" s="25" t="n">
        <x:v>147</x:v>
      </x:c>
      <x:c r="L342" s="24" t="n">
        <x:v>30</x:v>
      </x:c>
      <x:c r="M342" s="24" t="n">
        <x:v>1031.6487532102437</x:v>
      </x:c>
      <x:c r="N342" s="25" t="n">
        <x:v>335</x:v>
      </x:c>
      <x:c r="O342" s="25" t="n">
        <x:v>7</x:v>
      </x:c>
      <x:c r="P342" s="24" t="n">
        <x:v>0.6883409129975916</x:v>
      </x:c>
      <x:c r="Q342" t="str">
        <x:v>Fixed released EFAC/EQUAD/ECORR plus 34 red and 34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2"/>
      <x:c r="S342" t="str">
        <x:v>Preserve consumed record; new data/scope requires a new ID</x:v>
      </x:c>
      <x:c r="T342" t="str">
        <x:v>../Project Recherche Data/ipta-batch02-20260909/executions/ipta-batch02-20260909-J1824-2452A/J1824-2452A/run01/result.json</x:v>
      </x:c>
      <x:c r="U342" t="str">
        <x:v>2a4856e893e4323fd81d8f2f0c752348b6c6b0bc7a0fadc771789a1f5790fab5</x:v>
      </x:c>
      <x:c r="V342" t="str">
        <x:v>observed=b2e1f1269cfa769a78a3b6b57bbbf40951f291f826110b581743b9a85c5089d2; calibration=caaf8e466d827bbe3a844b65f29090085b396d136778b3f2dea3a85551abf001</x:v>
      </x:c>
    </x:row>
    <x:row r="343" ht="15" hidden="0" customHeight="1">
      <x:c r="A343" t="str">
        <x:v>ipta-batch02-20260909-J1944+0907-J1944+0907-run01</x:v>
      </x:c>
      <x:c r="B343" t="str">
        <x:v>J1944+0907</x:v>
      </x:c>
      <x:c r="C343" t="str">
        <x:v>IPTA DR2 Version B TDB; circular search</x:v>
      </x:c>
      <x:c r="D343" t="str">
        <x:v>NO_TRIGGER</x:v>
      </x:c>
      <x:c r="E343" s="23" t="n">
        <x:v>260.78883342751396</x:v>
      </x:c>
      <x:c r="F343" t="str">
        <x:v>Strongest eligible grid peak; candidate status is separate</x:v>
      </x:c>
      <x:c r="G343" s="24" t="n">
        <x:v>0.6471082494991344</x:v>
      </x:c>
      <x:c r="H343" s="24" t="n">
        <x:v>8.832923446931344</x:v>
      </x:c>
      <x:c r="I343" s="24" t="n">
        <x:v>25.992239301660156</x:v>
      </x:c>
      <x:c r="J343" s="25" t="n">
        <x:v>1696</x:v>
      </x:c>
      <x:c r="K343" s="25" t="n">
        <x:v>48</x:v>
      </x:c>
      <x:c r="L343" s="24" t="n">
        <x:v>30</x:v>
      </x:c>
      <x:c r="M343" s="24" t="n">
        <x:v>1043.1553337100559</x:v>
      </x:c>
      <x:c r="N343" s="25" t="n">
        <x:v>339</x:v>
      </x:c>
      <x:c r="O343" s="25" t="n">
        <x:v>18</x:v>
      </x:c>
      <x:c r="P343" s="24" t="n">
        <x:v>1.0587633909799181</x:v>
      </x:c>
      <x:c r="Q343" t="str">
        <x:v>Fixed released EFAC/EQUAD/ECORR plus 34 red and 34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3"/>
      <x:c r="S343" t="str">
        <x:v>Preserve consumed record; new data/scope requires a new ID</x:v>
      </x:c>
      <x:c r="T343" t="str">
        <x:v>../Project Recherche Data/ipta-batch02-20260909/executions/ipta-batch02-20260909-J1944+0907/J1944+0907/run01/result.json</x:v>
      </x:c>
      <x:c r="U343" t="str">
        <x:v>503ff465f1932c9f7c1bf7aebcefd6387ab8d777283c5d2af4d6c4d186318848</x:v>
      </x:c>
      <x:c r="V343" t="str">
        <x:v>observed=15df4109d0aa152ab19624ffaf2fd9500dc4b3c1d91f57aec80c69ab731cc80b; calibration=a9dc7438b6687b09521c7d77dcaeebc04bddb4d9b8d550b190f0a4da5d3f59fb</x:v>
      </x:c>
    </x:row>
    <x:row r="344" ht="15" hidden="0" customHeight="1">
      <x:c r="A344" t="str">
        <x:v>ipta-batch02-20260909-J0030+0451-J0030+0451-run01</x:v>
      </x:c>
      <x:c r="B344" t="str">
        <x:v>J0030+0451</x:v>
      </x:c>
      <x:c r="C344" t="str">
        <x:v>IPTA DR2 Version B TDB; circular search</x:v>
      </x:c>
      <x:c r="D344" t="str">
        <x:v>NO_TRIGGER</x:v>
      </x:c>
      <x:c r="E344" s="23" t="n">
        <x:v>73.43180991464416</x:v>
      </x:c>
      <x:c r="F344" t="str">
        <x:v>Strongest eligible grid peak; candidate status is separate</x:v>
      </x:c>
      <x:c r="G344" s="24" t="n">
        <x:v>0.18606462878470556</x:v>
      </x:c>
      <x:c r="H344" s="24" t="n">
        <x:v>13.38823454811101</x:v>
      </x:c>
      <x:c r="I344" s="24" t="n">
        <x:v>27.95610897429911</x:v>
      </x:c>
      <x:c r="J344" s="25" t="n">
        <x:v>3362</x:v>
      </x:c>
      <x:c r="K344" s="25" t="n">
        <x:v>916</x:v>
      </x:c>
      <x:c r="L344" s="24" t="n">
        <x:v>30</x:v>
      </x:c>
      <x:c r="M344" s="24" t="n">
        <x:v>2000</x:v>
      </x:c>
      <x:c r="N344" s="25" t="n">
        <x:v>905</x:v>
      </x:c>
      <x:c r="O344" s="25" t="n">
        <x:v>17</x:v>
      </x:c>
      <x:c r="P344" s="24" t="n">
        <x:v>0.404035284229217</x:v>
      </x:c>
      <x:c r="Q344" t="str">
        <x:v>Fixed released EFAC/EQUAD/ECORR plus 91 red and 91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4"/>
      <x:c r="S344" t="str">
        <x:v>Preserve consumed record; new data/scope requires a new ID</x:v>
      </x:c>
      <x:c r="T344" t="str">
        <x:v>../Project Recherche Data/ipta-batch02-20260909/executions/ipta-batch02-20260909-J0030+0451/J0030+0451/run01/result.json</x:v>
      </x:c>
      <x:c r="U344" t="str">
        <x:v>9bdaa8a6db23e6a933aaab0dec5436a82c02b3f4744e4c934ee3271014407665</x:v>
      </x:c>
      <x:c r="V344" t="str">
        <x:v>observed=82a1427b89994b8aff21d1511ee35e4ca771809541ff883faa21797767589141; calibration=e998b413c855363ddec1a05e2d06ed9a58bd63b8fcdb5fd1c8f45c5d50674b1f</x:v>
      </x:c>
    </x:row>
    <x:row r="345" ht="15" hidden="0" customHeight="1">
      <x:c r="A345" t="str">
        <x:v>ipta-batch02-20260909-J2010-1323-J2010-1323-run01</x:v>
      </x:c>
      <x:c r="B345" t="str">
        <x:v>J2010-1323</x:v>
      </x:c>
      <x:c r="C345" t="str">
        <x:v>IPTA DR2 Version B TDB; circular search</x:v>
      </x:c>
      <x:c r="D345" t="str">
        <x:v>NO_TRIGGER</x:v>
      </x:c>
      <x:c r="E345" s="23" t="n">
        <x:v>52.443874627836735</x:v>
      </x:c>
      <x:c r="F345" t="str">
        <x:v>Strongest eligible grid peak; candidate status is separate</x:v>
      </x:c>
      <x:c r="G345" s="24" t="n">
        <x:v>0.24438874757228113</x:v>
      </x:c>
      <x:c r="H345" s="24" t="n">
        <x:v>19.7303100141679</x:v>
      </x:c>
      <x:c r="I345" s="24" t="n">
        <x:v>26.518328837792946</x:v>
      </x:c>
      <x:c r="J345" s="25" t="n">
        <x:v>8057</x:v>
      </x:c>
      <x:c r="K345" s="25" t="n">
        <x:v>465</x:v>
      </x:c>
      <x:c r="L345" s="24" t="n">
        <x:v>30</x:v>
      </x:c>
      <x:c r="M345" s="24" t="n">
        <x:v>1347.807577935404</x:v>
      </x:c>
      <x:c r="N345" s="25" t="n">
        <x:v>441</x:v>
      </x:c>
      <x:c r="O345" s="25" t="n">
        <x:v>10</x:v>
      </x:c>
      <x:c r="P345" s="24" t="n">
        <x:v>0.4416164871947682</x:v>
      </x:c>
      <x:c r="Q345" t="str">
        <x:v>Fixed released EFAC/EQUAD/ECORR plus 44 red and 44 DM Fourier pairs; TEMPO2 epoch convention. Conditional Gaussian fixed covariance/design; 1.0% union-bound allowance for at most 13 fixed grids. 95% detection probability; circular on-grid signal; fixed published noise; not a posterior upper limit</x:v>
      </x:c>
      <x:c r="R345"/>
      <x:c r="S345" t="str">
        <x:v>Preserve consumed record; new data/scope requires a new ID</x:v>
      </x:c>
      <x:c r="T345" t="str">
        <x:v>../Project Recherche Data/ipta-batch02-20260909/executions/ipta-batch02-20260909-J2010-1323/J2010-1323/run01/result.json</x:v>
      </x:c>
      <x:c r="U345" t="str">
        <x:v>1a9cf2f6072fe94dae7f11d0acc3abed814850f063dfa136c3d98958fb8d6c64</x:v>
      </x:c>
      <x:c r="V345" t="str">
        <x:v>observed=21ca773cb6089b7c0065ddcadf20c185b6ed6452c646efc137da2a6895dc057f; calibration=06583626988839616e9901c682000fabe1f5d34c637c533e4c0a36111fb1e1bc</x:v>
      </x:c>
    </x:row>
    <x:row r="346" ht="15" hidden="0" customHeight="1">
      <x:c r="A346" t="str">
        <x:v>ipta-hold-release-20260909-J1843-1113-J1843-1113-run01</x:v>
      </x:c>
      <x:c r="B346" t="str">
        <x:v>J1843-1113</x:v>
      </x:c>
      <x:c r="C346" t="str">
        <x:v>IPTA DR2 Version B TDB; circular search</x:v>
      </x:c>
      <x:c r="D346" t="str">
        <x:v>NO_TRIGGER</x:v>
      </x:c>
      <x:c r="E346" s="23" t="n">
        <x:v>43.51806933266783</x:v>
      </x:c>
      <x:c r="F346" t="str">
        <x:v>Strongest eligible grid peak; candidate status is separate</x:v>
      </x:c>
      <x:c r="G346" s="24" t="n">
        <x:v>0.43997047917839194</x:v>
      </x:c>
      <x:c r="H346" s="24" t="n">
        <x:v>12.13984480812449</x:v>
      </x:c>
      <x:c r="I346" s="24" t="n">
        <x:v>27.147387482768885</x:v>
      </x:c>
      <x:c r="J346" s="25" t="n">
        <x:v>224</x:v>
      </x:c>
      <x:c r="K346" s="25" t="n">
        <x:v>219</x:v>
      </x:c>
      <x:c r="L346" s="24" t="n">
        <x:v>30</x:v>
      </x:c>
      <x:c r="M346" s="24" t="n">
        <x:v>1836.4625258385822</x:v>
      </x:c>
      <x:c r="N346" s="25" t="n">
        <x:v>604</x:v>
      </x:c>
      <x:c r="O346" s="25" t="n">
        <x:v>11</x:v>
      </x:c>
      <x:c r="P346" s="24" t="n">
        <x:v>0.9600139384389315</x:v>
      </x:c>
      <x:c r="Q346" t="str">
        <x:v>Fixed released EFAC/EQUAD/ECORR plus 61 red and 61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46"/>
      <x:c r="S346" t="str">
        <x:v>Preserve consumed record; new data/scope requires a new ID</x:v>
      </x:c>
      <x:c r="T346" t="str">
        <x:v>../Project Recherche Data/ipta-hold-release-20260909/executions/ipta-hold-release-20260909-J1843-1113/J1843-1113/run01/result.json</x:v>
      </x:c>
      <x:c r="U346" t="str">
        <x:v>b997fae14d1769fe04951e89d9e9d69ea1d962f437318283f32ad2d52c759945</x:v>
      </x:c>
      <x:c r="V346" t="str">
        <x:v>observed=4256df003158179bc8cccae9661dbece8c34aff97fd584d6cc0f1056ae27bd6a; calibration=e6c9d5f313ed60afe9859effbecfa0bc3ab5919f55c2142d9c01c772b0219fbe</x:v>
      </x:c>
    </x:row>
    <x:row r="347" ht="15" hidden="0" customHeight="1">
      <x:c r="A347" t="str">
        <x:v>ipta-hold-release-20260909-J0711-6830-J0711-6830-run01</x:v>
      </x:c>
      <x:c r="B347" t="str">
        <x:v>J0711-6830</x:v>
      </x:c>
      <x:c r="C347" t="str">
        <x:v>IPTA DR2 Version B TDB; circular search</x:v>
      </x:c>
      <x:c r="D347" t="str">
        <x:v>NO_TRIGGER</x:v>
      </x:c>
      <x:c r="E347" s="23" t="n">
        <x:v>1677.6651061417094</x:v>
      </x:c>
      <x:c r="F347" t="str">
        <x:v>Strongest eligible grid peak; candidate status is separate</x:v>
      </x:c>
      <x:c r="G347" s="24" t="n">
        <x:v>0.7559732558865615</x:v>
      </x:c>
      <x:c r="H347" s="24" t="n">
        <x:v>20.29945522195412</x:v>
      </x:c>
      <x:c r="I347" s="24" t="n">
        <x:v>28.209033506756374</x:v>
      </x:c>
      <x:c r="J347" s="25" t="n">
        <x:v>507</x:v>
      </x:c>
      <x:c r="K347" s="25" t="n">
        <x:v>323</x:v>
      </x:c>
      <x:c r="L347" s="24" t="n">
        <x:v>30</x:v>
      </x:c>
      <x:c r="M347" s="24" t="n">
        <x:v>2000</x:v>
      </x:c>
      <x:c r="N347" s="25" t="n">
        <x:v>1027</x:v>
      </x:c>
      <x:c r="O347" s="25" t="n">
        <x:v>9</x:v>
      </x:c>
      <x:c r="P347" s="24" t="n">
        <x:v>0.9657028449487268</x:v>
      </x:c>
      <x:c r="Q347" t="str">
        <x:v>Fixed released EFAC/EQUAD/ECORR plus 104 red and 104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47"/>
      <x:c r="S347" t="str">
        <x:v>Preserve consumed record; new data/scope requires a new ID</x:v>
      </x:c>
      <x:c r="T347" t="str">
        <x:v>../Project Recherche Data/ipta-hold-release-20260909/executions/ipta-hold-release-20260909-J0711-6830/J0711-6830/run01/result.json</x:v>
      </x:c>
      <x:c r="U347" t="str">
        <x:v>9adecb045da01e862b97f686e0eb0972c05138263104b7259101c58b58f04b2e</x:v>
      </x:c>
      <x:c r="V347" t="str">
        <x:v>observed=7398ea00f9c78b6ab1ddaa4239d179344ee582e3be3f08b3ad676986e7d0d16b; calibration=6b826d310edb751599ea41864b82097fce5382309b063c674ab48d9f3e2efde8</x:v>
      </x:c>
    </x:row>
    <x:row r="348" ht="15" hidden="0" customHeight="1">
      <x:c r="A348" t="str">
        <x:v>ipta-hold-release-20260909-J1911+1347-J1911+1347-run01</x:v>
      </x:c>
      <x:c r="B348" t="str">
        <x:v>J1911+1347</x:v>
      </x:c>
      <x:c r="C348" t="str">
        <x:v>IPTA DR2 Version B TDB; circular search</x:v>
      </x:c>
      <x:c r="D348" t="str">
        <x:v>NO_TRIGGER</x:v>
      </x:c>
      <x:c r="E348" s="23" t="n">
        <x:v>39.137547560084485</x:v>
      </x:c>
      <x:c r="F348" t="str">
        <x:v>Strongest eligible grid peak; candidate status is separate</x:v>
      </x:c>
      <x:c r="G348" s="24" t="n">
        <x:v>0.5464994650760154</x:v>
      </x:c>
      <x:c r="H348" s="24" t="n">
        <x:v>10.261059709667473</x:v>
      </x:c>
      <x:c r="I348" s="24" t="n">
        <x:v>26.545356276126395</x:v>
      </x:c>
      <x:c r="J348" s="25" t="n">
        <x:v>140</x:v>
      </x:c>
      <x:c r="K348" s="25" t="n">
        <x:v>138</x:v>
      </x:c>
      <x:c r="L348" s="24" t="n">
        <x:v>30</x:v>
      </x:c>
      <x:c r="M348" s="24" t="n">
        <x:v>1365.9004098469486</x:v>
      </x:c>
      <x:c r="N348" s="25" t="n">
        <x:v>447</x:v>
      </x:c>
      <x:c r="O348" s="25" t="n">
        <x:v>7</x:v>
      </x:c>
      <x:c r="P348" s="24" t="n">
        <x:v>1.1253808648319588</x:v>
      </x:c>
      <x:c r="Q348" t="str">
        <x:v>Fixed released EFAC/EQUAD/ECORR plus 45 red and 45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48"/>
      <x:c r="S348" t="str">
        <x:v>Preserve consumed record; new data/scope requires a new ID</x:v>
      </x:c>
      <x:c r="T348" t="str">
        <x:v>../Project Recherche Data/ipta-hold-release-20260909/executions/ipta-hold-release-20260909-J1911+1347/J1911+1347/run01/result.json</x:v>
      </x:c>
      <x:c r="U348" t="str">
        <x:v>2c2f8e1e0331adde8af5b97de4531140af909645d5928681bab8fc3812b34414</x:v>
      </x:c>
      <x:c r="V348" t="str">
        <x:v>observed=1b4efa62b7581d8c084ae002ef895aa9db9568f3a538f03cd8752ee103ffdbdf; calibration=0972b607ddc380f6de57d8d36992b1f8980899f14ee962abc6f3725d63e955bd</x:v>
      </x:c>
    </x:row>
    <x:row r="349" ht="15" hidden="0" customHeight="1">
      <x:c r="A349" t="str">
        <x:v>ipta-hold-release-20260909-J1730-2304-J1730-2304-run01</x:v>
      </x:c>
      <x:c r="B349" t="str">
        <x:v>J1730-2304</x:v>
      </x:c>
      <x:c r="C349" t="str">
        <x:v>IPTA DR2 Version B TDB; circular search</x:v>
      </x:c>
      <x:c r="D349" t="str">
        <x:v>NO_TRIGGER</x:v>
      </x:c>
      <x:c r="E349" s="23" t="n">
        <x:v>51.34308284438481</x:v>
      </x:c>
      <x:c r="F349" t="str">
        <x:v>Strongest eligible grid peak; candidate status is separate</x:v>
      </x:c>
      <x:c r="G349" s="24" t="n">
        <x:v>0.4139561213806173</x:v>
      </x:c>
      <x:c r="H349" s="24" t="n">
        <x:v>14.068416641085346</x:v>
      </x:c>
      <x:c r="I349" s="24" t="n">
        <x:v>28.55016998343894</x:v>
      </x:c>
      <x:c r="J349" s="25" t="n">
        <x:v>646</x:v>
      </x:c>
      <x:c r="K349" s="25" t="n">
        <x:v>487</x:v>
      </x:c>
      <x:c r="L349" s="24" t="n">
        <x:v>30</x:v>
      </x:c>
      <x:c r="M349" s="24" t="n">
        <x:v>2000</x:v>
      </x:c>
      <x:c r="N349" s="25" t="n">
        <x:v>1218</x:v>
      </x:c>
      <x:c r="O349" s="25" t="n">
        <x:v>14</x:v>
      </x:c>
      <x:c r="P349" s="24" t="n">
        <x:v>0.8790945384667632</x:v>
      </x:c>
      <x:c r="Q349" t="str">
        <x:v>Fixed released EFAC/EQUAD/ECORR plus 123 red and 123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49"/>
      <x:c r="S349" t="str">
        <x:v>Preserve consumed record; new data/scope requires a new ID</x:v>
      </x:c>
      <x:c r="T349" t="str">
        <x:v>../Project Recherche Data/ipta-hold-release-20260909/executions/ipta-hold-release-20260909-J1730-2304/J1730-2304/run01/result.json</x:v>
      </x:c>
      <x:c r="U349" t="str">
        <x:v>b6b1ab4283926af929d396814db2cf55c2d7cb4e4a3093300090be13d3f7c41e</x:v>
      </x:c>
      <x:c r="V349" t="str">
        <x:v>observed=bbed32abac9120eb1d275d86fdf991381647303e4063c4acfd5f120b9fdd9e50; calibration=ba15913921469ffc57329244abfd96ba6f6c2f5ef105c3ffa8eaa73744206e35</x:v>
      </x:c>
    </x:row>
    <x:row r="350" ht="15" hidden="0" customHeight="1">
      <x:c r="A350" t="str">
        <x:v>ipta-hold-release-20260909-J2124-3358-J2124-3358-run01</x:v>
      </x:c>
      <x:c r="B350" t="str">
        <x:v>J2124-3358</x:v>
      </x:c>
      <x:c r="C350" t="str">
        <x:v>IPTA DR2 Version B TDB; circular search</x:v>
      </x:c>
      <x:c r="D350" t="str">
        <x:v>NO_TRIGGER</x:v>
      </x:c>
      <x:c r="E350" s="23" t="n">
        <x:v>162.15085751443092</x:v>
      </x:c>
      <x:c r="F350" t="str">
        <x:v>Strongest eligible grid peak; candidate status is separate</x:v>
      </x:c>
      <x:c r="G350" s="24" t="n">
        <x:v>0.48147113388746965</x:v>
      </x:c>
      <x:c r="H350" s="24" t="n">
        <x:v>8.736750877674417</x:v>
      </x:c>
      <x:c r="I350" s="24" t="n">
        <x:v>28.52205873105922</x:v>
      </x:c>
      <x:c r="J350" s="25" t="n">
        <x:v>1182</x:v>
      </x:c>
      <x:c r="K350" s="25" t="n">
        <x:v>905</x:v>
      </x:c>
      <x:c r="L350" s="24" t="n">
        <x:v>30</x:v>
      </x:c>
      <x:c r="M350" s="24" t="n">
        <x:v>2000</x:v>
      </x:c>
      <x:c r="N350" s="25" t="n">
        <x:v>1201</x:v>
      </x:c>
      <x:c r="O350" s="25" t="n">
        <x:v>14</x:v>
      </x:c>
      <x:c r="P350" s="24" t="n">
        <x:v>1.0210310225630508</x:v>
      </x:c>
      <x:c r="Q350" t="str">
        <x:v>Fixed released EFAC/EQUAD/ECORR plus 121 red and 121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50"/>
      <x:c r="S350" t="str">
        <x:v>Preserve consumed record; new data/scope requires a new ID</x:v>
      </x:c>
      <x:c r="T350" t="str">
        <x:v>../Project Recherche Data/ipta-hold-release-20260909/executions/ipta-hold-release-20260909-J2124-3358/J2124-3358/run01/result.json</x:v>
      </x:c>
      <x:c r="U350" t="str">
        <x:v>3fe19b3c785f70fc7327e2f05e8af9588c486a160ef9d2582e08bdf746a0759f</x:v>
      </x:c>
      <x:c r="V350" t="str">
        <x:v>observed=9a0b784244474665f7cf1eb7098282a4a7dfd44a47eb4b92da1b2dd9370d238a; calibration=04e34c786b8deb8602dca5ec1cca81e187db20347845aa0b6f01eb73b2c34c65</x:v>
      </x:c>
    </x:row>
    <x:row r="351" ht="15" hidden="0" customHeight="1">
      <x:c r="A351" t="str">
        <x:v>ipta-hold-release-20260909-J1744-1134-J1744-1134-run01</x:v>
      </x:c>
      <x:c r="B351" t="str">
        <x:v>J1744-1134</x:v>
      </x:c>
      <x:c r="C351" t="str">
        <x:v>IPTA DR2 Version B TDB; circular search</x:v>
      </x:c>
      <x:c r="D351" t="str">
        <x:v>NO_TRIGGER</x:v>
      </x:c>
      <x:c r="E351" s="23" t="n">
        <x:v>72.7428989232113</x:v>
      </x:c>
      <x:c r="F351" t="str">
        <x:v>Strongest eligible grid peak; candidate status is separate</x:v>
      </x:c>
      <x:c r="G351" s="24" t="n">
        <x:v>0.124236371845831</x:v>
      </x:c>
      <x:c r="H351" s="24" t="n">
        <x:v>23.807817164472045</x:v>
      </x:c>
      <x:c r="I351" s="24" t="n">
        <x:v>28.51036767480435</x:v>
      </x:c>
      <x:c r="J351" s="25" t="n">
        <x:v>9834</x:v>
      </x:c>
      <x:c r="K351" s="25" t="n">
        <x:v>964</x:v>
      </x:c>
      <x:c r="L351" s="24" t="n">
        <x:v>30</x:v>
      </x:c>
      <x:c r="M351" s="24" t="n">
        <x:v>2000</x:v>
      </x:c>
      <x:c r="N351" s="25" t="n">
        <x:v>1194</x:v>
      </x:c>
      <x:c r="O351" s="25" t="n">
        <x:v>12</x:v>
      </x:c>
      <x:c r="P351" s="24" t="n">
        <x:v>0.17796704092406343</x:v>
      </x:c>
      <x:c r="Q351" t="str">
        <x:v>Fixed released EFAC/EQUAD/ECORR plus 121 red and 121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51"/>
      <x:c r="S351" t="str">
        <x:v>Preserve consumed record; new data/scope requires a new ID</x:v>
      </x:c>
      <x:c r="T351" t="str">
        <x:v>../Project Recherche Data/ipta-hold-release-20260909/executions/ipta-hold-release-20260909-J1744-1134/J1744-1134/run01/result.json</x:v>
      </x:c>
      <x:c r="U351" t="str">
        <x:v>6b7ca0b4ed61fef47d85b9f5670a44251401c8e862377eb069760af14cf08977</x:v>
      </x:c>
      <x:c r="V351" t="str">
        <x:v>observed=c9e7df2c969d8d6c4e0a40bd619830d8f6ede6b914dd026f6b14f15747488377; calibration=e881fa156122233cf16a70265c7861ae46a630106b167307a9ed7f95165be373</x:v>
      </x:c>
    </x:row>
    <x:row r="352" ht="15" hidden="0" customHeight="1">
      <x:c r="A352" t="str">
        <x:v>ipta-hold-release-20260909-J1939+2134-J1939+2134-run01</x:v>
      </x:c>
      <x:c r="B352" t="str">
        <x:v>J1939+2134</x:v>
      </x:c>
      <x:c r="C352" t="str">
        <x:v>IPTA DR2 Version B TDB; circular search</x:v>
      </x:c>
      <x:c r="D352" t="str">
        <x:v>NO_TRIGGER</x:v>
      </x:c>
      <x:c r="E352" s="23" t="n">
        <x:v>81.97666008104419</x:v>
      </x:c>
      <x:c r="F352" t="str">
        <x:v>Strongest eligible grid peak; candidate status is separate</x:v>
      </x:c>
      <x:c r="G352" s="24" t="n">
        <x:v>0.030033402011811382</x:v>
      </x:c>
      <x:c r="H352" s="24" t="n">
        <x:v>18.53792916065681</x:v>
      </x:c>
      <x:c r="I352" s="24" t="n">
        <x:v>29.29431603153865</x:v>
      </x:c>
      <x:c r="J352" s="25" t="n">
        <x:v>13659</x:v>
      </x:c>
      <x:c r="K352" s="25" t="n">
        <x:v>2388</x:v>
      </x:c>
      <x:c r="L352" s="24" t="n">
        <x:v>30</x:v>
      </x:c>
      <x:c r="M352" s="24" t="n">
        <x:v>2000</x:v>
      </x:c>
      <x:c r="N352" s="25" t="n">
        <x:v>1767</x:v>
      </x:c>
      <x:c r="O352" s="25" t="n">
        <x:v>9</x:v>
      </x:c>
      <x:c r="P352" s="24" t="n">
        <x:v>0.04861655592175798</x:v>
      </x:c>
      <x:c r="Q352" t="str">
        <x:v>Fixed released EFAC/EQUAD/ECORR plus 120 red and 120 DM Fourier pairs; TEMPO2 epoch convention. Conditional Gaussian fixed covariance/design; 1.0% union-bound allowance for at most 13 fixed grids. 95% detection probability; circular on-grid signal; fixed published noise; not a posterior upper limit Historical PAR summary differs; independent fixed-model likelihood verified; historical-model reproduction is not claimed.</x:v>
      </x:c>
      <x:c r="R352"/>
      <x:c r="S352" t="str">
        <x:v>Preserve consumed record; new data/scope requires a new ID</x:v>
      </x:c>
      <x:c r="T352" t="str">
        <x:v>../Project Recherche Data/ipta-hold-release-20260909/executions/ipta-hold-release-20260909-J1939+2134/J1939+2134/run01/result.json</x:v>
      </x:c>
      <x:c r="U352" t="str">
        <x:v>b4490b706cb5c86e3d06436e5e633e33f24f3e9154fa57ed7b5425e5f5b1e031</x:v>
      </x:c>
      <x:c r="V352" t="str">
        <x:v>observed=454e7e457722e1f686b88571dd0058212c21a6b4d97a028c3a40e27674d7f2f3; calibration=e1fe77c33dd8671dd51521a3875617cdbc57af45b769c70ac802eb67110b402f</x:v>
      </x:c>
    </x:row>
  </x:sheetData>
  <x:conditionalFormatting sqref="D2:D17">
    <x:cfRule type="containsText" dxfId="4" priority="1" operator="containsText" text="DATA_GAP"/>
    <x:cfRule type="containsText" dxfId="5" priority="2" operator="containsText" text="OPEN"/>
    <x:cfRule type="containsText" dxfId="6" priority="3" operator="containsText" text="FAIL_PRESERVED"/>
    <x:cfRule type="containsText" dxfId="7" priority="4" operator="containsText" text="RETAINED_FIT_BOUNDARY"/>
  </x:conditionalFormatting>
  <x:conditionalFormatting sqref="A2:A17">
    <x:cfRule type="duplicateValues" dxfId="13" priority="5"/>
  </x:conditionalFormatting>
  <x:pageMargins left="0.7" right="0.7" top="0.75" bottom="0.75" header="0.3" footer="0.3"/>
  <x:tableParts count="1">
    <x:tablePart xmlns:r="http://schemas.openxmlformats.org/officeDocument/2006/relationships" r:id="R0d6b0fd0bd7845f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6" hidden="0" customWidth="1"/>
    <x:col min="2" max="2" width="15" hidden="0" customWidth="1"/>
    <x:col min="3" max="3" width="25" hidden="0" customWidth="1"/>
    <x:col min="4" max="4" width="30" hidden="0" customWidth="1"/>
    <x:col min="5" max="5" width="25" hidden="0" customWidth="1"/>
    <x:col min="6" max="6" width="75" hidden="0" customWidth="1"/>
    <x:col min="7" max="7" width="75" hidden="0" customWidth="1"/>
    <x:col min="8" max="8" width="85" hidden="0" customWidth="1"/>
    <x:col min="9" max="9" width="68" hidden="0" customWidth="1"/>
  </x:cols>
  <x:sheetData>
    <x:row r="1" ht="42" customHeight="1">
      <x:c r="A1" s="6" t="str">
        <x:v>Work ID</x:v>
      </x:c>
      <x:c r="B1" s="6" t="str">
        <x:v>Date</x:v>
      </x:c>
      <x:c r="C1" s="6" t="str">
        <x:v>Work type</x:v>
      </x:c>
      <x:c r="D1" s="6" t="str">
        <x:v>Target / scope</x:v>
      </x:c>
      <x:c r="E1" s="6" t="str">
        <x:v>Status</x:v>
      </x:c>
      <x:c r="F1" s="6" t="str">
        <x:v>Recorded outcome</x:v>
      </x:c>
      <x:c r="G1" s="6" t="str">
        <x:v>Next action / closure</x:v>
      </x:c>
      <x:c r="H1" s="6" t="str">
        <x:v>Evidence file</x:v>
      </x:c>
      <x:c r="I1" s="6" t="str">
        <x:v>Evidence SHA-256</x:v>
      </x:c>
    </x:row>
    <x:row r="2" ht="15" hidden="0" customHeight="1">
      <x:c r="A2" s="3" t="str">
        <x:v>REHAB-01-04</x:v>
      </x:c>
      <x:c r="B2" s="12" t="n">
        <x:v>46272</x:v>
      </x:c>
      <x:c r="C2" s="3" t="str">
        <x:v>Engineering</x:v>
      </x:c>
      <x:c r="D2" s="3" t="str">
        <x:v>Runtime / development</x:v>
      </x:c>
      <x:c r="E2" s="3" t="str">
        <x:v>COMPLETE</x:v>
      </x:c>
      <x:c r="F2" s="3" t="str">
        <x:v>Recovery, input setup, localized repairs and development fixtures complete</x:v>
      </x:c>
      <x:c r="G2" s="3" t="str">
        <x:v>Use pinned Intel runtime; preserve fixtures</x:v>
      </x:c>
      <x:c r="H2" s="3" t="str">
        <x:v>./docs/REHABILITATION_STATUS_2026-09-07.md</x:v>
      </x:c>
      <x:c r="I2" s="3" t="str">
        <x:v>2e53780e31d0c9aecfa69b032e47d8e520de183bbd8e0ab8516757e7957560f3</x:v>
      </x:c>
    </x:row>
    <x:row r="3" ht="15" hidden="0" customHeight="1">
      <x:c r="A3" s="3" t="str">
        <x:v>QUALIFICATION-01</x:v>
      </x:c>
      <x:c r="B3" s="12" t="n">
        <x:v>46273</x:v>
      </x:c>
      <x:c r="C3" s="3" t="str">
        <x:v>Synthetic qualification</x:v>
      </x:c>
      <x:c r="D3" s="3" t="str">
        <x:v>344 cases</x:v>
      </x:c>
      <x:c r="E3" s="3" t="str">
        <x:v>FAIL_PRESERVED</x:v>
      </x:c>
      <x:c r="F3" s="3" t="str">
        <x:v>20 of 21 gates passed; annual solver disagreement failed</x:v>
      </x:c>
      <x:c r="G3" s="3" t="str">
        <x:v>Consumed attempt; retain original failure</x:v>
      </x:c>
      <x:c r="H3" s="3" t="str">
        <x:v>./results/qualification/stage5-terminal-verification.json</x:v>
      </x:c>
      <x:c r="I3" s="3" t="str">
        <x:v>e30394ceedfefe3a5b70b46974976cbd0147f2f00131b45d68485ea30aa0636a</x:v>
      </x:c>
    </x:row>
    <x:row r="4" ht="15" hidden="0" customHeight="1">
      <x:c r="A4" s="3" t="str">
        <x:v>ANNUAL-REPAIR</x:v>
      </x:c>
      <x:c r="B4" s="12" t="n">
        <x:v>46273</x:v>
      </x:c>
      <x:c r="C4" s="3" t="str">
        <x:v>Engineering</x:v>
      </x:c>
      <x:c r="D4" s="3" t="str">
        <x:v>Annual solver</x:v>
      </x:c>
      <x:c r="E4" s="3" t="str">
        <x:v>COMPLETE</x:v>
      </x:c>
      <x:c r="F4" s="3" t="str">
        <x:v>Signal/Jacobian and spin-phase precision repairs retained</x:v>
      </x:c>
      <x:c r="G4" s="3" t="str">
        <x:v>Preserve qualified numerical implementation</x:v>
      </x:c>
      <x:c r="H4" s="3" t="str">
        <x:v>./docs/SOLVER_PRECISION_REPAIR_2026-09-08.md</x:v>
      </x:c>
      <x:c r="I4" s="3" t="str">
        <x:v>44aa6275dfa8da5cf94209a8b3873ac7bd7ee67409a7efe9400622789749c64f</x:v>
      </x:c>
    </x:row>
    <x:row r="5" ht="15" hidden="0" customHeight="1">
      <x:c r="A5" s="3" t="str">
        <x:v>QUALIFICATION-02</x:v>
      </x:c>
      <x:c r="B5" s="12" t="n">
        <x:v>46273</x:v>
      </x:c>
      <x:c r="C5" s="3" t="str">
        <x:v>Synthetic qualification</x:v>
      </x:c>
      <x:c r="D5" s="3" t="str">
        <x:v>344 cases</x:v>
      </x:c>
      <x:c r="E5" s="3" t="str">
        <x:v>PASS</x:v>
      </x:c>
      <x:c r="F5" s="3" t="str">
        <x:v>21 of 21 gates passed; 688 primary fits, 35 audits</x:v>
      </x:c>
      <x:c r="G5" s="3" t="str">
        <x:v>Consumed attempt; retain qualification scope</x:v>
      </x:c>
      <x:c r="H5" s="3" t="str">
        <x:v>./results/qualification/qualification02-terminal-verification.json</x:v>
      </x:c>
      <x:c r="I5" s="3" t="str">
        <x:v>396566833fb68ba1474aef75963ee984ed4f7b6e7a803ef0cc8e6640755f8b09</x:v>
      </x:c>
    </x:row>
    <x:row r="6" ht="15" hidden="0" customHeight="1">
      <x:c r="A6" s="3" t="str">
        <x:v>STAGE-06</x:v>
      </x:c>
      <x:c r="B6" s="12" t="n">
        <x:v>46273</x:v>
      </x:c>
      <x:c r="C6" s="3" t="str">
        <x:v>Engineering</x:v>
      </x:c>
      <x:c r="D6" s="3" t="str">
        <x:v>Operational release</x:v>
      </x:c>
      <x:c r="E6" s="3" t="str">
        <x:v>COMPLETE</x:v>
      </x:c>
      <x:c r="F6" s="3" t="str">
        <x:v>Canonical host/path release packaged and restored</x:v>
      </x:c>
      <x:c r="G6" s="3" t="str">
        <x:v>Different host or path needs environment binding</x:v>
      </x:c>
      <x:c r="H6" s="3" t="str">
        <x:v>./results/qualification/stage6-operational-verification.json</x:v>
      </x:c>
      <x:c r="I6" s="3" t="str">
        <x:v>ce750eeafbd9216d0fcc39c6ac3562efe5df254468ee9652152e4b1e01c6c527</x:v>
      </x:c>
    </x:row>
    <x:row r="7" ht="15" hidden="0" customHeight="1">
      <x:c r="A7" s="3" t="str">
        <x:v>B1257-INNER-INJECTIONS</x:v>
      </x:c>
      <x:c r="B7" s="12" t="n">
        <x:v>46273</x:v>
      </x:c>
      <x:c r="C7" s="3" t="str">
        <x:v>Simulation</x:v>
      </x:c>
      <x:c r="D7" s="3" t="str">
        <x:v>J1300+1240</x:v>
      </x:c>
      <x:c r="E7" s="3" t="str">
        <x:v>COMPLETE</x:v>
      </x:c>
      <x:c r="F7" s="3" t="str">
        <x:v>0 of 256 injections recovered the 3 µs inner planet</x:v>
      </x:c>
      <x:c r="G7" s="3" t="str">
        <x:v>Higher-precision observed data needed</x:v>
      </x:c>
      <x:c r="H7" s="3" t="str">
        <x:v>./results/observed/b1257-20260908-closeout.json</x:v>
      </x:c>
      <x:c r="I7" s="3" t="str">
        <x:v>947f3b92aec4134c9af5e40c22dd79d32e275b85e10e43a4557516a71f9e8c17</x:v>
      </x:c>
    </x:row>
    <x:row r="8" ht="15" hidden="0" customHeight="1">
      <x:c r="A8" s="3" t="str">
        <x:v>B1257-LARGE-INJECTIONS</x:v>
      </x:c>
      <x:c r="B8" s="12" t="n">
        <x:v>46273</x:v>
      </x:c>
      <x:c r="C8" s="3" t="str">
        <x:v>Simulation</x:v>
      </x:c>
      <x:c r="D8" s="3" t="str">
        <x:v>J1300+1240</x:v>
      </x:c>
      <x:c r="E8" s="3" t="str">
        <x:v>COMPLETE</x:v>
      </x:c>
      <x:c r="F8" s="3" t="str">
        <x:v>Both larger planets recovered in 31 of 32 simulations</x:v>
      </x:c>
      <x:c r="G8" s="3" t="str">
        <x:v>Retain the sampling/interference miss</x:v>
      </x:c>
      <x:c r="H8" s="3" t="str">
        <x:v>./results/observed/b1257-20260908-closeout.json</x:v>
      </x:c>
      <x:c r="I8" s="3" t="str">
        <x:v>947f3b92aec4134c9af5e40c22dd79d32e275b85e10e43a4557516a71f9e8c17</x:v>
      </x:c>
    </x:row>
    <x:row r="9" ht="15" hidden="0" customHeight="1">
      <x:c r="A9" s="3" t="str">
        <x:v>AUTO-CALIBRATION</x:v>
      </x:c>
      <x:c r="B9" s="12" t="n">
        <x:v>46273</x:v>
      </x:c>
      <x:c r="C9" s="3" t="str">
        <x:v>Engineering</x:v>
      </x:c>
      <x:c r="D9" s="3" t="str">
        <x:v>Prepared target profiles</x:v>
      </x:c>
      <x:c r="E9" s="3" t="str">
        <x:v>COMPLETE</x:v>
      </x:c>
      <x:c r="F9" s="3" t="str">
        <x:v>Automatic threshold, projection mask, sensitivity and cache reuse verified</x:v>
      </x:c>
      <x:c r="G9" s="3" t="str">
        <x:v>Reuse bound cache. Raw-radio ingestion and unknown-noise estimation are not implemented</x:v>
      </x:c>
      <x:c r="H9" s="3" t="str">
        <x:v>./results/calibration/automatic-calibration-20260908.json</x:v>
      </x:c>
      <x:c r="I9" s="3" t="str">
        <x:v>801eaa4f18d5d94866f88d3abc2ed8b0af91eee09925830b3610f9cc80454f08</x:v>
      </x:c>
    </x:row>
    <x:row r="10" ht="15" hidden="0" customHeight="1">
      <x:c r="A10" s="3" t="str">
        <x:v>MPTA-BATCH01</x:v>
      </x:c>
      <x:c r="B10" s="12" t="n">
        <x:v>46273</x:v>
      </x:c>
      <x:c r="C10" s="3" t="str">
        <x:v>Observed campaign</x:v>
      </x:c>
      <x:c r="D10" s="3" t="str">
        <x:v>10 original-search targets</x:v>
      </x:c>
      <x:c r="E10" s="3" t="str">
        <x:v>COMPLETE</x:v>
      </x:c>
      <x:c r="F10" s="3" t="str">
        <x:v>10 NO_TRIGGER; 0 candidates; 0 execution failures</x:v>
      </x:c>
      <x:c r="G10" s="3" t="str">
        <x:v>Retain 10 consumed run01 records</x:v>
      </x:c>
      <x:c r="H10" s="3" t="str">
        <x:v>./results/observed/mpta-batch01-20260908-closeout.json</x:v>
      </x:c>
      <x:c r="I10" s="3" t="str">
        <x:v>649746bc8ff24b5a7f7b0d381af7776ecda738806d84b51c5052e37a87b7b94f</x:v>
      </x:c>
    </x:row>
    <x:row r="11" ht="15" hidden="0" customHeight="1">
      <x:c r="A11" s="3" t="str">
        <x:v>M62H-DATA</x:v>
      </x:c>
      <x:c r="B11" s="12" t="n">
        <x:v>46273</x:v>
      </x:c>
      <x:c r="C11" s="3" t="str">
        <x:v>Data acquisition</x:v>
      </x:c>
      <x:c r="D11" s="3" t="str">
        <x:v>J1701-3006H</x:v>
      </x:c>
      <x:c r="E11" s="3" t="str">
        <x:v>OPEN</x:v>
      </x:c>
      <x:c r="F11" s="3" t="str">
        <x:v>Public TOA release not located; no observed scan</x:v>
      </x:c>
      <x:c r="G11" s="3" t="str">
        <x:v>Public release or separately authorized author request needed</x:v>
      </x:c>
      <x:c r="H11" s="3" t="str">
        <x:v>./docs/FIVE_COMPANION_BENCHMARK_2026-09-08.md</x:v>
      </x:c>
      <x:c r="I11" s="3" t="str">
        <x:v>008e94563206911c469376e9f6ed88dade61d3d5b7781ccba3f0aa6887d1c7ac</x:v>
      </x:c>
    </x:row>
    <x:row r="12" ht="15" hidden="0" customHeight="1">
      <x:c r="A12" s="3" t="str">
        <x:v>B1620-DATA-MODEL</x:v>
      </x:c>
      <x:c r="B12" s="12" t="n">
        <x:v>46273</x:v>
      </x:c>
      <x:c r="C12" s="3" t="str">
        <x:v>Data acquisition</x:v>
      </x:c>
      <x:c r="D12" s="3" t="str">
        <x:v>J1623-2631</x:v>
      </x:c>
      <x:c r="E12" s="3" t="str">
        <x:v>OPEN</x:v>
      </x:c>
      <x:c r="F12" s="3" t="str">
        <x:v>Long-span phase-connected TOAs not located; no observed scan</x:v>
      </x:c>
      <x:c r="G12" s="3" t="str">
        <x:v>Long-span TOAs and outer-orbit model needed</x:v>
      </x:c>
      <x:c r="H12" s="3" t="str">
        <x:v>./docs/FIVE_COMPANION_BENCHMARK_2026-09-08.md</x:v>
      </x:c>
      <x:c r="I12" s="3" t="str">
        <x:v>008e94563206911c469376e9f6ed88dade61d3d5b7781ccba3f0aa6887d1c7ac</x:v>
      </x:c>
    </x:row>
    <x:row r="13" ht="24" hidden="0" customHeight="1">
      <x:c r="A13" s="3" t="str">
        <x:v>LEGACY-ARCHIVE</x:v>
      </x:c>
      <x:c r="B13" s="12" t="n">
        <x:v>46272</x:v>
      </x:c>
      <x:c r="C13" s="3" t="str">
        <x:v>Historical archive</x:v>
      </x:c>
      <x:c r="D13" s="3" t="str">
        <x:v>Earlier Pilot 0/1 and recovery history</x:v>
      </x:c>
      <x:c r="E13" s="3" t="str">
        <x:v>RETAINED</x:v>
      </x:c>
      <x:c r="F13" s="3" t="str">
        <x:v>Pre-rehabilitation work remains in repository and recovery archives; not individually re-adjudicated here</x:v>
      </x:c>
      <x:c r="G13" s="3" t="str">
        <x:v>Consult archived results before repeating legacy work</x:v>
      </x:c>
      <x:c r="H13" s="3" t="str">
        <x:v>./docs/OPERATIONAL_REHABILITATION_ROADMAP_2026-09-07.md</x:v>
      </x:c>
      <x:c r="I13" s="3" t="str">
        <x:v>e1700af29e3765f4c376253c23c775d3354739e63b4b7b92b1dc17a1f6653295</x:v>
      </x:c>
    </x:row>
    <x:row r="14" ht="15" hidden="0" customHeight="1">
      <x:c r="A14" t="str">
        <x:v>mpta-batch02-20260908-PREPARATION</x:v>
      </x:c>
      <x:c r="B14" s="22" t="n">
        <x:v>46273.459621967595</x:v>
      </x:c>
      <x:c r="C14" t="str">
        <x:v>Batch preparation</x:v>
      </x:c>
      <x:c r="D14" t="str">
        <x:v>4 MPTA original-search targets</x:v>
      </x:c>
      <x:c r="E14" t="str">
        <x:v>PREPARED</x:v>
      </x:c>
      <x:c r="F14" t="str">
        <x:v>4 profiles and calibrations frozen; no observed scan during preparation</x:v>
      </x:c>
      <x:c r="G14" t="str">
        <x:v>Launch is a separate operator instruction</x:v>
      </x:c>
      <x:c r="H14" t="str">
        <x:v>../Project Recherche Data/mpta-batch02-20260908/execution-freeze.json</x:v>
      </x:c>
      <x:c r="I14" t="str">
        <x:v>053c52d73da09bf55b22e1c51b258063cff11d6bbd05e5f13827db1625bbd740</x:v>
      </x:c>
    </x:row>
    <x:row r="15" ht="15" hidden="0" customHeight="1">
      <x:c r="A15" t="str">
        <x:v>mpta-batch02-20260908-CLOSEOUT</x:v>
      </x:c>
      <x:c r="B15" s="22" t="n">
        <x:v>46273.463565150465</x:v>
      </x:c>
      <x:c r="C15" t="str">
        <x:v>Observed campaign</x:v>
      </x:c>
      <x:c r="D15" t="str">
        <x:v>4 MPTA original-search targets</x:v>
      </x:c>
      <x:c r="E15" t="str">
        <x:v>COMPLETE</x:v>
      </x:c>
      <x:c r="F15" t="str">
        <x:v>4 terminal results; 0 incomplete attempts</x:v>
      </x:c>
      <x:c r="G15" t="str">
        <x:v>All run01 destinations consumed; preserve evidence</x:v>
      </x:c>
      <x:c r="H15" t="str">
        <x:v>../Project Recherche Data/mpta-batch02-20260908/execution-freeze.json</x:v>
      </x:c>
      <x:c r="I15" t="str">
        <x:v>053c52d73da09bf55b22e1c51b258063cff11d6bbd05e5f13827db1625bbd740</x:v>
      </x:c>
    </x:row>
    <x:row r="16" ht="15" hidden="0" customHeight="1">
      <x:c r="A16" t="str">
        <x:v>chromatic-support-20260908-J1721-2457</x:v>
      </x:c>
      <x:c r="B16" s="22" t="n">
        <x:v>46273.478752546296</x:v>
      </x:c>
      <x:c r="C16" t="str">
        <x:v>Calibration and injection</x:v>
      </x:c>
      <x:c r="D16" t="str">
        <x:v>J1721-2457</x:v>
      </x:c>
      <x:c r="E16" t="str">
        <x:v>DEVELOPMENT COMPLETE</x:v>
      </x:c>
      <x:c r="F16" t="str">
        <x:v>93/96 simulated recoveries. Median amplitude cost +0.01%.</x:v>
      </x:c>
      <x:c r="G16" t="str">
        <x:v>Fixed published chromatic shapes/noise. Observed search awaits separate launch.</x:v>
      </x:c>
      <x:c r="H16" t="str">
        <x:v>../Project Recherche Data/chromatic-support-20260908/J1721-2457/diagnosis.json</x:v>
      </x:c>
      <x:c r="I16" t="str">
        <x:v>903e1b5aae187ba5e74c325e83a9469628f2e32ef7d531b74ec6f27e857215eb</x:v>
      </x:c>
    </x:row>
    <x:row r="17" ht="15" hidden="0" customHeight="1">
      <x:c r="A17" t="str">
        <x:v>chromatic-support-20260908-J1832-0836</x:v>
      </x:c>
      <x:c r="B17" s="22" t="n">
        <x:v>46273.478752546296</x:v>
      </x:c>
      <x:c r="C17" t="str">
        <x:v>Calibration and injection</x:v>
      </x:c>
      <x:c r="D17" t="str">
        <x:v>J1832-0836</x:v>
      </x:c>
      <x:c r="E17" t="str">
        <x:v>DEVELOPMENT COMPLETE</x:v>
      </x:c>
      <x:c r="F17" t="str">
        <x:v>95/96 simulated recoveries. Median amplitude cost +0.06%.</x:v>
      </x:c>
      <x:c r="G17" t="str">
        <x:v>Fixed published chromatic shapes/noise. Observed search awaits separate launch.</x:v>
      </x:c>
      <x:c r="H17" t="str">
        <x:v>../Project Recherche Data/chromatic-support-20260908/J1832-0836/diagnosis.json</x:v>
      </x:c>
      <x:c r="I17" t="str">
        <x:v>4b9f594801c7a7a4650d14482be91b2a2471de205e1eae5769a99f111ba67195</x:v>
      </x:c>
    </x:row>
    <x:row r="18" ht="15" hidden="0" customHeight="1">
      <x:c r="A18" t="str">
        <x:v>chromatic-support-20260908-J1747-4036</x:v>
      </x:c>
      <x:c r="B18" s="22" t="n">
        <x:v>46273.478752546296</x:v>
      </x:c>
      <x:c r="C18" t="str">
        <x:v>Calibration and injection</x:v>
      </x:c>
      <x:c r="D18" t="str">
        <x:v>J1747-4036</x:v>
      </x:c>
      <x:c r="E18" t="str">
        <x:v>DEVELOPMENT COMPLETE</x:v>
      </x:c>
      <x:c r="F18" t="str">
        <x:v>92/96 simulated recoveries. Median amplitude cost +1.18%.</x:v>
      </x:c>
      <x:c r="G18" t="str">
        <x:v>Fixed published chromatic shapes/noise. Observed search awaits separate launch.</x:v>
      </x:c>
      <x:c r="H18" t="str">
        <x:v>../Project Recherche Data/chromatic-support-20260908/J1747-4036/diagnosis.json</x:v>
      </x:c>
      <x:c r="I18" t="str">
        <x:v>bd5ddda318ff85b7e9cdc39fbb3d7b661c3c30f072a3f1183a9695a745d32e45</x:v>
      </x:c>
    </x:row>
    <x:row r="19" ht="15" hidden="0" customHeight="1">
      <x:c r="A19" t="str">
        <x:v>chromatic-support-20260908-J1804-2858</x:v>
      </x:c>
      <x:c r="B19" s="22" t="n">
        <x:v>46273.478752546296</x:v>
      </x:c>
      <x:c r="C19" t="str">
        <x:v>Calibration and injection</x:v>
      </x:c>
      <x:c r="D19" t="str">
        <x:v>J1804-2858</x:v>
      </x:c>
      <x:c r="E19" t="str">
        <x:v>DEVELOPMENT COMPLETE</x:v>
      </x:c>
      <x:c r="F19" t="str">
        <x:v>93/96 simulated recoveries. Median amplitude cost +19.09%.</x:v>
      </x:c>
      <x:c r="G19" t="str">
        <x:v>Fixed published chromatic shapes/noise. Observed search awaits separate launch.</x:v>
      </x:c>
      <x:c r="H19" t="str">
        <x:v>../Project Recherche Data/chromatic-support-20260908/J1804-2858/diagnosis.json</x:v>
      </x:c>
      <x:c r="I19" t="str">
        <x:v>57d5d4aa9d7950d3a2bf9d672db649de1e4a310d47ce085aa0b125e0ae78acda</x:v>
      </x:c>
    </x:row>
    <x:row r="20" ht="15" hidden="0" customHeight="1">
      <x:c r="A20" t="str">
        <x:v>chromatic-support-20260908-PREPARATION</x:v>
      </x:c>
      <x:c r="B20" s="22" t="n">
        <x:v>46273.48638511574</x:v>
      </x:c>
      <x:c r="C20" t="str">
        <x:v>Batch preparation</x:v>
      </x:c>
      <x:c r="D20" t="str">
        <x:v>4 MPTA original-search targets</x:v>
      </x:c>
      <x:c r="E20" t="str">
        <x:v>PREPARED</x:v>
      </x:c>
      <x:c r="F20" t="str">
        <x:v>4 profiles and calibrations frozen; no observed scan during preparation</x:v>
      </x:c>
      <x:c r="G20" t="str">
        <x:v>Launch is a separate operator instruction</x:v>
      </x:c>
      <x:c r="H20" t="str">
        <x:v>../Project Recherche Data/chromatic-support-20260908/execution-freeze.json</x:v>
      </x:c>
      <x:c r="I20" t="str">
        <x:v>590ae1615ec52411f2388ae9322d162362effcf0771a6e0a5ffe7f1632e3b251</x:v>
      </x:c>
    </x:row>
    <x:row r="21" ht="15" hidden="0" customHeight="1">
      <x:c r="A21" t="str">
        <x:v>chromatic-support-20260908-CLOSEOUT</x:v>
      </x:c>
      <x:c r="B21" s="22" t="n">
        <x:v>46273.48758986111</x:v>
      </x:c>
      <x:c r="C21" t="str">
        <x:v>Observed campaign</x:v>
      </x:c>
      <x:c r="D21" t="str">
        <x:v>4 MPTA original-search targets</x:v>
      </x:c>
      <x:c r="E21" t="str">
        <x:v>COMPLETE</x:v>
      </x:c>
      <x:c r="F21" t="str">
        <x:v>4 terminal results; 0 incomplete attempts</x:v>
      </x:c>
      <x:c r="G21" t="str">
        <x:v>All run01 destinations consumed; preserve evidence</x:v>
      </x:c>
      <x:c r="H21" t="str">
        <x:v>../Project Recherche Data/chromatic-support-20260908/execution-freeze.json</x:v>
      </x:c>
      <x:c r="I21" t="str">
        <x:v>590ae1615ec52411f2388ae9322d162362effcf0771a6e0a5ffe7f1632e3b251</x:v>
      </x:c>
    </x:row>
    <x:row r="22" ht="15" hidden="0" customHeight="1">
      <x:c r="A22" t="str">
        <x:v>tpa-batch01-20260908-PREPARATION</x:v>
      </x:c>
      <x:c r="B22" s="22" t="n">
        <x:v>46273.50470444444</x:v>
      </x:c>
      <x:c r="C22" t="str">
        <x:v>Inventory and calibration</x:v>
      </x:c>
      <x:c r="D22" t="str">
        <x:v>597 TPA pulsars</x:v>
      </x:c>
      <x:c r="E22" t="str">
        <x:v>PREPARED</x:v>
      </x:c>
      <x:c r="F22" t="str">
        <x:v>191 eligible; 5 calibrated; 186 remaining. No observed searches.</x:v>
      </x:c>
      <x:c r="G22" t="str">
        <x:v>Prior coverage checked for three named samples. Kerr 151 membership unresolved.</x:v>
      </x:c>
      <x:c r="H22" t="str">
        <x:v>../Project Recherche Data/tpa-batch01-20260908/preparation.json</x:v>
      </x:c>
      <x:c r="I22" t="str">
        <x:v>d4461a0f3ec5d4b9d8dc794202115f491abd6bb7c1e2420385f16a9632d74e2b</x:v>
      </x:c>
    </x:row>
    <x:row r="23" ht="15" hidden="0" customHeight="1">
      <x:c r="A23" t="str">
        <x:v>SOURCE-QUEUE-20260908</x:v>
      </x:c>
      <x:c r="B23" s="22" t="n">
        <x:v>46274.4491784375</x:v>
      </x:c>
      <x:c r="C23" t="str">
        <x:v>Future sources</x:v>
      </x:c>
      <x:c r="D23" t="str">
        <x:v>IPTA DR2 Version B</x:v>
      </x:c>
      <x:c r="E23" t="str">
        <x:v>IPTA CAMPAIGN COMPLETE</x:v>
      </x:c>
      <x:c r="F23" t="str">
        <x:v>13/13 searched; 0 preparation gaps</x:v>
      </x:c>
      <x:c r="G23" t="str">
        <x:v>Preserve prior source searches and all exclusions</x:v>
      </x:c>
      <x:c r="H23" t="str">
        <x:v>./docs/FUTURE_DATA_SOURCES.md</x:v>
      </x:c>
      <x:c r="I23" t="str">
        <x:v>2a1860c3b5f11164d19b428e04228c970f894090e4e81e0d79afc50f1c06daa4</x:v>
      </x:c>
    </x:row>
    <x:row r="24" ht="15" hidden="0" customHeight="1">
      <x:c r="A24" t="str">
        <x:v>tpa-batch01-20260908-FREEZE</x:v>
      </x:c>
      <x:c r="B24" s="22" t="n">
        <x:v>46273.511372824076</x:v>
      </x:c>
      <x:c r="C24" t="str">
        <x:v>Batch preparation</x:v>
      </x:c>
      <x:c r="D24" t="str">
        <x:v>5 TPA original-search targets</x:v>
      </x:c>
      <x:c r="E24" t="str">
        <x:v>PREPARED</x:v>
      </x:c>
      <x:c r="F24" t="str">
        <x:v>5 profiles and calibrations frozen; no observed scan during preparation</x:v>
      </x:c>
      <x:c r="G24" t="str">
        <x:v>Launch is a separate operator instruction</x:v>
      </x:c>
      <x:c r="H24" t="str">
        <x:v>../Project Recherche Data/tpa-batch01-20260908/execution-freeze.json</x:v>
      </x:c>
      <x:c r="I24" t="str">
        <x:v>6630f6eda97bda4baf2395b16651e66dabf523c40e4b544f4c50c41396c7eda7</x:v>
      </x:c>
    </x:row>
    <x:row r="25" ht="15" hidden="0" customHeight="1">
      <x:c r="A25" t="str">
        <x:v>tpa-batch01-20260908-CLOSEOUT</x:v>
      </x:c>
      <x:c r="B25" s="22" t="n">
        <x:v>46273.512203900464</x:v>
      </x:c>
      <x:c r="C25" t="str">
        <x:v>Observed campaign</x:v>
      </x:c>
      <x:c r="D25" t="str">
        <x:v>5 TPA original-search targets</x:v>
      </x:c>
      <x:c r="E25" t="str">
        <x:v>COMPLETE</x:v>
      </x:c>
      <x:c r="F25" t="str">
        <x:v>5 terminal results; 0 incomplete attempts</x:v>
      </x:c>
      <x:c r="G25" t="str">
        <x:v>All run01 destinations consumed; preserve evidence</x:v>
      </x:c>
      <x:c r="H25" t="str">
        <x:v>../Project Recherche Data/tpa-batch01-20260908/execution-freeze.json</x:v>
      </x:c>
      <x:c r="I25" t="str">
        <x:v>6630f6eda97bda4baf2395b16651e66dabf523c40e4b544f4c50c41396c7eda7</x:v>
      </x:c>
    </x:row>
    <x:row r="26" ht="15" hidden="0" customHeight="1">
      <x:c r="A26" t="str">
        <x:v>tpa-batch02-20260908-PREPARATION</x:v>
      </x:c>
      <x:c r="B26" s="22" t="n">
        <x:v>46273.51657275463</x:v>
      </x:c>
      <x:c r="C26" t="str">
        <x:v>Inventory and calibration</x:v>
      </x:c>
      <x:c r="D26" t="str">
        <x:v>5 TPA targets</x:v>
      </x:c>
      <x:c r="E26" t="str">
        <x:v>PREPARED</x:v>
      </x:c>
      <x:c r="F26" t="str">
        <x:v>186 eligible; 5 calibrated; 181 remaining. No observed searches.</x:v>
      </x:c>
      <x:c r="G26" t="str">
        <x:v>Prior coverage checked for three named samples. Kerr 151 membership unresolved.</x:v>
      </x:c>
      <x:c r="H26" t="str">
        <x:v>../Project Recherche Data/tpa-batch02-20260908/preparation.json</x:v>
      </x:c>
      <x:c r="I26" t="str">
        <x:v>c10f5698cfb9abfc30c0386fd48b08daa03aac5be34254d5c13b87848cded341</x:v>
      </x:c>
    </x:row>
    <x:row r="27" ht="15" hidden="0" customHeight="1">
      <x:c r="A27" t="str">
        <x:v>tpa-batch02-20260908-FREEZE</x:v>
      </x:c>
      <x:c r="B27" s="22" t="n">
        <x:v>46273.51985034722</x:v>
      </x:c>
      <x:c r="C27" t="str">
        <x:v>Batch preparation</x:v>
      </x:c>
      <x:c r="D27" t="str">
        <x:v>5 TPA original-search targets</x:v>
      </x:c>
      <x:c r="E27" t="str">
        <x:v>PREPARED</x:v>
      </x:c>
      <x:c r="F27" t="str">
        <x:v>5 profiles and calibrations frozen; no observed scan during preparation</x:v>
      </x:c>
      <x:c r="G27" t="str">
        <x:v>Launch is a separate operator instruction</x:v>
      </x:c>
      <x:c r="H27" t="str">
        <x:v>../Project Recherche Data/tpa-batch02-20260908/execution-freeze.json</x:v>
      </x:c>
      <x:c r="I27" t="str">
        <x:v>cdbe429c2ef1d5917226c82bfe4460f212debf11c61ac2025db432e50ed91aae</x:v>
      </x:c>
    </x:row>
    <x:row r="28" ht="15" hidden="0" customHeight="1">
      <x:c r="A28" t="str">
        <x:v>tpa-batch02-20260908-CLOSEOUT</x:v>
      </x:c>
      <x:c r="B28" s="22" t="n">
        <x:v>46273.52081956019</x:v>
      </x:c>
      <x:c r="C28" t="str">
        <x:v>Observed campaign</x:v>
      </x:c>
      <x:c r="D28" t="str">
        <x:v>5 TPA original-search targets</x:v>
      </x:c>
      <x:c r="E28" t="str">
        <x:v>COMPLETE</x:v>
      </x:c>
      <x:c r="F28" t="str">
        <x:v>5 terminal results; 0 incomplete attempts</x:v>
      </x:c>
      <x:c r="G28" t="str">
        <x:v>All run01 destinations consumed; preserve evidence</x:v>
      </x:c>
      <x:c r="H28" t="str">
        <x:v>../Project Recherche Data/tpa-batch02-20260908/execution-freeze.json</x:v>
      </x:c>
      <x:c r="I28" t="str">
        <x:v>cdbe429c2ef1d5917226c82bfe4460f212debf11c61ac2025db432e50ed91aae</x:v>
      </x:c>
    </x:row>
    <x:row r="29" ht="15" hidden="0" customHeight="1">
      <x:c r="A29" t="str">
        <x:v>tpa-batch03-20260908-PREPARATION</x:v>
      </x:c>
      <x:c r="B29" s="22" t="n">
        <x:v>46273.529449918984</x:v>
      </x:c>
      <x:c r="C29" t="str">
        <x:v>Inventory and calibration</x:v>
      </x:c>
      <x:c r="D29" t="str">
        <x:v>25 TPA targets</x:v>
      </x:c>
      <x:c r="E29" t="str">
        <x:v>PREPARED</x:v>
      </x:c>
      <x:c r="F29" t="str">
        <x:v>181 eligible; 25 calibrated; 156 remaining. No observed searches.</x:v>
      </x:c>
      <x:c r="G29" t="str">
        <x:v>Prior coverage checked for three named samples. Kerr 151 membership unresolved.</x:v>
      </x:c>
      <x:c r="H29" t="str">
        <x:v>../Project Recherche Data/tpa-batch03-20260908/preparation.json</x:v>
      </x:c>
      <x:c r="I29" t="str">
        <x:v>268cf3b802951b0be60fb14b1d244bde4f4861b45a36db076a95f0662d86a4e4</x:v>
      </x:c>
    </x:row>
    <x:row r="30" ht="15" hidden="0" customHeight="1">
      <x:c r="A30" t="str">
        <x:v>tpa-batch03-20260908-FREEZE</x:v>
      </x:c>
      <x:c r="B30" s="22" t="n">
        <x:v>46273.52999190972</x:v>
      </x:c>
      <x:c r="C30" t="str">
        <x:v>Batch preparation</x:v>
      </x:c>
      <x:c r="D30" t="str">
        <x:v>25 TPA original-search targets</x:v>
      </x:c>
      <x:c r="E30" t="str">
        <x:v>PREPARED</x:v>
      </x:c>
      <x:c r="F30" t="str">
        <x:v>25 profiles and calibrations frozen; no observed scan during preparation</x:v>
      </x:c>
      <x:c r="G30" t="str">
        <x:v>Launch is a separate operator instruction</x:v>
      </x:c>
      <x:c r="H30" t="str">
        <x:v>../Project Recherche Data/tpa-batch03-20260908/execution-freeze.json</x:v>
      </x:c>
      <x:c r="I30" t="str">
        <x:v>8aadc6ef7e0a600a6b431922389b46ffd19a0775ba66d36e3e6d9046a020e578</x:v>
      </x:c>
    </x:row>
    <x:row r="31" ht="15" hidden="0" customHeight="1">
      <x:c r="A31" t="str">
        <x:v>tpa-batch03-20260908-CLOSEOUT</x:v>
      </x:c>
      <x:c r="B31" s="22" t="n">
        <x:v>46273.53218563658</x:v>
      </x:c>
      <x:c r="C31" t="str">
        <x:v>Observed campaign</x:v>
      </x:c>
      <x:c r="D31" t="str">
        <x:v>25 TPA original-search targets</x:v>
      </x:c>
      <x:c r="E31" t="str">
        <x:v>COMPLETE</x:v>
      </x:c>
      <x:c r="F31" t="str">
        <x:v>25 terminal results; 0 incomplete attempts</x:v>
      </x:c>
      <x:c r="G31" t="str">
        <x:v>All run01 destinations consumed; preserve evidence</x:v>
      </x:c>
      <x:c r="H31" t="str">
        <x:v>../Project Recherche Data/tpa-batch03-20260908/execution-freeze.json</x:v>
      </x:c>
      <x:c r="I31" t="str">
        <x:v>8aadc6ef7e0a600a6b431922389b46ffd19a0775ba66d36e3e6d9046a020e578</x:v>
      </x:c>
    </x:row>
    <x:row r="32" ht="15" hidden="0" customHeight="1">
      <x:c r="A32" t="str">
        <x:v>tpa-batch04-20260908-PREPARATION</x:v>
      </x:c>
      <x:c r="B32" s="22" t="n">
        <x:v>46273.53682685185</x:v>
      </x:c>
      <x:c r="C32" t="str">
        <x:v>Inventory and calibration</x:v>
      </x:c>
      <x:c r="D32" t="str">
        <x:v>25 TPA targets</x:v>
      </x:c>
      <x:c r="E32" t="str">
        <x:v>PREPARED</x:v>
      </x:c>
      <x:c r="F32" t="str">
        <x:v>156 eligible; 25 calibrated; 131 remaining. No observed searches.</x:v>
      </x:c>
      <x:c r="G32" t="str">
        <x:v>Prior coverage checked for three named samples. Kerr 151 membership unresolved.</x:v>
      </x:c>
      <x:c r="H32" t="str">
        <x:v>../Project Recherche Data/tpa-batch04-20260908/preparation.json</x:v>
      </x:c>
      <x:c r="I32" t="str">
        <x:v>363b353f07a5ebb36d580c8a63564f529ca17252ee0830348634da342db5f222</x:v>
      </x:c>
    </x:row>
    <x:row r="33" ht="15" hidden="0" customHeight="1">
      <x:c r="A33" t="str">
        <x:v>tpa-batch04-20260908-FREEZE</x:v>
      </x:c>
      <x:c r="B33" s="22" t="n">
        <x:v>46273.53747319445</x:v>
      </x:c>
      <x:c r="C33" t="str">
        <x:v>Batch preparation</x:v>
      </x:c>
      <x:c r="D33" t="str">
        <x:v>25 TPA original-search targets</x:v>
      </x:c>
      <x:c r="E33" t="str">
        <x:v>PREPARED</x:v>
      </x:c>
      <x:c r="F33" t="str">
        <x:v>25 profiles and calibrations frozen; no observed scan during preparation</x:v>
      </x:c>
      <x:c r="G33" t="str">
        <x:v>Launch is a separate operator instruction</x:v>
      </x:c>
      <x:c r="H33" t="str">
        <x:v>../Project Recherche Data/tpa-batch04-20260908/execution-freeze.json</x:v>
      </x:c>
      <x:c r="I33" t="str">
        <x:v>3b99e28b8bdd9e8f07d4ac97df10850b0781a0a6f32b0dc5fbbf798cb06f3133</x:v>
      </x:c>
    </x:row>
    <x:row r="34" ht="15" hidden="0" customHeight="1">
      <x:c r="A34" t="str">
        <x:v>tpa-batch04-20260908-CLOSEOUT</x:v>
      </x:c>
      <x:c r="B34" s="22" t="n">
        <x:v>46273.53965219908</x:v>
      </x:c>
      <x:c r="C34" t="str">
        <x:v>Observed campaign</x:v>
      </x:c>
      <x:c r="D34" t="str">
        <x:v>25 TPA original-search targets</x:v>
      </x:c>
      <x:c r="E34" t="str">
        <x:v>COMPLETE</x:v>
      </x:c>
      <x:c r="F34" t="str">
        <x:v>25 terminal results; 0 incomplete attempts</x:v>
      </x:c>
      <x:c r="G34" t="str">
        <x:v>All run01 destinations consumed; preserve evidence</x:v>
      </x:c>
      <x:c r="H34" t="str">
        <x:v>../Project Recherche Data/tpa-batch04-20260908/execution-freeze.json</x:v>
      </x:c>
      <x:c r="I34" t="str">
        <x:v>3b99e28b8bdd9e8f07d4ac97df10850b0781a0a6f32b0dc5fbbf798cb06f3133</x:v>
      </x:c>
    </x:row>
    <x:row r="35" ht="15" hidden="0" customHeight="1">
      <x:c r="A35" t="str">
        <x:v>tpa-batch05-20260908-PREPARATION</x:v>
      </x:c>
      <x:c r="B35" s="22" t="n">
        <x:v>46273.5479937037</x:v>
      </x:c>
      <x:c r="C35" t="str">
        <x:v>Inventory and calibration</x:v>
      </x:c>
      <x:c r="D35" t="str">
        <x:v>25 TPA targets</x:v>
      </x:c>
      <x:c r="E35" t="str">
        <x:v>PREPARED</x:v>
      </x:c>
      <x:c r="F35" t="str">
        <x:v>131 eligible; 25 calibrated; 106 remaining. No observed searches.</x:v>
      </x:c>
      <x:c r="G35" t="str">
        <x:v>Prior coverage checked for three named samples. Kerr 151 membership unresolved.</x:v>
      </x:c>
      <x:c r="H35" t="str">
        <x:v>../Project Recherche Data/tpa-batch05-20260908/preparation.json</x:v>
      </x:c>
      <x:c r="I35" t="str">
        <x:v>e1b24b4c3b15f73c88b6b2ef8c9e010550d532396b563bfc10daa1ca951e70e8</x:v>
      </x:c>
    </x:row>
    <x:row r="36" ht="15" hidden="0" customHeight="1">
      <x:c r="A36" t="str">
        <x:v>tpa-batch05-20260908-FREEZE</x:v>
      </x:c>
      <x:c r="B36" s="22" t="n">
        <x:v>46273.54867765046</x:v>
      </x:c>
      <x:c r="C36" t="str">
        <x:v>Batch preparation</x:v>
      </x:c>
      <x:c r="D36" t="str">
        <x:v>25 TPA original-search targets</x:v>
      </x:c>
      <x:c r="E36" t="str">
        <x:v>PREPARED</x:v>
      </x:c>
      <x:c r="F36" t="str">
        <x:v>25 profiles and calibrations frozen; no observed scan during preparation</x:v>
      </x:c>
      <x:c r="G36" t="str">
        <x:v>Launch is a separate operator instruction</x:v>
      </x:c>
      <x:c r="H36" t="str">
        <x:v>../Project Recherche Data/tpa-batch05-20260908/execution-freeze.json</x:v>
      </x:c>
      <x:c r="I36" t="str">
        <x:v>052f2bc0e8eb653c3f27b429f51e21550e947c88b8b58f4359d6f419e8b49e04</x:v>
      </x:c>
    </x:row>
    <x:row r="37" ht="15" hidden="0" customHeight="1">
      <x:c r="A37" t="str">
        <x:v>tpa-batch05-20260908-CLOSEOUT</x:v>
      </x:c>
      <x:c r="B37" s="22" t="n">
        <x:v>46273.55069708333</x:v>
      </x:c>
      <x:c r="C37" t="str">
        <x:v>Observed campaign</x:v>
      </x:c>
      <x:c r="D37" t="str">
        <x:v>25 TPA original-search targets</x:v>
      </x:c>
      <x:c r="E37" t="str">
        <x:v>COMPLETE</x:v>
      </x:c>
      <x:c r="F37" t="str">
        <x:v>25 terminal results; 0 incomplete attempts</x:v>
      </x:c>
      <x:c r="G37" t="str">
        <x:v>All run01 destinations consumed; preserve evidence</x:v>
      </x:c>
      <x:c r="H37" t="str">
        <x:v>../Project Recherche Data/tpa-batch05-20260908/execution-freeze.json</x:v>
      </x:c>
      <x:c r="I37" t="str">
        <x:v>052f2bc0e8eb653c3f27b429f51e21550e947c88b8b58f4359d6f419e8b49e04</x:v>
      </x:c>
    </x:row>
    <x:row r="38" ht="15" hidden="0" customHeight="1">
      <x:c r="A38" t="str">
        <x:v>tpa-batch06-20260908-PREPARATION</x:v>
      </x:c>
      <x:c r="B38" s="22" t="n">
        <x:v>46273.555078680554</x:v>
      </x:c>
      <x:c r="C38" t="str">
        <x:v>Inventory and calibration</x:v>
      </x:c>
      <x:c r="D38" t="str">
        <x:v>25 TPA targets</x:v>
      </x:c>
      <x:c r="E38" t="str">
        <x:v>PREPARED</x:v>
      </x:c>
      <x:c r="F38" t="str">
        <x:v>106 eligible; 25 calibrated; 81 remaining. No observed searches.</x:v>
      </x:c>
      <x:c r="G38" t="str">
        <x:v>Prior coverage checked for three named samples. Kerr 151 membership unresolved.</x:v>
      </x:c>
      <x:c r="H38" t="str">
        <x:v>../Project Recherche Data/tpa-batch06-20260908/preparation.json</x:v>
      </x:c>
      <x:c r="I38" t="str">
        <x:v>fb0f014c5cdce41ad26c01a158aab7d12473b731f987932815ecd0b3d9902989</x:v>
      </x:c>
    </x:row>
    <x:row r="39" ht="15" hidden="0" customHeight="1">
      <x:c r="A39" t="str">
        <x:v>tpa-batch06-20260908-FREEZE</x:v>
      </x:c>
      <x:c r="B39" s="22" t="n">
        <x:v>46273.55556342593</x:v>
      </x:c>
      <x:c r="C39" t="str">
        <x:v>Batch preparation</x:v>
      </x:c>
      <x:c r="D39" t="str">
        <x:v>25 TPA original-search targets</x:v>
      </x:c>
      <x:c r="E39" t="str">
        <x:v>PREPARED</x:v>
      </x:c>
      <x:c r="F39" t="str">
        <x:v>25 profiles and calibrations frozen; no observed scan during preparation</x:v>
      </x:c>
      <x:c r="G39" t="str">
        <x:v>Launch is a separate operator instruction</x:v>
      </x:c>
      <x:c r="H39" t="str">
        <x:v>../Project Recherche Data/tpa-batch06-20260908/execution-freeze.json</x:v>
      </x:c>
      <x:c r="I39" t="str">
        <x:v>d9295792b210df248cce4b41f2363f7033a5a1c6254dea66da14ccad56bfa1f7</x:v>
      </x:c>
    </x:row>
    <x:row r="40" ht="15" hidden="0" customHeight="1">
      <x:c r="A40" t="str">
        <x:v>tpa-batch06-20260908-CLOSEOUT</x:v>
      </x:c>
      <x:c r="B40" s="22" t="n">
        <x:v>46273.55728743056</x:v>
      </x:c>
      <x:c r="C40" t="str">
        <x:v>Observed campaign</x:v>
      </x:c>
      <x:c r="D40" t="str">
        <x:v>25 TPA original-search targets</x:v>
      </x:c>
      <x:c r="E40" t="str">
        <x:v>COMPLETE</x:v>
      </x:c>
      <x:c r="F40" t="str">
        <x:v>25 terminal results; 0 incomplete attempts</x:v>
      </x:c>
      <x:c r="G40" t="str">
        <x:v>All run01 destinations consumed; preserve evidence</x:v>
      </x:c>
      <x:c r="H40" t="str">
        <x:v>../Project Recherche Data/tpa-batch06-20260908/execution-freeze.json</x:v>
      </x:c>
      <x:c r="I40" t="str">
        <x:v>d9295792b210df248cce4b41f2363f7033a5a1c6254dea66da14ccad56bfa1f7</x:v>
      </x:c>
    </x:row>
    <x:row r="41" ht="15" hidden="0" customHeight="1">
      <x:c r="A41" t="str">
        <x:v>tpa-batch07-20260908-PREPARATION</x:v>
      </x:c>
      <x:c r="B41" s="22" t="n">
        <x:v>46273.56113584491</x:v>
      </x:c>
      <x:c r="C41" t="str">
        <x:v>Inventory and calibration</x:v>
      </x:c>
      <x:c r="D41" t="str">
        <x:v>25 TPA targets</x:v>
      </x:c>
      <x:c r="E41" t="str">
        <x:v>PREPARED</x:v>
      </x:c>
      <x:c r="F41" t="str">
        <x:v>81 eligible; 25 calibrated; 56 remaining. No observed searches.</x:v>
      </x:c>
      <x:c r="G41" t="str">
        <x:v>Prior coverage checked for three named samples. Kerr 151 membership unresolved.</x:v>
      </x:c>
      <x:c r="H41" t="str">
        <x:v>../Project Recherche Data/tpa-batch07-20260908/preparation.json</x:v>
      </x:c>
      <x:c r="I41" t="str">
        <x:v>cff980ac51d01e447044bfc2eda802103214e4c838abafdb49eaf1b01f592d07</x:v>
      </x:c>
    </x:row>
    <x:row r="42" ht="15" hidden="0" customHeight="1">
      <x:c r="A42" t="str">
        <x:v>tpa-batch07-20260908-FREEZE</x:v>
      </x:c>
      <x:c r="B42" s="22" t="n">
        <x:v>46273.56184112268</x:v>
      </x:c>
      <x:c r="C42" t="str">
        <x:v>Batch preparation</x:v>
      </x:c>
      <x:c r="D42" t="str">
        <x:v>25 TPA original-search targets</x:v>
      </x:c>
      <x:c r="E42" t="str">
        <x:v>PREPARED</x:v>
      </x:c>
      <x:c r="F42" t="str">
        <x:v>25 profiles and calibrations frozen; no observed scan during preparation</x:v>
      </x:c>
      <x:c r="G42" t="str">
        <x:v>Launch is a separate operator instruction</x:v>
      </x:c>
      <x:c r="H42" t="str">
        <x:v>../Project Recherche Data/tpa-batch07-20260908/execution-freeze.json</x:v>
      </x:c>
      <x:c r="I42" t="str">
        <x:v>d8a94e60ec339cdd8b87ffc723a4bed6c86a7dc0df3c970c184ea9da5a01bc6f</x:v>
      </x:c>
    </x:row>
    <x:row r="43" ht="15" hidden="0" customHeight="1">
      <x:c r="A43" t="str">
        <x:v>tpa-batch07-20260908-CLOSEOUT</x:v>
      </x:c>
      <x:c r="B43" s="22" t="n">
        <x:v>46273.56545015046</x:v>
      </x:c>
      <x:c r="C43" t="str">
        <x:v>Observed campaign</x:v>
      </x:c>
      <x:c r="D43" t="str">
        <x:v>25 TPA original-search targets</x:v>
      </x:c>
      <x:c r="E43" t="str">
        <x:v>COMPLETE</x:v>
      </x:c>
      <x:c r="F43" t="str">
        <x:v>25 terminal results; 0 incomplete attempts</x:v>
      </x:c>
      <x:c r="G43" t="str">
        <x:v>All run01 destinations consumed; preserve evidence</x:v>
      </x:c>
      <x:c r="H43" t="str">
        <x:v>../Project Recherche Data/tpa-batch07-20260908/execution-freeze.json</x:v>
      </x:c>
      <x:c r="I43" t="str">
        <x:v>d8a94e60ec339cdd8b87ffc723a4bed6c86a7dc0df3c970c184ea9da5a01bc6f</x:v>
      </x:c>
    </x:row>
    <x:row r="44" ht="15" hidden="0" customHeight="1">
      <x:c r="A44" t="str">
        <x:v>tpa-batch08-20260908-PREPARATION</x:v>
      </x:c>
      <x:c r="B44" s="22" t="n">
        <x:v>46273.56955864583</x:v>
      </x:c>
      <x:c r="C44" t="str">
        <x:v>Inventory and calibration</x:v>
      </x:c>
      <x:c r="D44" t="str">
        <x:v>25 TPA targets</x:v>
      </x:c>
      <x:c r="E44" t="str">
        <x:v>PREPARED</x:v>
      </x:c>
      <x:c r="F44" t="str">
        <x:v>56 eligible; 25 calibrated; 31 remaining. No observed searches.</x:v>
      </x:c>
      <x:c r="G44" t="str">
        <x:v>Prior coverage checked for three named samples. Kerr 151 membership unresolved.</x:v>
      </x:c>
      <x:c r="H44" t="str">
        <x:v>../Project Recherche Data/tpa-batch08-20260908/preparation.json</x:v>
      </x:c>
      <x:c r="I44" t="str">
        <x:v>798d29c62dc58cca99d75e27426804f7eced7309c1b2969cb1591756fcbfe321</x:v>
      </x:c>
    </x:row>
    <x:row r="45" ht="15" hidden="0" customHeight="1">
      <x:c r="A45" t="str">
        <x:v>tpa-batch08-20260908-FREEZE</x:v>
      </x:c>
      <x:c r="B45" s="22" t="n">
        <x:v>46273.57022662037</x:v>
      </x:c>
      <x:c r="C45" t="str">
        <x:v>Batch preparation</x:v>
      </x:c>
      <x:c r="D45" t="str">
        <x:v>25 TPA original-search targets</x:v>
      </x:c>
      <x:c r="E45" t="str">
        <x:v>PREPARED</x:v>
      </x:c>
      <x:c r="F45" t="str">
        <x:v>25 profiles and calibrations frozen; no observed scan during preparation</x:v>
      </x:c>
      <x:c r="G45" t="str">
        <x:v>Launch is a separate operator instruction</x:v>
      </x:c>
      <x:c r="H45" t="str">
        <x:v>../Project Recherche Data/tpa-batch08-20260908/execution-freeze.json</x:v>
      </x:c>
      <x:c r="I45" t="str">
        <x:v>e1dbee7a7634e25871b71f86344ec294056950765431609bfb2bc5b03719e619</x:v>
      </x:c>
    </x:row>
    <x:row r="46" ht="15" hidden="0" customHeight="1">
      <x:c r="A46" t="str">
        <x:v>tpa-batch08-20260908-CLOSEOUT</x:v>
      </x:c>
      <x:c r="B46" s="22" t="n">
        <x:v>46273.57269636574</x:v>
      </x:c>
      <x:c r="C46" t="str">
        <x:v>Observed campaign</x:v>
      </x:c>
      <x:c r="D46" t="str">
        <x:v>25 TPA original-search targets</x:v>
      </x:c>
      <x:c r="E46" t="str">
        <x:v>COMPLETE</x:v>
      </x:c>
      <x:c r="F46" t="str">
        <x:v>25 terminal results; 0 incomplete attempts</x:v>
      </x:c>
      <x:c r="G46" t="str">
        <x:v>All run01 destinations consumed; preserve evidence</x:v>
      </x:c>
      <x:c r="H46" t="str">
        <x:v>../Project Recherche Data/tpa-batch08-20260908/execution-freeze.json</x:v>
      </x:c>
      <x:c r="I46" t="str">
        <x:v>e1dbee7a7634e25871b71f86344ec294056950765431609bfb2bc5b03719e619</x:v>
      </x:c>
    </x:row>
    <x:row r="47" ht="15" hidden="0" customHeight="1">
      <x:c r="A47" t="str">
        <x:v>tpa-batch09-20260908-PREPARATION</x:v>
      </x:c>
      <x:c r="B47" s="22" t="n">
        <x:v>46273.5798830787</x:v>
      </x:c>
      <x:c r="C47" t="str">
        <x:v>Inventory and calibration</x:v>
      </x:c>
      <x:c r="D47" t="str">
        <x:v>25 TPA targets</x:v>
      </x:c>
      <x:c r="E47" t="str">
        <x:v>PREPARED</x:v>
      </x:c>
      <x:c r="F47" t="str">
        <x:v>31 eligible; 25 calibrated; 6 remaining. No observed searches.</x:v>
      </x:c>
      <x:c r="G47" t="str">
        <x:v>Prior coverage checked for three named samples. Kerr 151 membership unresolved.</x:v>
      </x:c>
      <x:c r="H47" t="str">
        <x:v>../Project Recherche Data/tpa-batch09-20260908/preparation.json</x:v>
      </x:c>
      <x:c r="I47" t="str">
        <x:v>c455275a0c4f020ab032bca2f91f7000b567239bfb649bca40bdb10a24bda032</x:v>
      </x:c>
    </x:row>
    <x:row r="48" ht="15" hidden="0" customHeight="1">
      <x:c r="A48" t="str">
        <x:v>tpa-batch09-20260908-FREEZE</x:v>
      </x:c>
      <x:c r="B48" s="22" t="n">
        <x:v>46273.58057119213</x:v>
      </x:c>
      <x:c r="C48" t="str">
        <x:v>Batch preparation</x:v>
      </x:c>
      <x:c r="D48" t="str">
        <x:v>25 TPA original-search targets</x:v>
      </x:c>
      <x:c r="E48" t="str">
        <x:v>PREPARED</x:v>
      </x:c>
      <x:c r="F48" t="str">
        <x:v>25 profiles and calibrations frozen; no observed scan during preparation</x:v>
      </x:c>
      <x:c r="G48" t="str">
        <x:v>Launch is a separate operator instruction</x:v>
      </x:c>
      <x:c r="H48" t="str">
        <x:v>../Project Recherche Data/tpa-batch09-20260908/execution-freeze.json</x:v>
      </x:c>
      <x:c r="I48" t="str">
        <x:v>8b02ea0fbe577570b7fd3ec799203571783a2c83d655a2487112c32bb85202c4</x:v>
      </x:c>
    </x:row>
    <x:row r="49" ht="15" hidden="0" customHeight="1">
      <x:c r="A49" t="str">
        <x:v>tpa-batch09-20260908-CLOSEOUT</x:v>
      </x:c>
      <x:c r="B49" s="22" t="n">
        <x:v>46273.582947442126</x:v>
      </x:c>
      <x:c r="C49" t="str">
        <x:v>Observed campaign</x:v>
      </x:c>
      <x:c r="D49" t="str">
        <x:v>25 TPA original-search targets</x:v>
      </x:c>
      <x:c r="E49" t="str">
        <x:v>COMPLETE</x:v>
      </x:c>
      <x:c r="F49" t="str">
        <x:v>25 terminal results; 0 incomplete attempts</x:v>
      </x:c>
      <x:c r="G49" t="str">
        <x:v>All run01 destinations consumed; preserve evidence</x:v>
      </x:c>
      <x:c r="H49" t="str">
        <x:v>../Project Recherche Data/tpa-batch09-20260908/execution-freeze.json</x:v>
      </x:c>
      <x:c r="I49" t="str">
        <x:v>8b02ea0fbe577570b7fd3ec799203571783a2c83d655a2487112c32bb85202c4</x:v>
      </x:c>
    </x:row>
    <x:row r="50" ht="15" hidden="0" customHeight="1">
      <x:c r="A50" t="str">
        <x:v>tpa-batch10-20260908-PREPARATION</x:v>
      </x:c>
      <x:c r="B50" s="22" t="n">
        <x:v>46273.58781025463</x:v>
      </x:c>
      <x:c r="C50" t="str">
        <x:v>Inventory and calibration</x:v>
      </x:c>
      <x:c r="D50" t="str">
        <x:v>6 TPA targets</x:v>
      </x:c>
      <x:c r="E50" t="str">
        <x:v>PREPARED</x:v>
      </x:c>
      <x:c r="F50" t="str">
        <x:v>6 eligible; 6 calibrated; 0 remaining. No observed searches.</x:v>
      </x:c>
      <x:c r="G50" t="str">
        <x:v>Prior coverage checked for three named samples. Kerr 151 membership unresolved.</x:v>
      </x:c>
      <x:c r="H50" t="str">
        <x:v>../Project Recherche Data/tpa-batch10-20260908/preparation.json</x:v>
      </x:c>
      <x:c r="I50" t="str">
        <x:v>cc844e71a1cb8f185750749a2eb781032c024004cac3fec30ad50e06e85c6be8</x:v>
      </x:c>
    </x:row>
    <x:row r="51" ht="15" hidden="0" customHeight="1">
      <x:c r="A51" t="str">
        <x:v>tpa-batch10-20260908-FREEZE</x:v>
      </x:c>
      <x:c r="B51" s="22" t="n">
        <x:v>46273.58831787037</x:v>
      </x:c>
      <x:c r="C51" t="str">
        <x:v>Batch preparation</x:v>
      </x:c>
      <x:c r="D51" t="str">
        <x:v>6 TPA original-search targets</x:v>
      </x:c>
      <x:c r="E51" t="str">
        <x:v>PREPARED</x:v>
      </x:c>
      <x:c r="F51" t="str">
        <x:v>6 profiles and calibrations frozen; no observed scan during preparation</x:v>
      </x:c>
      <x:c r="G51" t="str">
        <x:v>Launch is a separate operator instruction</x:v>
      </x:c>
      <x:c r="H51" t="str">
        <x:v>../Project Recherche Data/tpa-batch10-20260908/execution-freeze.json</x:v>
      </x:c>
      <x:c r="I51" t="str">
        <x:v>0900d7dd4cf0efe90b586719e4b5bdd5c99f5232e9b8b97419ded2342c459e69</x:v>
      </x:c>
    </x:row>
    <x:row r="52" ht="15" hidden="0" customHeight="1">
      <x:c r="A52" t="str">
        <x:v>tpa-batch10-20260908-CLOSEOUT</x:v>
      </x:c>
      <x:c r="B52" s="22" t="n">
        <x:v>46273.58915302083</x:v>
      </x:c>
      <x:c r="C52" t="str">
        <x:v>Observed campaign</x:v>
      </x:c>
      <x:c r="D52" t="str">
        <x:v>6 TPA original-search targets</x:v>
      </x:c>
      <x:c r="E52" t="str">
        <x:v>COMPLETE</x:v>
      </x:c>
      <x:c r="F52" t="str">
        <x:v>6 terminal results; 0 incomplete attempts</x:v>
      </x:c>
      <x:c r="G52" t="str">
        <x:v>All run01 destinations consumed; preserve evidence</x:v>
      </x:c>
      <x:c r="H52" t="str">
        <x:v>../Project Recherche Data/tpa-batch10-20260908/execution-freeze.json</x:v>
      </x:c>
      <x:c r="I52" t="str">
        <x:v>0900d7dd4cf0efe90b586719e4b5bdd5c99f5232e9b8b97419ded2342c459e69</x:v>
      </x:c>
    </x:row>
    <x:row r="53" ht="15" hidden="0" customHeight="1">
      <x:c r="A53" t="str">
        <x:v>ng15-batch01-20260908-PREPARATION</x:v>
      </x:c>
      <x:c r="B53" s="22" t="n">
        <x:v>46273.610730625</x:v>
      </x:c>
      <x:c r="C53" t="str">
        <x:v>Inventory and calibration</x:v>
      </x:c>
      <x:c r="D53" t="str">
        <x:v>16 NG15 targets</x:v>
      </x:c>
      <x:c r="E53" t="str">
        <x:v>PREPARED</x:v>
      </x:c>
      <x:c r="F53" t="str">
        <x:v>16 eligible; 16 calibrated; 0 remaining. No observed searches.</x:v>
      </x:c>
      <x:c r="G53" t="str">
        <x:v>Six targets new to Recherche; ten have retained searches with other data.</x:v>
      </x:c>
      <x:c r="H53" t="str">
        <x:v>../Project Recherche Data/ng15-batch01-20260908/preparation.json</x:v>
      </x:c>
      <x:c r="I53" t="str">
        <x:v>0d4d89f0be2c56aef3f4119df60ff09144ce6282f590cba2caa9a744eadca1f7</x:v>
      </x:c>
    </x:row>
    <x:row r="54" ht="15" hidden="0" customHeight="1">
      <x:c r="A54" t="str">
        <x:v>ng15-batch01-20260908-FREEZE</x:v>
      </x:c>
      <x:c r="B54" s="22" t="n">
        <x:v>46273.61204574074</x:v>
      </x:c>
      <x:c r="C54" t="str">
        <x:v>Batch preparation</x:v>
      </x:c>
      <x:c r="D54" t="str">
        <x:v>16 NG15 original-search targets</x:v>
      </x:c>
      <x:c r="E54" t="str">
        <x:v>PREPARED</x:v>
      </x:c>
      <x:c r="F54" t="str">
        <x:v>16 profiles and calibrations frozen; no observed scan during preparation</x:v>
      </x:c>
      <x:c r="G54" t="str">
        <x:v>Preparation and execution authorized together</x:v>
      </x:c>
      <x:c r="H54" t="str">
        <x:v>../Project Recherche Data/ng15-batch01-20260908/execution-freeze.json</x:v>
      </x:c>
      <x:c r="I54" t="str">
        <x:v>d26357be7f077b5083d433777260d8fa011db0ef75f22e579a4211ca590aee25</x:v>
      </x:c>
    </x:row>
    <x:row r="55" ht="15" hidden="0" customHeight="1">
      <x:c r="A55" t="str">
        <x:v>ng15-batch01-20260908-CLOSEOUT</x:v>
      </x:c>
      <x:c r="B55" s="22" t="n">
        <x:v>46273.613593773145</x:v>
      </x:c>
      <x:c r="C55" t="str">
        <x:v>Observed campaign</x:v>
      </x:c>
      <x:c r="D55" t="str">
        <x:v>16 NG15 original-search targets</x:v>
      </x:c>
      <x:c r="E55" t="str">
        <x:v>COMPLETE</x:v>
      </x:c>
      <x:c r="F55" t="str">
        <x:v>16 terminal results; 0 incomplete attempts</x:v>
      </x:c>
      <x:c r="G55" t="str">
        <x:v>All run01 destinations consumed; preserve evidence</x:v>
      </x:c>
      <x:c r="H55" t="str">
        <x:v>../Project Recherche Data/ng15-batch01-20260908/execution-freeze.json</x:v>
      </x:c>
      <x:c r="I55" t="str">
        <x:v>d26357be7f077b5083d433777260d8fa011db0ef75f22e579a4211ca590aee25</x:v>
      </x:c>
    </x:row>
    <x:row r="56" ht="26.399999618530273" hidden="0" customHeight="1">
      <x:c r="A56" s="26" t="str">
        <x:v>J1453-20260908-BIO</x:v>
      </x:c>
      <x:c r="B56" s="29" t="n">
        <x:v>46273.61981469907</x:v>
      </x:c>
      <x:c r="C56" s="26" t="str">
        <x:v>Published context</x:v>
      </x:c>
      <x:c r="D56" s="26" t="str">
        <x:v>J1453+1902</x:v>
      </x:c>
      <x:c r="E56" s="26" t="str">
        <x:v>DOCUMENTED</x:v>
      </x:c>
      <x:c r="F56" s="26" t="str">
        <x:v>Solitary millisecond pulsar in Bootes. Spin 5.79 ms (173 Hz). Detected in Arecibo observations dated 1998-01-19; detailed paper in 2007.</x:v>
      </x:c>
      <x:c r="G56" s="26" t="str">
        <x:v>Published estimates: distance about 1.2 kpc (3,900 light-years), dispersion-based; characteristic spin-down age about 8 Gyr, not measured chronological age.</x:v>
      </x:c>
      <x:c r="H56" s="26" t="str">
        <x:v>https://academic.oup.com/mnras/article/379/1/282/1137831</x:v>
      </x:c>
      <x:c r="I56" s="26"/>
    </x:row>
    <x:row r="57" ht="26.399999618530273" hidden="0" customHeight="1">
      <x:c r="A57" s="26" t="str">
        <x:v>J1453-20260908-PRIOR-2007</x:v>
      </x:c>
      <x:c r="B57" s="29" t="n">
        <x:v>46273.61981469907</x:v>
      </x:c>
      <x:c r="C57" s="26" t="str">
        <x:v>Prior planet search</x:v>
      </x:c>
      <x:c r="D57" s="26" t="str">
        <x:v>J1453+1902</x:v>
      </x:c>
      <x:c r="E57" s="26" t="str">
        <x:v>PUBLISHED NULL</x:v>
      </x:c>
      <x:c r="F57" s="26" t="str">
        <x:v>Lorimer et al. (2007) searched three years of timing data and found no significant periodic companions.</x:v>
      </x:c>
      <x:c r="G57" s="26" t="str">
        <x:v>Smaller bodies below the published sensitivity were not excluded. New to Recherche does not mean never searched.</x:v>
      </x:c>
      <x:c r="H57" s="26" t="str">
        <x:v>https://academic.oup.com/mnras/article/379/1/282/1137831</x:v>
      </x:c>
      <x:c r="I57" s="26"/>
    </x:row>
    <x:row r="58" ht="26.399999618530273" hidden="0" customHeight="1">
      <x:c r="A58" s="26" t="str">
        <x:v>J1453-20260908-PRIOR-2020</x:v>
      </x:c>
      <x:c r="B58" s="29" t="n">
        <x:v>46273.61981469907</x:v>
      </x:c>
      <x:c r="C58" s="26" t="str">
        <x:v>Prior planet search</x:v>
      </x:c>
      <x:c r="D58" s="26" t="str">
        <x:v>J1453+1902</x:v>
      </x:c>
      <x:c r="E58" s="26" t="str">
        <x:v>PUBLISHED NULL</x:v>
      </x:c>
      <x:c r="F58" s="26" t="str">
        <x:v>Behrens et al. (2020), NG11: no planets detected. J1453+1902 Table 1 reports 8.39 lunar masses at a 100-day period.</x:v>
      </x:c>
      <x:c r="G58" s="26" t="str">
        <x:v>Earlier NG11 observations overlap later NG15 coverage. Sensitivity definition differs from our conditional candidate mass estimate.</x:v>
      </x:c>
      <x:c r="H58" s="26" t="str">
        <x:v>https://ueaeprints.uea.ac.uk/id/eprint/76370/1/Published_Version.pdf</x:v>
      </x:c>
      <x:c r="I58" s="26"/>
    </x:row>
    <x:row r="59" ht="26.399999618530273" hidden="0" customHeight="1">
      <x:c r="A59" s="26" t="str">
        <x:v>J1453-20260908-SIGNAL</x:v>
      </x:c>
      <x:c r="B59" s="29" t="n">
        <x:v>46273.61981469907</x:v>
      </x:c>
      <x:c r="C59" s="26" t="str">
        <x:v>Candidate context</x:v>
      </x:c>
      <x:c r="D59" s="26" t="str">
        <x:v>J1453+1902</x:v>
      </x:c>
      <x:c r="E59" s="26" t="str">
        <x:v>UNCONFIRMED</x:v>
      </x:c>
      <x:c r="F59" s="26" t="str">
        <x:v>NG15: 122 TOAs and 122 paired DM measurements, July 2013 to July 2020. Peak 118.4273 days, 1.5262 us, statistic 34.9142 versus frozen 26.8265.</x:v>
      </x:c>
      <x:c r="G59" s="26" t="str">
        <x:v>Independent likelihood agrees. Null reduced chi-square 1.2573, upper-tail p=0.0147. Broad noise flag did not fire; complete noise adequacy is not established.</x:v>
      </x:c>
      <x:c r="H59" s="26" t="str">
        <x:v>../Project Recherche Data/ng15-batch01-20260908/J1453+1902/run01/result.json</x:v>
      </x:c>
      <x:c r="I59" s="26" t="str">
        <x:v>975c9baf7109cf683b00d2f882bbf531bc52a37aac47d1d1228152d4f8fc8436</x:v>
      </x:c>
    </x:row>
    <x:row r="60" ht="26.399999618530273" hidden="0" customHeight="1">
      <x:c r="A60" s="26" t="str">
        <x:v>J1453-20260908-ORBIT</x:v>
      </x:c>
      <x:c r="B60" s="29" t="n">
        <x:v>46273.61981469907</x:v>
      </x:c>
      <x:c r="C60" s="26" t="str">
        <x:v>Conditional interpretation</x:v>
      </x:c>
      <x:c r="D60" s="26" t="str">
        <x:v>J1453+1902</x:v>
      </x:c>
      <x:c r="E60" s="26" t="str">
        <x:v>HYPOTHETICAL</x:v>
      </x:c>
      <x:c r="F60" s="26" t="str">
        <x:v>If all signal is a circular orbit about a 1.4-solar-mass pulsar: separation 0.5280 AU; m sin(i) 0.0027003 Earth masses (about 0.22 lunar masses).</x:v>
      </x:c>
      <x:c r="G60" s="26" t="str">
        <x:v>Kepler law: a=[G M (P/2pi)^2]^(1/3); m sin(i) approx c A M/a. Unknown inclination raises true mass. Not a measured planet mass, radius, composition or discovery.</x:v>
      </x:c>
      <x:c r="H60" s="26" t="str">
        <x:v>../Project Recherche Data/ng15-batch01-20260908/J1453+1902/run01/result.json</x:v>
      </x:c>
      <x:c r="I60" s="26" t="str">
        <x:v>975c9baf7109cf683b00d2f882bbf531bc52a37aac47d1d1228152d4f8fc8436</x:v>
      </x:c>
    </x:row>
    <x:row r="61" ht="26.399999618530273" hidden="0" customHeight="1">
      <x:c r="A61" s="26" t="str">
        <x:v>J1453-20260908-PLAN-1</x:v>
      </x:c>
      <x:c r="B61" s="29" t="n">
        <x:v>46273.61981469907</x:v>
      </x:c>
      <x:c r="C61" s="26" t="str">
        <x:v>Proposed follow-up</x:v>
      </x:c>
      <x:c r="D61" s="26" t="str">
        <x:v>J1453+1902</x:v>
      </x:c>
      <x:c r="E61" s="26" t="str">
        <x:v>NOT EXECUTED</x:v>
      </x:c>
      <x:c r="F61" s="26" t="str">
        <x:v>Inspect saved timing data and the 118-day fit. Refine period locally with uncertainty and compare observing-window aliases, including the 121.75-day annual third harmonic.</x:v>
      </x:c>
      <x:c r="G61" s="26" t="str">
        <x:v>Use one predeclared local interval. Remove one observing epoch at a time to identify domination by a few measurements. Preserve original search and threshold.</x:v>
      </x:c>
      <x:c r="H61" s="26" t="str">
        <x:v>./tools/mpta_batch.py</x:v>
      </x:c>
      <x:c r="I61" s="26" t="str">
        <x:v>fb54f8f9f06eaf5937009ca24860e5af5a4bd9d4e10ebfbf3c7b86eb44111b7a</x:v>
      </x:c>
    </x:row>
    <x:row r="62" ht="26.399999618530273" hidden="0" customHeight="1">
      <x:c r="A62" s="26" t="str">
        <x:v>J1453-20260908-PLAN-2</x:v>
      </x:c>
      <x:c r="B62" s="29" t="n">
        <x:v>46273.61981469907</x:v>
      </x:c>
      <x:c r="C62" s="26" t="str">
        <x:v>Proposed follow-up</x:v>
      </x:c>
      <x:c r="D62" s="26" t="str">
        <x:v>J1453+1902</x:v>
      </x:c>
      <x:c r="E62" s="26" t="str">
        <x:v>NOT EXECUTED</x:v>
      </x:c>
      <x:c r="F62" s="26" t="str">
        <x:v>Check early versus late epochs and 430 MHz versus L-band measurements for compatible phase and timing amplitude. Available: 49 TOAs at 430 MHz, 73 at L-band, all Arecibo/PUPPI.</x:v>
      </x:c>
      <x:c r="G62" s="26" t="str">
        <x:v>Use correct paired TOA/DM rows and subset covariance; prune empty nuisance columns. Lower subset sensitivity can make a non-detection inconclusive. All data already entered discovery.</x:v>
      </x:c>
      <x:c r="H62" s="26" t="str">
        <x:v>../Project Recherche Data/ng15-batch01-20260908/J1453+1902/original/J1453+1902.tim</x:v>
      </x:c>
      <x:c r="I62" s="26" t="str">
        <x:v>1c6b5a3cfa4eb8f8db8bdbe9f737bb2620d393f9907fc0fe9ce4c87171851fe6</x:v>
      </x:c>
    </x:row>
    <x:row r="63" ht="39.599998474121094" hidden="0" customHeight="1">
      <x:c r="A63" s="26" t="str">
        <x:v>J1453-20260908-PLAN-3</x:v>
      </x:c>
      <x:c r="B63" s="29" t="n">
        <x:v>46273.61981469907</x:v>
      </x:c>
      <x:c r="C63" s="26" t="str">
        <x:v>Proposed follow-up</x:v>
      </x:c>
      <x:c r="D63" s="26" t="str">
        <x:v>J1453+1902</x:v>
      </x:c>
      <x:c r="E63" s="26" t="str">
        <x:v>NOT EXECUTED</x:v>
      </x:c>
      <x:c r="F63" s="26" t="str">
        <x:v>Compare a small fixed set of alternative noise/dispersion models with and without the candidate. Run one bounded null and signal-injection exercise on actual sampling.</x:v>
      </x:c>
      <x:c r="G63" s="26" t="str">
        <x:v>Released model has white-noise and DM terms but no red-noise component. Carry model fitting/selection through simulations; do not recycle the original fixed-noise significance for changed models. Frequency-dependent delays are a specific alternative.</x:v>
      </x:c>
      <x:c r="H63" s="26" t="str">
        <x:v>https://arxiv.org/html/2306.16218v1</x:v>
      </x:c>
      <x:c r="I63" s="26"/>
    </x:row>
    <x:row r="64" ht="26.399999618530273" hidden="0" customHeight="1">
      <x:c r="A64" s="26" t="str">
        <x:v>J1453-20260908-PLAN-4</x:v>
      </x:c>
      <x:c r="B64" s="29" t="n">
        <x:v>46273.61981469907</x:v>
      </x:c>
      <x:c r="C64" s="26" t="str">
        <x:v>Proposed follow-up</x:v>
      </x:c>
      <x:c r="D64" s="26" t="str">
        <x:v>J1453+1902</x:v>
      </x:c>
      <x:c r="E64" s="26" t="str">
        <x:v>NOT EXECUTED</x:v>
      </x:c>
      <x:c r="F64" s="26" t="str">
        <x:v>If internal checks retain the signal, examine the downloaded narrowband reduction and look for genuinely nonoverlapping public epochs or another observatory.</x:v>
      </x:c>
      <x:c r="G64" s="26" t="str">
        <x:v>Narrowband is a different reduction of shared observations, not independent confirmation. New data availability is unverified. Outcome: rejected, inconclusive, or retained candidate.</x:v>
      </x:c>
      <x:c r="H64" s="26" t="str">
        <x:v>https://zenodo.org/records/16051178</x:v>
      </x:c>
      <x:c r="I64" s="26"/>
    </x:row>
    <x:row r="65" ht="26.399999618530273" hidden="0" customHeight="1">
      <x:c r="A65" s="26" t="str">
        <x:v>J1453-HR01-20260908-STEP1</x:v>
      </x:c>
      <x:c r="B65" s="29" t="n">
        <x:v>46273.630673900465</x:v>
      </x:c>
      <x:c r="C65" s="26" t="str">
        <x:v>Signal and aliases</x:v>
      </x:c>
      <x:c r="D65" s="26" t="str">
        <x:v>J1453+1902</x:v>
      </x:c>
      <x:c r="E65" s="26" t="str">
        <x:v>NOISE-SENSITIVE LEAD</x:v>
      </x:c>
      <x:c r="F65" s="26" t="str">
        <x:v>Refined period 118.8668 days, amplitude 1.5200 us. Removing MJD 57389 (3 TOAs) lowers fixed-period statistic from 35.3191 to 19.2720.</x:v>
      </x:c>
      <x:c r="G65" s="26" t="str">
        <x:v>Local fixed-noise 95% profile envelope 117.60-120.95 days. Annual third harmonic 121.75 days gives 29.0515. Subset results have no reused detection threshold.</x:v>
      </x:c>
      <x:c r="H65" s="26" t="str">
        <x:v>../Project Recherche Data/j1453-human-review-20260908/step1.json</x:v>
      </x:c>
      <x:c r="I65" s="26" t="str">
        <x:v>f3069df1452400ab03a8254131441bda101a74847be266fb5801693189fbc9c1</x:v>
      </x:c>
    </x:row>
    <x:row r="66" ht="26.399999618530273" hidden="0" customHeight="1">
      <x:c r="A66" s="26" t="str">
        <x:v>J1453-HR01-20260908-STEP2</x:v>
      </x:c>
      <x:c r="B66" s="29" t="n">
        <x:v>46273.630673900465</x:v>
      </x:c>
      <x:c r="C66" s="26" t="str">
        <x:v>Time and radio-band consistency</x:v>
      </x:c>
      <x:c r="D66" s="26" t="str">
        <x:v>J1453+1902</x:v>
      </x:c>
      <x:c r="E66" s="26" t="str">
        <x:v>INCONCLUSIVE</x:v>
      </x:c>
      <x:c r="F66" s="26" t="str">
        <x:v>Early/late amplitudes 1.950/0.527 us; statistics 25.424/1.656. Joint common-versus-split tests: time p=0.198, band p=0.103.</x:v>
      </x:c>
      <x:c r="G66" s="26" t="str">
        <x:v>No strong inconsistency established. Band-only fits are poorly constrained after nuisance refitting. All subsets already entered discovery; no independent holdout.</x:v>
      </x:c>
      <x:c r="H66" s="26" t="str">
        <x:v>../Project Recherche Data/j1453-human-review-20260908/step2.json</x:v>
      </x:c>
      <x:c r="I66" s="26" t="str">
        <x:v>8aced7cc72f57f49de55fb1259844e1bfbff1d0b6b5e4d52150bc7e1330b78bc</x:v>
      </x:c>
    </x:row>
    <x:row r="67" ht="39.599998474121094" hidden="0" customHeight="1">
      <x:c r="A67" s="26" t="str">
        <x:v>J1453-HR01-20260908-STEP3</x:v>
      </x:c>
      <x:c r="B67" s="29" t="n">
        <x:v>46273.630673900465</x:v>
      </x:c>
      <x:c r="C67" s="26" t="str">
        <x:v>Noise robustness and simulations</x:v>
      </x:c>
      <x:c r="D67" s="26" t="str">
        <x:v>J1453+1902</x:v>
      </x:c>
      <x:c r="E67" s="26" t="str">
        <x:v>INCONCLUSIVE</x:v>
      </x:c>
      <x:c r="F67" s="26" t="str">
        <x:v>Correlated-noise family statistic 16.500. Noise-only searches exceed observed in 46/512 simulations (diagnostic p=0.0916).</x:v>
      </x:c>
      <x:c r="G67" s="26" t="str">
        <x:v>Fixed 8-model covariance family; 512 null and 256 injected realizations. 197/256 injections recover period within 2 days. Refit timing and reselect covariance and period each time. Not campaign-calibrated significance.</x:v>
      </x:c>
      <x:c r="H67" s="26" t="str">
        <x:v>../Project Recherche Data/j1453-human-review-20260908/step3.json</x:v>
      </x:c>
      <x:c r="I67" s="26" t="str">
        <x:v>cb1f4c81ef8d6b7bec3c7088f3fa3ba5543fcd0a44400f0f988c9db98cae6273</x:v>
      </x:c>
    </x:row>
    <x:row r="68" ht="26.399999618530273" hidden="0" customHeight="1">
      <x:c r="A68" s="26" t="str">
        <x:v>J1453-HR01-20260908-STEP4</x:v>
      </x:c>
      <x:c r="B68" s="29" t="n">
        <x:v>46273.630673900465</x:v>
      </x:c>
      <x:c r="C68" s="26" t="str">
        <x:v>Alternate reduction and data access</x:v>
      </x:c>
      <x:c r="D68" s="26" t="str">
        <x:v>J1453+1902</x:v>
      </x:c>
      <x:c r="E68" s="26" t="str">
        <x:v>NO STRONG REPRODUCTION</x:v>
      </x:c>
      <x:c r="F68" s="26" t="str">
        <x:v>Official narrowband: 2,551 TOAs, same 2013-2020 span. At 118.8668 days statistic 5.220; local maximum 8.331 at 129.35 days.</x:v>
      </x:c>
      <x:c r="G68" s="26" t="str">
        <x:v>Shared observations; no independent confirmation. FAST/CPTA public catalog verified as polarimetry; no additional calibrated J1453 timing series acquired in bounded search. See data inventory.</x:v>
      </x:c>
      <x:c r="H68" s="26" t="str">
        <x:v>../Project Recherche Data/j1453-human-review-20260908/step4-narrowband.json</x:v>
      </x:c>
      <x:c r="I68" s="26" t="str">
        <x:v>599526ef2b2b50c8e09db5fb1d3aab23fad68ff99bbcd56e19959ea5e2e5000f</x:v>
      </x:c>
    </x:row>
    <x:row r="69" ht="39.599998474121094" hidden="0" customHeight="1">
      <x:c r="A69" s="26" t="str">
        <x:v>J1453-HR01-20260908-CLOSEOUT</x:v>
      </x:c>
      <x:c r="B69" s="29" t="n">
        <x:v>46273.630673900465</x:v>
      </x:c>
      <x:c r="C69" s="26" t="str">
        <x:v>Candidate review disposition</x:v>
      </x:c>
      <x:c r="D69" s="26" t="str">
        <x:v>J1453+1902</x:v>
      </x:c>
      <x:c r="E69" s="26" t="str">
        <x:v>INCONCLUSIVE / NOISE-SENSITIVE</x:v>
      </x:c>
      <x:c r="F69" s="26" t="str">
        <x:v>Four-step agent-assisted review complete. Original statistical trigger retained. No confirmed planet and no publication-ready planet claim.</x:v>
      </x:c>
      <x:c r="G69" s="26" t="str">
        <x:v>231 original search/refinement results preserved. Park pending new calibrated timing data; no threshold retuning. Original candidate count is historical and does not represent robust planet candidates.</x:v>
      </x:c>
      <x:c r="H69" s="26" t="str">
        <x:v>../Project Recherche Data/j1453-human-review-20260908/closeout.json</x:v>
      </x:c>
      <x:c r="I69" s="26" t="str">
        <x:v>5ad71b9042ddde053e794deb2efa512188636a7e052ee2d5172310e1ada8b7aa</x:v>
      </x:c>
    </x:row>
    <x:row r="70" ht="15" hidden="0" customHeight="1">
      <x:c r="A70" t="str">
        <x:v>pta-campaign01-20260908-ppta-PREPARATION</x:v>
      </x:c>
      <x:c r="B70" s="22" t="n">
        <x:v>46273.68862662037</x:v>
      </x:c>
      <x:c r="C70" t="str">
        <x:v>Inventory and calibration</x:v>
      </x:c>
      <x:c r="D70" t="str">
        <x:v>7 PPTA targets</x:v>
      </x:c>
      <x:c r="E70" t="str">
        <x:v>PREPARED</x:v>
      </x:c>
      <x:c r="F70" t="str">
        <x:v>7 eligible; 7 calibrated; 0 remaining. No observed searches.</x:v>
      </x:c>
      <x:c r="G70" t="str">
        <x:v>One 18-dataset campaign; previous searches retained by dataset.</x:v>
      </x:c>
      <x:c r="H70" t="str">
        <x:v>../Project Recherche Data/pta-campaign01-20260908/ppta/preparation.json</x:v>
      </x:c>
      <x:c r="I70" t="str">
        <x:v>e4efe4ae0319bcab58b7b59087575294507e9821ba135d96ec3110d61c407fb7</x:v>
      </x:c>
    </x:row>
    <x:row r="71" ht="15" hidden="0" customHeight="1">
      <x:c r="A71" t="str">
        <x:v>pta-campaign01-20260908-epta-PREPARATION</x:v>
      </x:c>
      <x:c r="B71" s="22" t="n">
        <x:v>46273.68863016204</x:v>
      </x:c>
      <x:c r="C71" t="str">
        <x:v>Inventory and calibration</x:v>
      </x:c>
      <x:c r="D71" t="str">
        <x:v>8 EPTA targets</x:v>
      </x:c>
      <x:c r="E71" t="str">
        <x:v>PREPARED</x:v>
      </x:c>
      <x:c r="F71" t="str">
        <x:v>8 eligible; 8 calibrated; 0 remaining. No observed searches.</x:v>
      </x:c>
      <x:c r="G71" t="str">
        <x:v>One 18-dataset campaign; previous searches retained by dataset.</x:v>
      </x:c>
      <x:c r="H71" t="str">
        <x:v>../Project Recherche Data/pta-campaign01-20260908/epta/preparation.json</x:v>
      </x:c>
      <x:c r="I71" t="str">
        <x:v>c17b55907e9081a6d9a309087e15483612b19fda6b6bcc590422fc57f1afdb66</x:v>
      </x:c>
    </x:row>
    <x:row r="72" ht="15" hidden="0" customHeight="1">
      <x:c r="A72" t="str">
        <x:v>pta-campaign01-20260908-inpta-PREPARATION</x:v>
      </x:c>
      <x:c r="B72" s="22" t="n">
        <x:v>46273.68863335648</x:v>
      </x:c>
      <x:c r="C72" t="str">
        <x:v>Inventory and calibration</x:v>
      </x:c>
      <x:c r="D72" t="str">
        <x:v>3 INPTA targets</x:v>
      </x:c>
      <x:c r="E72" t="str">
        <x:v>PREPARED</x:v>
      </x:c>
      <x:c r="F72" t="str">
        <x:v>3 eligible; 3 calibrated; 0 remaining. No observed searches.</x:v>
      </x:c>
      <x:c r="G72" t="str">
        <x:v>One 18-dataset campaign; previous searches retained by dataset.</x:v>
      </x:c>
      <x:c r="H72" t="str">
        <x:v>../Project Recherche Data/pta-campaign01-20260908/inpta/preparation.json</x:v>
      </x:c>
      <x:c r="I72" t="str">
        <x:v>5bc90b1bf5bf39cd2b8a5e4296c708948dc86624d28a5bf1f4bd6adcb2c64e0f</x:v>
      </x:c>
    </x:row>
    <x:row r="73" ht="15" hidden="0" customHeight="1">
      <x:c r="A73" t="str">
        <x:v>pta-campaign01-20260908-ppta-FREEZE</x:v>
      </x:c>
      <x:c r="B73" s="22" t="n">
        <x:v>46273.68862663194</x:v>
      </x:c>
      <x:c r="C73" t="str">
        <x:v>Batch preparation</x:v>
      </x:c>
      <x:c r="D73" t="str">
        <x:v>7 PPTA original-search targets</x:v>
      </x:c>
      <x:c r="E73" t="str">
        <x:v>PREPARED</x:v>
      </x:c>
      <x:c r="F73" t="str">
        <x:v>7 profiles and calibrations frozen; no observed scan during preparation</x:v>
      </x:c>
      <x:c r="G73" t="str">
        <x:v>Preparation and execution authorized together</x:v>
      </x:c>
      <x:c r="H73" t="str">
        <x:v>../Project Recherche Data/pta-campaign01-20260908/ppta/execution-freeze.json</x:v>
      </x:c>
      <x:c r="I73" t="str">
        <x:v>0bbb0f62ddcda7fe90117472c607b3629fd236d27885baf1fe2b6a7317cf8186</x:v>
      </x:c>
    </x:row>
    <x:row r="74" ht="15" hidden="0" customHeight="1">
      <x:c r="A74" t="str">
        <x:v>pta-campaign01-20260908-ppta-CLOSEOUT</x:v>
      </x:c>
      <x:c r="B74" s="22" t="n">
        <x:v>46273.68955483796</x:v>
      </x:c>
      <x:c r="C74" t="str">
        <x:v>Observed campaign</x:v>
      </x:c>
      <x:c r="D74" t="str">
        <x:v>7 PPTA original-search targets</x:v>
      </x:c>
      <x:c r="E74" t="str">
        <x:v>COMPLETE</x:v>
      </x:c>
      <x:c r="F74" t="str">
        <x:v>7 terminal results; 0 incomplete attempts</x:v>
      </x:c>
      <x:c r="G74" t="str">
        <x:v>All run01 destinations consumed; preserve evidence</x:v>
      </x:c>
      <x:c r="H74" t="str">
        <x:v>../Project Recherche Data/pta-campaign01-20260908/ppta/execution-freeze.json</x:v>
      </x:c>
      <x:c r="I74" t="str">
        <x:v>0bbb0f62ddcda7fe90117472c607b3629fd236d27885baf1fe2b6a7317cf8186</x:v>
      </x:c>
    </x:row>
    <x:row r="75" ht="15" hidden="0" customHeight="1">
      <x:c r="A75" t="str">
        <x:v>pta-campaign01-20260908-epta-FREEZE</x:v>
      </x:c>
      <x:c r="B75" s="22" t="n">
        <x:v>46273.68863016204</x:v>
      </x:c>
      <x:c r="C75" t="str">
        <x:v>Batch preparation</x:v>
      </x:c>
      <x:c r="D75" t="str">
        <x:v>8 EPTA original-search targets</x:v>
      </x:c>
      <x:c r="E75" t="str">
        <x:v>PREPARED</x:v>
      </x:c>
      <x:c r="F75" t="str">
        <x:v>8 profiles and calibrations frozen; no observed scan during preparation</x:v>
      </x:c>
      <x:c r="G75" t="str">
        <x:v>Preparation and execution authorized together</x:v>
      </x:c>
      <x:c r="H75" t="str">
        <x:v>../Project Recherche Data/pta-campaign01-20260908/epta/execution-freeze.json</x:v>
      </x:c>
      <x:c r="I75" t="str">
        <x:v>6ab8b3c8bb91e1714d6a31e56e72109f4c29bab9d1bb54410f52437b0be9e970</x:v>
      </x:c>
    </x:row>
    <x:row r="76" ht="15" hidden="0" customHeight="1">
      <x:c r="A76" t="str">
        <x:v>pta-campaign01-20260908-epta-CLOSEOUT</x:v>
      </x:c>
      <x:c r="B76" s="22" t="n">
        <x:v>46273.69026405093</x:v>
      </x:c>
      <x:c r="C76" t="str">
        <x:v>Observed campaign</x:v>
      </x:c>
      <x:c r="D76" t="str">
        <x:v>8 EPTA original-search targets</x:v>
      </x:c>
      <x:c r="E76" t="str">
        <x:v>COMPLETE</x:v>
      </x:c>
      <x:c r="F76" t="str">
        <x:v>8 terminal results; 0 incomplete attempts</x:v>
      </x:c>
      <x:c r="G76" t="str">
        <x:v>All run01 destinations consumed; preserve evidence</x:v>
      </x:c>
      <x:c r="H76" t="str">
        <x:v>../Project Recherche Data/pta-campaign01-20260908/epta/execution-freeze.json</x:v>
      </x:c>
      <x:c r="I76" t="str">
        <x:v>6ab8b3c8bb91e1714d6a31e56e72109f4c29bab9d1bb54410f52437b0be9e970</x:v>
      </x:c>
    </x:row>
    <x:row r="77" ht="15" hidden="0" customHeight="1">
      <x:c r="A77" t="str">
        <x:v>pta-campaign01-20260908-inpta-FREEZE</x:v>
      </x:c>
      <x:c r="B77" s="22" t="n">
        <x:v>46273.68863336805</x:v>
      </x:c>
      <x:c r="C77" t="str">
        <x:v>Batch preparation</x:v>
      </x:c>
      <x:c r="D77" t="str">
        <x:v>3 INPTA original-search targets</x:v>
      </x:c>
      <x:c r="E77" t="str">
        <x:v>PREPARED</x:v>
      </x:c>
      <x:c r="F77" t="str">
        <x:v>3 profiles and calibrations frozen; no observed scan during preparation</x:v>
      </x:c>
      <x:c r="G77" t="str">
        <x:v>Preparation and execution authorized together</x:v>
      </x:c>
      <x:c r="H77" t="str">
        <x:v>../Project Recherche Data/pta-campaign01-20260908/inpta/execution-freeze.json</x:v>
      </x:c>
      <x:c r="I77" t="str">
        <x:v>ea0a55835cb7d767c00ab2570bb6e0fa8532ae25b5089408997cec9aee7223f3</x:v>
      </x:c>
    </x:row>
    <x:row r="78" ht="15" hidden="0" customHeight="1">
      <x:c r="A78" t="str">
        <x:v>pta-campaign01-20260908-inpta-CLOSEOUT</x:v>
      </x:c>
      <x:c r="B78" s="22" t="n">
        <x:v>46273.7022003588</x:v>
      </x:c>
      <x:c r="C78" t="str">
        <x:v>Observed campaign</x:v>
      </x:c>
      <x:c r="D78" t="str">
        <x:v>3 INPTA original-search targets</x:v>
      </x:c>
      <x:c r="E78" t="str">
        <x:v>COMPLETE</x:v>
      </x:c>
      <x:c r="F78" t="str">
        <x:v>3 terminal results; 0 incomplete attempts</x:v>
      </x:c>
      <x:c r="G78" t="str">
        <x:v>All run01 destinations consumed; preserve evidence</x:v>
      </x:c>
      <x:c r="H78" t="str">
        <x:v>../Project Recherche Data/pta-campaign01-20260908/inpta/execution-freeze.json</x:v>
      </x:c>
      <x:c r="I78" t="str">
        <x:v>ea0a55835cb7d767c00ab2570bb6e0fa8532ae25b5089408997cec9aee7223f3</x:v>
      </x:c>
    </x:row>
    <x:row r="79" ht="15" hidden="0" customHeight="1">
      <x:c r="A79" t="str">
        <x:v>pta-campaign01-repair01-20260909-epta-PREPARATION</x:v>
      </x:c>
      <x:c r="B79" s="22" t="n">
        <x:v>46273.69530983796</x:v>
      </x:c>
      <x:c r="C79" t="str">
        <x:v>Inventory and calibration</x:v>
      </x:c>
      <x:c r="D79" t="str">
        <x:v>3 EPTA targets</x:v>
      </x:c>
      <x:c r="E79" t="str">
        <x:v>PREPARED</x:v>
      </x:c>
      <x:c r="F79" t="str">
        <x:v>3 eligible; 3 calibrated; 0 remaining. No observed searches.</x:v>
      </x:c>
      <x:c r="G79" t="str">
        <x:v>One 18-dataset campaign; previous searches retained by dataset.</x:v>
      </x:c>
      <x:c r="H79" t="str">
        <x:v>../Project Recherche Data/pta-campaign01-repair01-20260909/epta/preparation.json</x:v>
      </x:c>
      <x:c r="I79" t="str">
        <x:v>72cc9704432d8fba5a16d71d1b025ac30d59970081c25d9a15f86f479dca0270</x:v>
      </x:c>
    </x:row>
    <x:row r="80" ht="15" hidden="0" customHeight="1">
      <x:c r="A80" t="str">
        <x:v>pta-campaign01-repair01-20260909-epta-J1730-2304-IMPORT-CORRECTION</x:v>
      </x:c>
      <x:c r="B80" s="22" t="n">
        <x:v>46273.694063125</x:v>
      </x:c>
      <x:c r="C80" t="str">
        <x:v>Import correction</x:v>
      </x:c>
      <x:c r="D80" t="str">
        <x:v>J1730-2304</x:v>
      </x:c>
      <x:c r="E80" t="str">
        <x:v>SUPERSEDED_INVALID_IMPORT</x:v>
      </x:c>
      <x:c r="F80" t="str">
        <x:v>pta-campaign01-20260908-epta-J1730-2304-run01 is retained as an invalid import attempt; replaced by pta-campaign01-repair01-20260909-epta-J1730-2304-run01</x:v>
      </x:c>
      <x:c r="G80" t="str">
        <x:v>Tempo2 uppercase C comments were read as active TOAs; addsat seconds were not applied before barycentering. Correct all affected datasets, including original NO_TRIGGER J1911+1347. No peak-dependent cuts or policy tuning.</x:v>
      </x:c>
      <x:c r="H80" t="str">
        <x:v>../Project Recherche Data/pta-campaign01-20260908/epta/J1730-2304/run01/result.json</x:v>
      </x:c>
      <x:c r="I80" t="str">
        <x:v>152858356c774f00380e16fa48bd6065b2dcb0d7d5851dd6fecbed03c133e27b</x:v>
      </x:c>
    </x:row>
    <x:row r="81" ht="15" hidden="0" customHeight="1">
      <x:c r="A81" t="str">
        <x:v>pta-campaign01-repair01-20260909-epta-FREEZE</x:v>
      </x:c>
      <x:c r="B81" s="22" t="n">
        <x:v>46273.69530983796</x:v>
      </x:c>
      <x:c r="C81" t="str">
        <x:v>Batch preparation</x:v>
      </x:c>
      <x:c r="D81" t="str">
        <x:v>3 EPTA original-search targets</x:v>
      </x:c>
      <x:c r="E81" t="str">
        <x:v>PREPARED</x:v>
      </x:c>
      <x:c r="F81" t="str">
        <x:v>3 profiles and calibrations frozen; no observed scan during preparation</x:v>
      </x:c>
      <x:c r="G81" t="str">
        <x:v>Preparation and execution authorized together</x:v>
      </x:c>
      <x:c r="H81" t="str">
        <x:v>../Project Recherche Data/pta-campaign01-repair01-20260909/epta/execution-freeze.json</x:v>
      </x:c>
      <x:c r="I81" t="str">
        <x:v>7ea331a51cc6e1814f6a9e15059784861cc197c31379d12b731d43bd7e2a22c1</x:v>
      </x:c>
    </x:row>
    <x:row r="82" ht="15" hidden="0" customHeight="1">
      <x:c r="A82" t="str">
        <x:v>pta-campaign01-repair01-20260909-epta-CLOSEOUT</x:v>
      </x:c>
      <x:c r="B82" s="22" t="n">
        <x:v>46273.695657662036</x:v>
      </x:c>
      <x:c r="C82" t="str">
        <x:v>Observed campaign</x:v>
      </x:c>
      <x:c r="D82" t="str">
        <x:v>3 EPTA original-search targets</x:v>
      </x:c>
      <x:c r="E82" t="str">
        <x:v>COMPLETE</x:v>
      </x:c>
      <x:c r="F82" t="str">
        <x:v>3 terminal results; 0 incomplete attempts</x:v>
      </x:c>
      <x:c r="G82" t="str">
        <x:v>All run01 destinations consumed; preserve evidence</x:v>
      </x:c>
      <x:c r="H82" t="str">
        <x:v>../Project Recherche Data/pta-campaign01-repair01-20260909/epta/execution-freeze.json</x:v>
      </x:c>
      <x:c r="I82" t="str">
        <x:v>7ea331a51cc6e1814f6a9e15059784861cc197c31379d12b731d43bd7e2a22c1</x:v>
      </x:c>
    </x:row>
    <x:row r="83" ht="15" hidden="0" customHeight="1">
      <x:c r="A83" t="str">
        <x:v>pta-campaign01-repair01-20260909-epta-J1744-1134-IMPORT-CORRECTION</x:v>
      </x:c>
      <x:c r="B83" s="22" t="n">
        <x:v>46273.694063125</x:v>
      </x:c>
      <x:c r="C83" t="str">
        <x:v>Import correction</x:v>
      </x:c>
      <x:c r="D83" t="str">
        <x:v>J1744-1134</x:v>
      </x:c>
      <x:c r="E83" t="str">
        <x:v>SUPERSEDED_INVALID_IMPORT</x:v>
      </x:c>
      <x:c r="F83" t="str">
        <x:v>pta-campaign01-20260908-epta-J1744-1134-run01 is retained as an invalid import attempt; replaced by pta-campaign01-repair01-20260909-epta-J1744-1134-run01</x:v>
      </x:c>
      <x:c r="G83" t="str">
        <x:v>Tempo2 uppercase C comments were read as active TOAs; addsat seconds were not applied before barycentering. Correct all affected datasets, including original NO_TRIGGER J1911+1347. No peak-dependent cuts or policy tuning.</x:v>
      </x:c>
      <x:c r="H83" t="str">
        <x:v>../Project Recherche Data/pta-campaign01-20260908/epta/J1744-1134/run01/result.json</x:v>
      </x:c>
      <x:c r="I83" t="str">
        <x:v>3af31634a916a5e9be32a12617d125c7e2ee7e330d016877012c0432030272b5</x:v>
      </x:c>
    </x:row>
    <x:row r="84" ht="15" hidden="0" customHeight="1">
      <x:c r="A84" t="str">
        <x:v>pta-campaign01-repair01-20260909-epta-J1911+1347-IMPORT-CORRECTION</x:v>
      </x:c>
      <x:c r="B84" s="22" t="n">
        <x:v>46273.694063125</x:v>
      </x:c>
      <x:c r="C84" t="str">
        <x:v>Import correction</x:v>
      </x:c>
      <x:c r="D84" t="str">
        <x:v>J1911+1347</x:v>
      </x:c>
      <x:c r="E84" t="str">
        <x:v>SUPERSEDED_INVALID_IMPORT</x:v>
      </x:c>
      <x:c r="F84" t="str">
        <x:v>pta-campaign01-20260908-epta-J1911+1347-run01 is retained as an invalid import attempt; replaced by pta-campaign01-repair01-20260909-epta-J1911+1347-run01</x:v>
      </x:c>
      <x:c r="G84" t="str">
        <x:v>Tempo2 uppercase C comments were read as active TOAs; addsat seconds were not applied before barycentering. Correct all affected datasets, including original NO_TRIGGER J1911+1347. No peak-dependent cuts or policy tuning.</x:v>
      </x:c>
      <x:c r="H84" t="str">
        <x:v>../Project Recherche Data/pta-campaign01-20260908/epta/J1911+1347/run01/result.json</x:v>
      </x:c>
      <x:c r="I84" t="str">
        <x:v>f237a1c1a4f8119ef67bda7b25a254a0a0ef14ff32e1187224620ba20be84580</x:v>
      </x:c>
    </x:row>
    <x:row r="85" ht="15" hidden="0" customHeight="1">
      <x:c r="A85" t="str">
        <x:v>pta-campaign01-20260908-COMBINED-REVIEW</x:v>
      </x:c>
      <x:c r="B85" s="22" t="n">
        <x:v>46273.70157127315</x:v>
      </x:c>
      <x:c r="C85" t="str">
        <x:v>Combined source review</x:v>
      </x:c>
      <x:c r="D85" t="str">
        <x:v>18 datasets / 12 pulsars</x:v>
      </x:c>
      <x:c r="E85" t="str">
        <x:v>COMPLETE</x:v>
      </x:c>
      <x:c r="F85" t="str">
        <x:v>17 no trigger; 1 candidate datasets; zero confirmed planets</x:v>
      </x:c>
      <x:c r="G85" t="str">
        <x:v>Source observations kept separate; fixed-noise thresholds; overlapping pulsars compared</x:v>
      </x:c>
      <x:c r="H85" t="str">
        <x:v>./docs/PTA_CAMPAIGN_01_REPORT_2026-09-09.md</x:v>
      </x:c>
      <x:c r="I85" t="str">
        <x:v>b472eb4ce3250c8290dfa11c0833d164eebde0e668e9f1159121c8950666660d</x:v>
      </x:c>
    </x:row>
    <x:row r="86" ht="15" hidden="0" customHeight="1">
      <x:c r="A86" t="str">
        <x:v>pta-campaign01-20260908-inpta-J1939+2134-REVIEW</x:v>
      </x:c>
      <x:c r="B86" s="22" t="n">
        <x:v>46273.70156988426</x:v>
      </x:c>
      <x:c r="C86" t="str">
        <x:v>Candidate diagnostics</x:v>
      </x:c>
      <x:c r="D86" t="str">
        <x:v>J1939+2134</x:v>
      </x:c>
      <x:c r="E86" t="str">
        <x:v>UNCONFIRMED_PERIODIC_CANDIDATE</x:v>
      </x:c>
      <x:c r="F86" t="str">
        <x:v>Time and radio-frequency splits; one observing-day deletion; saved cross-source grids</x:v>
      </x:c>
      <x:c r="G86" t="str">
        <x:v>Descriptive fixed-frequency checks; original trigger retained</x:v>
      </x:c>
      <x:c r="H86" t="str">
        <x:v>./docs/PTA_CAMPAIGN_01_REPORT_2026-09-09.md</x:v>
      </x:c>
      <x:c r="I86" t="str">
        <x:v>b472eb4ce3250c8290dfa11c0833d164eebde0e668e9f1159121c8950666660d</x:v>
      </x:c>
    </x:row>
    <x:row r="87" ht="26.399999618530273" hidden="0" customHeight="1">
      <x:c r="A87" s="26" t="str">
        <x:v>J1939-DEEP-20260909-STEP1</x:v>
      </x:c>
      <x:c r="B87" s="29" t="n">
        <x:v>46273.72903440972</x:v>
      </x:c>
      <x:c r="C87" s="26" t="str">
        <x:v>Noise-model review</x:v>
      </x:c>
      <x:c r="D87" s="26" t="str">
        <x:v>J1939+2134</x:v>
      </x:c>
      <x:c r="E87" s="26" t="str">
        <x:v>NOISE_SENSITIVE</x:v>
      </x:c>
      <x:c r="F87" s="26" t="str">
        <x:v>16 declared noise models; original-period statistic 149.353 to 15.223</x:v>
      </x:c>
      <x:c r="G87" s="26" t="str">
        <x:v>Fixed finite Fourier family; original survey threshold preserved</x:v>
      </x:c>
      <x:c r="H87" s="26" t="str">
        <x:v>./results/research/j1939-deep-review-20260909/step1.json</x:v>
      </x:c>
      <x:c r="I87" s="26" t="str">
        <x:v>7a43e8eaf3d15fc1ae242d070f512d03cb9e825770ef3a4b1d853370636c5739</x:v>
      </x:c>
    </x:row>
    <x:row r="88" ht="26.399999618530273" hidden="0" customHeight="1">
      <x:c r="A88" s="26" t="str">
        <x:v>J1939-DEEP-20260909-STEP2</x:v>
      </x:c>
      <x:c r="B88" s="29" t="n">
        <x:v>46273.72903440972</x:v>
      </x:c>
      <x:c r="C88" s="26" t="str">
        <x:v>Observing-day and band review</x:v>
      </x:c>
      <x:c r="D88" s="26" t="str">
        <x:v>J1939+2134</x:v>
      </x:c>
      <x:c r="E88" s="26" t="str">
        <x:v>CONSISTENCY_CONCERNS</x:v>
      </x:c>
      <x:c r="F88" s="26" t="str">
        <x:v>All 157 day removals retain the released-noise signal; receiver-band and time checks raise concerns</x:v>
      </x:c>
      <x:c r="G88" s="26" t="str">
        <x:v>Diagnostic subset fits; source noise and selection limit p-values</x:v>
      </x:c>
      <x:c r="H88" s="26" t="str">
        <x:v>./results/research/j1939-deep-review-20260909/step2.json</x:v>
      </x:c>
      <x:c r="I88" s="26" t="str">
        <x:v>39542f744305e16eff5cf2f1663cf66160593e08ff3f3ef48275d9d3df8a47b8</x:v>
      </x:c>
    </x:row>
    <x:row r="89" ht="26.399999618530273" hidden="0" customHeight="1">
      <x:c r="A89" s="26" t="str">
        <x:v>J1939-DEEP-20260909-STEP3</x:v>
      </x:c>
      <x:c r="B89" s="29" t="n">
        <x:v>46273.72903440972</x:v>
      </x:c>
      <x:c r="C89" s="26" t="str">
        <x:v>Noise simulations</x:v>
      </x:c>
      <x:c r="D89" s="26" t="str">
        <x:v>J1939+2134</x:v>
      </x:c>
      <x:c r="E89" s="26" t="str">
        <x:v>INCONCLUSIVE_NOISE_SENSITIVE</x:v>
      </x:c>
      <x:c r="F89" s="26" t="str">
        <x:v>40/512 noise-only grid maxima exceed original-candidate statistic; plus-one estimate 0.07992. Different 67-day global peak is separate</x:v>
      </x:c>
      <x:c r="G89" s="26" t="str">
        <x:v>512 nulls and 256 injections; no planetary probability or campaign-calibrated discovery claim</x:v>
      </x:c>
      <x:c r="H89" s="26" t="str">
        <x:v>./results/research/j1939-deep-review-20260909/step3.json</x:v>
      </x:c>
      <x:c r="I89" s="26" t="str">
        <x:v>8677e650e5e06fc7bb9b6a921a3033e7e801e4086e4a932790fc00399911319e</x:v>
      </x:c>
    </x:row>
    <x:row r="90" ht="26.399999618530273" hidden="0" customHeight="1">
      <x:c r="A90" s="26" t="str">
        <x:v>J1939-DEEP-20260909-STEP4</x:v>
      </x:c>
      <x:c r="B90" s="29" t="n">
        <x:v>46273.72903440972</x:v>
      </x:c>
      <x:c r="C90" s="26" t="str">
        <x:v>Cross-source comparison</x:v>
      </x:c>
      <x:c r="D90" s="26" t="str">
        <x:v>J1939+2134</x:v>
      </x:c>
      <x:c r="E90" s="26" t="str">
        <x:v>NOT_CORROBORATED</x:v>
      </x:c>
      <x:c r="F90" s="26" t="str">
        <x:v>At 577.5 days, PPTA overlap amplitude 0.338 us versus InPTA 4.170 us; common-signal interpretation not supported</x:v>
      </x:c>
      <x:c r="G90" s="26" t="str">
        <x:v>Fixed-period overlap fits with source-specific covariances; preserve conditional limitations</x:v>
      </x:c>
      <x:c r="H90" s="26" t="str">
        <x:v>./results/research/j1939-deep-review-20260909/step4.json</x:v>
      </x:c>
      <x:c r="I90" s="26" t="str">
        <x:v>04e5d8efddb72de230a52bbe0747c65bb194af0b10eb4ceba5fcfc36886da3f3</x:v>
      </x:c>
    </x:row>
    <x:row r="91" ht="26.399999618530273" hidden="0" customHeight="1">
      <x:c r="A91" s="26" t="str">
        <x:v>J1939-DEEP-20260909-CLOSEOUT</x:v>
      </x:c>
      <x:c r="B91" s="29" t="n">
        <x:v>46273.72903440972</x:v>
      </x:c>
      <x:c r="C91" s="26" t="str">
        <x:v>Candidate deep-review closeout</x:v>
      </x:c>
      <x:c r="D91" s="26" t="str">
        <x:v>J1939+2134</x:v>
      </x:c>
      <x:c r="E91" s="26" t="str">
        <x:v>INCONCLUSIVE_NOISE_SENSITIVE</x:v>
      </x:c>
      <x:c r="F91" s="26" t="str">
        <x:v>Original candidate parked as inconclusive/noise-sensitive; no confirmed planet. Compelling future candidates receive deep review by standing owner instruction.</x:v>
      </x:c>
      <x:c r="G91" s="26" t="str">
        <x:v>Original result and all prior records retained. Different 67-day residual feature documented, not promoted to a new calibrated detection.</x:v>
      </x:c>
      <x:c r="H91" s="26" t="str">
        <x:v>./docs/J1939_DEEP_REVIEW_REPORT_2026-09-09.md</x:v>
      </x:c>
      <x:c r="I91" s="26" t="str">
        <x:v>943b92bc32f50ddb6591731c4f647737d97ea21f00f77ffb89e380e26019acd3</x:v>
      </x:c>
    </x:row>
    <x:row r="92" ht="26.399999618530273" hidden="0" customHeight="1">
      <x:c r="A92" s="26" t="str">
        <x:v>UTMOST-20260909-INVENTORY</x:v>
      </x:c>
      <x:c r="B92" s="29" t="n">
        <x:v>46274.166666666664</x:v>
      </x:c>
      <x:c r="C92" s="26" t="str">
        <x:v>Source inventory</x:v>
      </x:c>
      <x:c r="D92" s="26" t="str">
        <x:v>300 UTMOST pulsars</x:v>
      </x:c>
      <x:c r="E92" s="26" t="str">
        <x:v>ASSESSED; NOT SEARCHED</x:v>
      </x:c>
      <x:c r="F92" s="26" t="str">
        <x:v>304 variants. 86 conditional targets: 56 unsearched by Recherche and 30 with prior searches.</x:v>
      </x:c>
      <x:c r="G92" s="26" t="str">
        <x:v>No selections, calibration or observed runs. Per-dataset coverage and exclusions are in the inventory.</x:v>
      </x:c>
      <x:c r="H92" s="26" t="str">
        <x:v>./results/research/utmost-inventory-20260909/inventory.json</x:v>
      </x:c>
      <x:c r="I92" s="26" t="str">
        <x:v>be35df020956807029290b9267e5779e1fce23757b6f4ea4c506b3b59f6a9fb6</x:v>
      </x:c>
    </x:row>
    <x:row r="93" ht="26.399999618530273" hidden="0" customHeight="1">
      <x:c r="A93" s="26" t="str">
        <x:v>UTMOST-20260909-COMPATIBILITY</x:v>
      </x:c>
      <x:c r="B93" s="29" t="n">
        <x:v>46274.166666666664</x:v>
      </x:c>
      <x:c r="C93" s="26" t="str">
        <x:v>Compatibility assessment</x:v>
      </x:c>
      <x:c r="D93" s="26" t="str">
        <x:v>86 conditional datasets</x:v>
      </x:c>
      <x:c r="E93" s="26" t="str">
        <x:v>PREPARATION REQUIRED</x:v>
      </x:c>
      <x:c r="F93" s="26" t="str">
        <x:v>All 86 PAR models parse, but global EFAC/EQUAD are ignored by a direct import. All lack useful multi-band epoch coverage.</x:v>
      </x:c>
      <x:c r="G93" s="26" t="str">
        <x:v>Bind released clock and time conventions, translate noise, verify phase connection, and define single-band noise treatment before calibration.</x:v>
      </x:c>
      <x:c r="H93" s="26" t="str">
        <x:v>./results/research/utmost-inventory-20260909/model-parser-check.json</x:v>
      </x:c>
      <x:c r="I93" s="26" t="str">
        <x:v>b8639922811d0b3605f8a6f54de61e00f200b83bdaf051a216874cf5522d242d</x:v>
      </x:c>
    </x:row>
    <x:row r="94" ht="26.399999618530273" hidden="0" customHeight="1">
      <x:c r="A94" s="26" t="str">
        <x:v>UTMOST-20260909-PRIOR-COVERAGE</x:v>
      </x:c>
      <x:c r="B94" s="29" t="n">
        <x:v>46274.166666666664</x:v>
      </x:c>
      <x:c r="C94" s="26" t="str">
        <x:v>Prior search cross-match</x:v>
      </x:c>
      <x:c r="D94" s="26" t="str">
        <x:v>86 conditional targets</x:v>
      </x:c>
      <x:c r="E94" s="26" t="str">
        <x:v>PARTIAL LITERATURE COVERAGE</x:v>
      </x:c>
      <x:c r="F94" s="26" t="str">
        <x:v>56 absent from the named JBO800, NG11 and EPTA inventories. This is not proof of an unsearched target.</x:v>
      </x:c>
      <x:c r="G94" s="26" t="str">
        <x:v>Reconcile Kerr 151 and newer searches before novelty claims. Extended variants are not additional pulsars.</x:v>
      </x:c>
      <x:c r="H94" s="26" t="str">
        <x:v>./results/research/utmost-inventory-20260909/inventory.json</x:v>
      </x:c>
      <x:c r="I94" s="26" t="str">
        <x:v>be35df020956807029290b9267e5779e1fce23757b6f4ea4c506b3b59f6a9fb6</x:v>
      </x:c>
    </x:row>
    <x:row r="95" ht="26.399999618530273" hidden="0" customHeight="1">
      <x:c r="A95" s="26" t="str">
        <x:v>UTMOST-20260909-SCOPE</x:v>
      </x:c>
      <x:c r="B95" s="29" t="n">
        <x:v>46274.166666666664</x:v>
      </x:c>
      <x:c r="C95" s="26" t="str">
        <x:v>Source queue</x:v>
      </x:c>
      <x:c r="D95" s="26" t="str">
        <x:v>UTMOST DR1; binary support deferred</x:v>
      </x:c>
      <x:c r="E95" s="26" t="str">
        <x:v>ASSESSMENT COMPLETE</x:v>
      </x:c>
      <x:c r="F95" s="26" t="str">
        <x:v>Current queue extended with UTMOST. Earlier scientific records and target dispositions remain intact.</x:v>
      </x:c>
      <x:c r="G95" s="26" t="str">
        <x:v>Next proposal: a bounded UTMOST adapter and single-band noise preparation. Binary / white-dwarf support remains deferred.</x:v>
      </x:c>
      <x:c r="H95" s="26" t="str">
        <x:v>./docs/UTMOST_INVENTORY_2026-09-09.md</x:v>
      </x:c>
      <x:c r="I95" s="26" t="str">
        <x:v>bdcb659158d7a6527b8bf8e550417a7910a72a0962f9fb9016b57e10cfcf2406</x:v>
      </x:c>
    </x:row>
    <x:row r="96" ht="26.399999618530273" hidden="0" customHeight="1">
      <x:c r="A96" s="26" t="str">
        <x:v>UTMOST-PREP01-20260909-ATTEMPT1</x:v>
      </x:c>
      <x:c r="B96" s="29" t="n">
        <x:v>46274</x:v>
      </x:c>
      <x:c r="C96" s="26" t="str">
        <x:v>Adapter preparation</x:v>
      </x:c>
      <x:c r="D96" s="26" t="str">
        <x:v>J1807-0847</x:v>
      </x:c>
      <x:c r="E96" s="26" t="str">
        <x:v>RETAINED FAILED ATTEMPT</x:v>
      </x:c>
      <x:c r="F96" s="26" t="str">
        <x:v>PINT rejected the out-of-order released clock table.</x:v>
      </x:c>
      <x:c r="G96" s="26" t="str">
        <x:v>Repaired in the final preparation. No observed search.</x:v>
      </x:c>
      <x:c r="H96" s="26" t="str">
        <x:v>./results/research/utmost-preparation01-20260909/J1807-0847-attempt02-failure.json</x:v>
      </x:c>
      <x:c r="I96" s="26" t="str">
        <x:v>bd3b11da123dddad4a3b135a936547f46943a482edb1b4eeb142734d0a0b8f8f</x:v>
      </x:c>
    </x:row>
    <x:row r="97" ht="26.399999618530273" hidden="0" customHeight="1">
      <x:c r="A97" s="26" t="str">
        <x:v>UTMOST-PREP01-20260909-ATTEMPT2</x:v>
      </x:c>
      <x:c r="B97" s="29" t="n">
        <x:v>46274</x:v>
      </x:c>
      <x:c r="C97" s="26" t="str">
        <x:v>Adapter preparation</x:v>
      </x:c>
      <x:c r="D97" s="26" t="str">
        <x:v>J1807-0847</x:v>
      </x:c>
      <x:c r="E97" s="26" t="str">
        <x:v>RETAINED FAILED ATTEMPT</x:v>
      </x:c>
      <x:c r="F97" s="26" t="str">
        <x:v>Derived clock endpoints needed original coverage bounds for time precision.</x:v>
      </x:c>
      <x:c r="G97" s="26" t="str">
        <x:v>Repaired in the final preparation. No observed search.</x:v>
      </x:c>
      <x:c r="H97" s="26" t="str">
        <x:v>./results/research/utmost-preparation01-20260909/J1807-0847-attempt01-failure.json</x:v>
      </x:c>
      <x:c r="I97" s="26" t="str">
        <x:v>658d56fc981401a300280ea074f9842806c33a1e8f232ab7fd5737ef22a9e047</x:v>
      </x:c>
    </x:row>
    <x:row r="98" ht="26.399999618530273" hidden="0" customHeight="1">
      <x:c r="A98" s="26" t="str">
        <x:v>UTMOST-PREP01-20260909-J1807-0847</x:v>
      </x:c>
      <x:c r="B98" s="29" t="n">
        <x:v>46274</x:v>
      </x:c>
      <x:c r="C98" s="26" t="str">
        <x:v>Dataset preparation</x:v>
      </x:c>
      <x:c r="D98" s="26" t="str">
        <x:v>J1807-0847</x:v>
      </x:c>
      <x:c r="E98" s="26" t="str">
        <x:v>PREPARED CONDITIONAL</x:v>
      </x:c>
      <x:c r="F98" s="26" t="str">
        <x:v>74 TOAs; 68 observing days. Phase connection passed. Null reduced chi-squared 1.010.</x:v>
      </x:c>
      <x:c r="G98" s="26" t="str">
        <x:v>Released fixed single-band noise. Calibrated 30-400 days; no observed search or binary support.</x:v>
      </x:c>
      <x:c r="H98" s="26" t="str">
        <x:v>./results/research/utmost-preparation01-20260909/J1807-0847-prepare.json</x:v>
      </x:c>
      <x:c r="I98" s="26" t="str">
        <x:v>eebf43ea08f2751e2902f1586ed93605bc0916e98f9facb72bcf111f31048304</x:v>
      </x:c>
    </x:row>
    <x:row r="99" ht="26.399999618530273" hidden="0" customHeight="1">
      <x:c r="A99" s="26" t="str">
        <x:v>UTMOST-PREP01-20260909-J0134-2937</x:v>
      </x:c>
      <x:c r="B99" s="29" t="n">
        <x:v>46274</x:v>
      </x:c>
      <x:c r="C99" s="26" t="str">
        <x:v>Dataset preparation</x:v>
      </x:c>
      <x:c r="D99" s="26" t="str">
        <x:v>J0134-2937</x:v>
      </x:c>
      <x:c r="E99" s="26" t="str">
        <x:v>PREPARED CONDITIONAL</x:v>
      </x:c>
      <x:c r="F99" s="26" t="str">
        <x:v>198 TOAs; 189 observing days. Phase connection passed. Null reduced chi-squared 0.996.</x:v>
      </x:c>
      <x:c r="G99" s="26" t="str">
        <x:v>Released fixed single-band noise. Calibrated 30-400 days; no observed search or binary support.</x:v>
      </x:c>
      <x:c r="H99" s="26" t="str">
        <x:v>./results/research/utmost-preparation01-20260909/J0134-2937-prepare.json</x:v>
      </x:c>
      <x:c r="I99" s="26" t="str">
        <x:v>6ae5d56b6d2d6691791de92dd818bfd9dcf1f912043d333e8078e4c7a1fde816</x:v>
      </x:c>
    </x:row>
    <x:row r="100" ht="26.399999618530273" hidden="0" customHeight="1">
      <x:c r="A100" s="26" t="str">
        <x:v>UTMOST-PREP01-20260909-J1453-6413</x:v>
      </x:c>
      <x:c r="B100" s="29" t="n">
        <x:v>46274</x:v>
      </x:c>
      <x:c r="C100" s="26" t="str">
        <x:v>Dataset preparation</x:v>
      </x:c>
      <x:c r="D100" s="26" t="str">
        <x:v>J1453-6413</x:v>
      </x:c>
      <x:c r="E100" s="26" t="str">
        <x:v>PREPARED CONDITIONAL</x:v>
      </x:c>
      <x:c r="F100" s="26" t="str">
        <x:v>234 TOAs; 218 observing days. Phase connection passed. Null reduced chi-squared 1.029.</x:v>
      </x:c>
      <x:c r="G100" s="26" t="str">
        <x:v>Released fixed single-band noise. Calibrated 30-400 days; no observed search or binary support.</x:v>
      </x:c>
      <x:c r="H100" s="26" t="str">
        <x:v>./results/research/utmost-preparation01-20260909/J1453-6413-prepare.json</x:v>
      </x:c>
      <x:c r="I100" s="26" t="str">
        <x:v>3e7560b71ff22fb3ed341699f324c4b1efda6c791b897313c608625d19a86d62</x:v>
      </x:c>
    </x:row>
    <x:row r="101" ht="26.399999618530273" hidden="0" customHeight="1">
      <x:c r="A101" s="26" t="str">
        <x:v>UTMOST-PREP01-20260909-J1224-6407</x:v>
      </x:c>
      <x:c r="B101" s="29" t="n">
        <x:v>46274</x:v>
      </x:c>
      <x:c r="C101" s="26" t="str">
        <x:v>Dataset preparation</x:v>
      </x:c>
      <x:c r="D101" s="26" t="str">
        <x:v>J1224-6407</x:v>
      </x:c>
      <x:c r="E101" s="26" t="str">
        <x:v>PREPARED CONDITIONAL</x:v>
      </x:c>
      <x:c r="F101" s="26" t="str">
        <x:v>367 TOAs; 282 observing days. Phase connection passed. Null reduced chi-squared 0.979.</x:v>
      </x:c>
      <x:c r="G101" s="26" t="str">
        <x:v>Released fixed single-band noise. Calibrated 30-400 days; no observed search or binary support.</x:v>
      </x:c>
      <x:c r="H101" s="26" t="str">
        <x:v>./results/research/utmost-preparation01-20260909/J1224-6407-prepare.json</x:v>
      </x:c>
      <x:c r="I101" s="26" t="str">
        <x:v>3c156ea336ce9bd9afc2c155f667d32e7f9130c3fdc8d7800f1ca7324580f82c</x:v>
      </x:c>
    </x:row>
    <x:row r="102" ht="26.399999618530273" hidden="0" customHeight="1">
      <x:c r="A102" s="26" t="str">
        <x:v>UTMOST-PREP01-20260909-CALIBRATION</x:v>
      </x:c>
      <x:c r="B102" s="29" t="n">
        <x:v>46274</x:v>
      </x:c>
      <x:c r="C102" s="26" t="str">
        <x:v>Noise-only calibration</x:v>
      </x:c>
      <x:c r="D102" s="26" t="str">
        <x:v>Four UTMOST datasets</x:v>
      </x:c>
      <x:c r="E102" s="26" t="str">
        <x:v>CALIBRATED CONDITIONAL</x:v>
      </x:c>
      <x:c r="F102" s="26" t="str">
        <x:v>16,384 null realizations and 12 deterministic template checks. Fixed-noise 1% four-target allowance, 30-400 days.</x:v>
      </x:c>
      <x:c r="G102" s="26" t="str">
        <x:v>Median worst-phase 95% sensitivity: 22.9-50.2 microseconds. This is simulated/analytic sensitivity, not observed detection.</x:v>
      </x:c>
      <x:c r="H102" s="26" t="str">
        <x:v>./results/research/utmost-preparation01-20260909/preparation.json</x:v>
      </x:c>
      <x:c r="I102" s="26" t="str">
        <x:v>3f04386d90d569e09e3a2cb2a6e658deb63ba17f63eabe1cb2c2fca7cee6dc89</x:v>
      </x:c>
    </x:row>
    <x:row r="103" ht="26.399999618530273" hidden="0" customHeight="1">
      <x:c r="A103" s="26" t="str">
        <x:v>UTMOST-PREP01-20260909-SCOPE</x:v>
      </x:c>
      <x:c r="B103" s="29" t="n">
        <x:v>46274</x:v>
      </x:c>
      <x:c r="C103" s="26" t="str">
        <x:v>Source queue</x:v>
      </x:c>
      <x:c r="D103" s="26" t="str">
        <x:v>UTMOST DR1</x:v>
      </x:c>
      <x:c r="E103" s="26" t="str">
        <x:v>PREPARATION COMPLETE</x:v>
      </x:c>
      <x:c r="F103" s="26" t="str">
        <x:v>Four selected datasets prepared; 82 other coverage candidates unprepared. Zero UTMOST observed searches.</x:v>
      </x:c>
      <x:c r="G103" s="26" t="str">
        <x:v>Keep private. No launch or binary support authorized. Single-band candidate interpretation requires later deep review.</x:v>
      </x:c>
      <x:c r="H103" s="26" t="str">
        <x:v>./docs/UTMOST_PREPARATION01_2026-09-09.md</x:v>
      </x:c>
      <x:c r="I103" s="26" t="str">
        <x:v>1646b63af1b00aedcb76ae2100e223658759abfa29f7e1f9bf5ec984934d150c</x:v>
      </x:c>
    </x:row>
    <x:row r="104" ht="15" hidden="0" customHeight="1">
      <x:c r="A104" t="str">
        <x:v>utmost-preparation01-20260909-FREEZE</x:v>
      </x:c>
      <x:c r="B104" s="22" t="n">
        <x:v>46274.19799949074</x:v>
      </x:c>
      <x:c r="C104" t="str">
        <x:v>Batch preparation</x:v>
      </x:c>
      <x:c r="D104" t="str">
        <x:v>4 UTMOST original-search targets</x:v>
      </x:c>
      <x:c r="E104" t="str">
        <x:v>PREPARED</x:v>
      </x:c>
      <x:c r="F104" t="str">
        <x:v>4 profiles and calibrations frozen; no observed scan during preparation</x:v>
      </x:c>
      <x:c r="G104" t="str">
        <x:v>Launch is a separate operator instruction</x:v>
      </x:c>
      <x:c r="H104" t="str">
        <x:v>../Project Recherche Data/utmost-preparation01-20260909/execution-freeze.json</x:v>
      </x:c>
      <x:c r="I104" t="str">
        <x:v>e03778ee4f36d8e6cdbf299a07b964195bf6ffe3b09ad525cdca665e1027d9e1</x:v>
      </x:c>
    </x:row>
    <x:row r="105" ht="15" hidden="0" customHeight="1">
      <x:c r="A105" t="str">
        <x:v>utmost-preparation01-20260909-CLOSEOUT</x:v>
      </x:c>
      <x:c r="B105" s="22" t="n">
        <x:v>46274.19916211806</x:v>
      </x:c>
      <x:c r="C105" t="str">
        <x:v>Observed campaign</x:v>
      </x:c>
      <x:c r="D105" t="str">
        <x:v>4 UTMOST original-search targets</x:v>
      </x:c>
      <x:c r="E105" t="str">
        <x:v>COMPLETE</x:v>
      </x:c>
      <x:c r="F105" t="str">
        <x:v>4 terminal results; 0 incomplete attempts</x:v>
      </x:c>
      <x:c r="G105" t="str">
        <x:v>All run01 destinations consumed; preserve evidence</x:v>
      </x:c>
      <x:c r="H105" t="str">
        <x:v>../Project Recherche Data/utmost-preparation01-20260909/execution-freeze.json</x:v>
      </x:c>
      <x:c r="I105" t="str">
        <x:v>e03778ee4f36d8e6cdbf299a07b964195bf6ffe3b09ad525cdca665e1027d9e1</x:v>
      </x:c>
    </x:row>
    <x:row r="106" ht="15" hidden="0" customHeight="1">
      <x:c r="A106" t="str">
        <x:v>utmost-batch02-20260909-FREEZE</x:v>
      </x:c>
      <x:c r="B106" s="22" t="n">
        <x:v>46274.20411085648</x:v>
      </x:c>
      <x:c r="C106" t="str">
        <x:v>Batch preparation</x:v>
      </x:c>
      <x:c r="D106" t="str">
        <x:v>25 UTMOST original-search targets</x:v>
      </x:c>
      <x:c r="E106" t="str">
        <x:v>PREPARED</x:v>
      </x:c>
      <x:c r="F106" t="str">
        <x:v>25 profiles and calibrations frozen; no observed scan during preparation</x:v>
      </x:c>
      <x:c r="G106" t="str">
        <x:v>Launch is a separate operator instruction</x:v>
      </x:c>
      <x:c r="H106" t="str">
        <x:v>../Project Recherche Data/utmost-batch02-20260909/execution-freeze.json</x:v>
      </x:c>
      <x:c r="I106" t="str">
        <x:v>87af7677986f67eae7516c59f966e0377500fc985c7f09804aa680d3ad5dcdab</x:v>
      </x:c>
    </x:row>
    <x:row r="107" ht="15" hidden="0" customHeight="1">
      <x:c r="A107" t="str">
        <x:v>utmost-batch02-20260909-CLOSEOUT</x:v>
      </x:c>
      <x:c r="B107" s="22" t="n">
        <x:v>46274.20591400463</x:v>
      </x:c>
      <x:c r="C107" t="str">
        <x:v>Observed campaign</x:v>
      </x:c>
      <x:c r="D107" t="str">
        <x:v>25 UTMOST original-search targets</x:v>
      </x:c>
      <x:c r="E107" t="str">
        <x:v>COMPLETE</x:v>
      </x:c>
      <x:c r="F107" t="str">
        <x:v>25 terminal results; 0 incomplete attempts</x:v>
      </x:c>
      <x:c r="G107" t="str">
        <x:v>All run01 destinations consumed; preserve evidence</x:v>
      </x:c>
      <x:c r="H107" t="str">
        <x:v>../Project Recherche Data/utmost-batch02-20260909/execution-freeze.json</x:v>
      </x:c>
      <x:c r="I107" t="str">
        <x:v>87af7677986f67eae7516c59f966e0377500fc985c7f09804aa680d3ad5dcdab</x:v>
      </x:c>
    </x:row>
    <x:row r="108" ht="26.399999618530273" hidden="0" customHeight="1">
      <x:c r="A108" s="26" t="str">
        <x:v>J1327-20260909-DEEP-STEP1</x:v>
      </x:c>
      <x:c r="B108" s="29" t="n">
        <x:v>46274.20893752315</x:v>
      </x:c>
      <x:c r="C108" s="26" t="str">
        <x:v>Candidate deep review</x:v>
      </x:c>
      <x:c r="D108" s="26" t="str">
        <x:v>J1327-6222</x:v>
      </x:c>
      <x:c r="E108" s="26" t="str">
        <x:v>REVIEW COMPLETE</x:v>
      </x:c>
      <x:c r="F108" s="26" t="str">
        <x:v>Refined 63.512-day peak survives every observing-day deletion.</x:v>
      </x:c>
      <x:c r="G108" s="26" t="str">
        <x:v>Bounded follow-up; original threshold and result preserved</x:v>
      </x:c>
      <x:c r="H108" s="26" t="str">
        <x:v>./results/research/j1327-deep-review-20260909/step1.json</x:v>
      </x:c>
      <x:c r="I108" s="26" t="str">
        <x:v>a523a2bbe0cac3187db401a6c220ee01b04a5b22b48f96097b6c922e2e2ff184</x:v>
      </x:c>
    </x:row>
    <x:row r="109" ht="26.399999618530273" hidden="0" customHeight="1">
      <x:c r="A109" s="26" t="str">
        <x:v>J1327-20260909-DEEP-STEP2</x:v>
      </x:c>
      <x:c r="B109" s="29" t="n">
        <x:v>46274.20893752315</x:v>
      </x:c>
      <x:c r="C109" s="26" t="str">
        <x:v>Candidate deep review</x:v>
      </x:c>
      <x:c r="D109" s="26" t="str">
        <x:v>J1327-6222</x:v>
      </x:c>
      <x:c r="E109" s="26" t="str">
        <x:v>REVIEW COMPLETE</x:v>
      </x:c>
      <x:c r="F109" s="26" t="str">
        <x:v>Signal is much stronger in later observations; effectively one radio band.</x:v>
      </x:c>
      <x:c r="G109" s="26" t="str">
        <x:v>Bounded follow-up; original threshold and result preserved</x:v>
      </x:c>
      <x:c r="H109" s="26" t="str">
        <x:v>./results/research/j1327-deep-review-20260909/step2.json</x:v>
      </x:c>
      <x:c r="I109" s="26" t="str">
        <x:v>c81ea504e2b0c4252efd079291641009d6837e630393ec652170a3293b3f2402</x:v>
      </x:c>
    </x:row>
    <x:row r="110" ht="26.399999618530273" hidden="0" customHeight="1">
      <x:c r="A110" s="26" t="str">
        <x:v>J1327-20260909-DEEP-STEP3</x:v>
      </x:c>
      <x:c r="B110" s="29" t="n">
        <x:v>46274.20893752315</x:v>
      </x:c>
      <x:c r="C110" s="26" t="str">
        <x:v>Candidate deep review</x:v>
      </x:c>
      <x:c r="D110" s="26" t="str">
        <x:v>J1327-6222</x:v>
      </x:c>
      <x:c r="E110" s="26" t="str">
        <x:v>REVIEW COMPLETE</x:v>
      </x:c>
      <x:c r="F110" s="26" t="str">
        <x:v>Extended red-noise spectra remove the peak; 511/512 noise nulls exceed the selected-family statistic.</x:v>
      </x:c>
      <x:c r="G110" s="26" t="str">
        <x:v>Bounded follow-up; original threshold and result preserved</x:v>
      </x:c>
      <x:c r="H110" s="26" t="str">
        <x:v>./results/research/j1327-deep-review-20260909/step3.json</x:v>
      </x:c>
      <x:c r="I110" s="26" t="str">
        <x:v>08018aa51ef662fbfd0afb4fabf82af0dfbcfef030a8201c60280cbaed1e135f</x:v>
      </x:c>
    </x:row>
    <x:row r="111" ht="26.399999618530273" hidden="0" customHeight="1">
      <x:c r="A111" s="26" t="str">
        <x:v>J1327-20260909-DEEP-STEP4</x:v>
      </x:c>
      <x:c r="B111" s="29" t="n">
        <x:v>46274.20893752315</x:v>
      </x:c>
      <x:c r="C111" s="26" t="str">
        <x:v>Candidate deep review</x:v>
      </x:c>
      <x:c r="D111" s="26" t="str">
        <x:v>J1327-6222</x:v>
      </x:c>
      <x:c r="E111" s="26" t="str">
        <x:v>REVIEW COMPLETE</x:v>
      </x:c>
      <x:c r="F111" s="26" t="str">
        <x:v>Independent TPA fixed-period comparison does not corroborate; only 11.7% conditional power.</x:v>
      </x:c>
      <x:c r="G111" s="26" t="str">
        <x:v>Bounded follow-up; original threshold and result preserved</x:v>
      </x:c>
      <x:c r="H111" s="26" t="str">
        <x:v>./results/research/j1327-deep-review-20260909/step4.json</x:v>
      </x:c>
      <x:c r="I111" s="26" t="str">
        <x:v>44417340b80b0bda6ef83441284e03d8ca393584a07d59feec7825a338a1969c</x:v>
      </x:c>
    </x:row>
    <x:row r="112" ht="26.399999618530273" hidden="0" customHeight="1">
      <x:c r="A112" s="26" t="str">
        <x:v>J1327-20260909-DEEP-CLOSEOUT</x:v>
      </x:c>
      <x:c r="B112" s="29" t="n">
        <x:v>46274.20893752315</x:v>
      </x:c>
      <x:c r="C112" s="26" t="str">
        <x:v>Scientific interpretation</x:v>
      </x:c>
      <x:c r="D112" s="26" t="str">
        <x:v>J1327-6222</x:v>
      </x:c>
      <x:c r="E112" s="26" t="str">
        <x:v>INCONCLUSIVE_NOISE_SENSITIVE</x:v>
      </x:c>
      <x:c r="F112" s="26" t="str">
        <x:v>Original trigger retained; no confirmed planet. New red-noise modes explain the periodic feature.</x:v>
      </x:c>
      <x:c r="G112" s="26" t="str">
        <x:v>Private; later independent data required before revisiting. Batch 02 finished 24 NO_TRIGGER and one reviewed candidate.</x:v>
      </x:c>
      <x:c r="H112" s="26" t="str">
        <x:v>./docs/J1327_DEEP_REVIEW_2026-09-09.md</x:v>
      </x:c>
      <x:c r="I112" s="26" t="str">
        <x:v>a547b40d062d1d7aa0962ee88e9a192eb52315b4e2b2bf24fc4895e8de1981a7</x:v>
      </x:c>
    </x:row>
    <x:row r="113" ht="15" hidden="0" customHeight="1">
      <x:c r="A113" t="str">
        <x:v>candidate-grading-20260909-GRADING</x:v>
      </x:c>
      <x:c r="B113" s="22" t="n">
        <x:v>46274.227145972225</x:v>
      </x:c>
      <x:c r="C113" t="str">
        <x:v>Candidate evidence grading</x:v>
      </x:c>
      <x:c r="D113" t="str">
        <x:v>3 candidates</x:v>
      </x:c>
      <x:c r="E113" t="str">
        <x:v>COMPLETE</x:v>
      </x:c>
      <x:c r="F113" t="str">
        <x:v>Three separate measures: significance, robustness and independent confirmation. Global FAP remains unestablished.</x:v>
      </x:c>
      <x:c r="G113" t="str">
        <x:v>Saved evidence only; original results and review dispositions retained.</x:v>
      </x:c>
      <x:c r="H113" t="str">
        <x:v>./results/research/candidate-grading-20260909/assessments.json</x:v>
      </x:c>
      <x:c r="I113" t="str">
        <x:v>84efecf32fdc9f5f2d15eebc5a042c9f18909c46d2cba828e6689edaf27cdf43</x:v>
      </x:c>
    </x:row>
    <x:row r="114" ht="15" hidden="0" customHeight="1">
      <x:c r="A114" t="str">
        <x:v>utmost-batch03-20260909-FREEZE</x:v>
      </x:c>
      <x:c r="B114" s="22" t="n">
        <x:v>46274.24369054398</x:v>
      </x:c>
      <x:c r="C114" t="str">
        <x:v>Batch preparation</x:v>
      </x:c>
      <x:c r="D114" t="str">
        <x:v>25 UTMOST original-search targets</x:v>
      </x:c>
      <x:c r="E114" t="str">
        <x:v>PREPARED</x:v>
      </x:c>
      <x:c r="F114" t="str">
        <x:v>25 profiles and calibrations frozen; no observed scan during preparation</x:v>
      </x:c>
      <x:c r="G114" t="str">
        <x:v>Launch is a separate operator instruction</x:v>
      </x:c>
      <x:c r="H114" t="str">
        <x:v>../Project Recherche Data/utmost-batch03-20260909/execution-freeze.json</x:v>
      </x:c>
      <x:c r="I114" t="str">
        <x:v>756f00211b2e0470174567d0348aadeb4ebda048520c41187635c4fea0530595</x:v>
      </x:c>
    </x:row>
    <x:row r="115" ht="15" hidden="0" customHeight="1">
      <x:c r="A115" t="str">
        <x:v>utmost-batch03-20260909-CLOSEOUT</x:v>
      </x:c>
      <x:c r="B115" s="22" t="n">
        <x:v>46274.24493912037</x:v>
      </x:c>
      <x:c r="C115" t="str">
        <x:v>Observed campaign</x:v>
      </x:c>
      <x:c r="D115" t="str">
        <x:v>25 UTMOST original-search targets</x:v>
      </x:c>
      <x:c r="E115" t="str">
        <x:v>COMPLETE</x:v>
      </x:c>
      <x:c r="F115" t="str">
        <x:v>25 terminal results; 0 incomplete attempts</x:v>
      </x:c>
      <x:c r="G115" t="str">
        <x:v>All run01 destinations consumed; preserve evidence</x:v>
      </x:c>
      <x:c r="H115" t="str">
        <x:v>../Project Recherche Data/utmost-batch03-20260909/execution-freeze.json</x:v>
      </x:c>
      <x:c r="I115" t="str">
        <x:v>756f00211b2e0470174567d0348aadeb4ebda048520c41187635c4fea0530595</x:v>
      </x:c>
    </x:row>
    <x:row r="116" ht="26.399999618530273" hidden="0" customHeight="1">
      <x:c r="A116" s="26" t="str">
        <x:v>utmost-batch03-20260909-J0536-7543-PREPARATION-CONTEXT</x:v>
      </x:c>
      <x:c r="B116" s="29" t="n">
        <x:v>46274.24470606481</x:v>
      </x:c>
      <x:c r="C116" s="26" t="str">
        <x:v>Noise-model limitation</x:v>
      </x:c>
      <x:c r="D116" s="26" t="str">
        <x:v>J0536-7543</x:v>
      </x:c>
      <x:c r="E116" s="26" t="str">
        <x:v>NOISE_MODEL_LIMITATION</x:v>
      </x:c>
      <x:c r="F116" s="26" t="str">
        <x:v>Preparation reduced chi-square 0.129124 under published EFAC 3.41096. Low scatter warning retained; no noise rescaling.</x:v>
      </x:c>
      <x:c r="G116" s="26" t="str">
        <x:v>Existing observed flag tests excess scatter only. An unflagged observed result does not remove this preparation warning; sensitivity remains conditional.</x:v>
      </x:c>
      <x:c r="H116" s="26" t="str">
        <x:v>./results/research/utmost-batch03-20260909/J0536-7543-prepare.json</x:v>
      </x:c>
      <x:c r="I116" s="26" t="str">
        <x:v>f67324303ec7449c85c1e737dd914c2943f24b7b617799cf36e15a49ef8265cc</x:v>
      </x:c>
    </x:row>
    <x:row r="117" ht="26.399999618530273" hidden="0" customHeight="1">
      <x:c r="A117" s="26" t="str">
        <x:v>utmost-batch03-20260909-J0742-2822-PREPARATION-CONTEXT</x:v>
      </x:c>
      <x:c r="B117" s="29" t="n">
        <x:v>46274.24521634259</x:v>
      </x:c>
      <x:c r="C117" s="26" t="str">
        <x:v>Preparation repair</x:v>
      </x:c>
      <x:c r="D117" s="26" t="str">
        <x:v>J0742-2822</x:v>
      </x:c>
      <x:c r="E117" s="26" t="str">
        <x:v>REPAIRED</x:v>
      </x:c>
      <x:c r="F117" s="26" t="str">
        <x:v>Initial half-cycle ambiguity repaired using all 180 released pulse counts. Integer offsets agree exactly; final null reduced chi-square 1.034835.</x:v>
      </x:c>
      <x:c r="G117" s="26" t="str">
        <x:v>Failed attempt and earlier preparations preserved. Rebuilt 21 prior residual arrays are exactly unchanged. No new solver or scientific scope.</x:v>
      </x:c>
      <x:c r="H117" s="26" t="str">
        <x:v>./results/research/utmost-batch03-20260909/preparation-summary.json</x:v>
      </x:c>
      <x:c r="I117" s="26" t="str">
        <x:v>bb706bb86a7b0c4992dc9d22bf8f4f6c169bb9cbd683c8a0c21b244ad53dcc9d</x:v>
      </x:c>
    </x:row>
    <x:row r="118" ht="15" hidden="0" customHeight="1">
      <x:c r="A118" t="str">
        <x:v>utmost-batch04-20260909-FREEZE</x:v>
      </x:c>
      <x:c r="B118" s="22" t="n">
        <x:v>46274.25844754629</x:v>
      </x:c>
      <x:c r="C118" t="str">
        <x:v>Batch preparation</x:v>
      </x:c>
      <x:c r="D118" t="str">
        <x:v>25 UTMOST original-search targets</x:v>
      </x:c>
      <x:c r="E118" t="str">
        <x:v>PREPARED</x:v>
      </x:c>
      <x:c r="F118" t="str">
        <x:v>25 profiles and calibrations frozen; no observed scan during preparation</x:v>
      </x:c>
      <x:c r="G118" t="str">
        <x:v>Launch is a separate operator instruction</x:v>
      </x:c>
      <x:c r="H118" t="str">
        <x:v>../Project Recherche Data/utmost-batch04-20260909/execution-freeze.json</x:v>
      </x:c>
      <x:c r="I118" t="str">
        <x:v>2f88e715d59242ed1dc7fa7c99b22c35612c79286233a0c8d2160145749fa99e</x:v>
      </x:c>
    </x:row>
    <x:row r="119" ht="15" hidden="0" customHeight="1">
      <x:c r="A119" t="str">
        <x:v>utmost-batch04-20260909-CLOSEOUT</x:v>
      </x:c>
      <x:c r="B119" s="22" t="n">
        <x:v>46274.25970887732</x:v>
      </x:c>
      <x:c r="C119" t="str">
        <x:v>Observed campaign</x:v>
      </x:c>
      <x:c r="D119" t="str">
        <x:v>25 UTMOST original-search targets</x:v>
      </x:c>
      <x:c r="E119" t="str">
        <x:v>COMPLETE</x:v>
      </x:c>
      <x:c r="F119" t="str">
        <x:v>25 terminal results; 0 incomplete attempts</x:v>
      </x:c>
      <x:c r="G119" t="str">
        <x:v>All run01 destinations consumed; preserve evidence</x:v>
      </x:c>
      <x:c r="H119" t="str">
        <x:v>../Project Recherche Data/utmost-batch04-20260909/execution-freeze.json</x:v>
      </x:c>
      <x:c r="I119" t="str">
        <x:v>2f88e715d59242ed1dc7fa7c99b22c35612c79286233a0c8d2160145749fa99e</x:v>
      </x:c>
    </x:row>
    <x:row r="120" ht="52.79999923706055" hidden="0" customHeight="1">
      <x:c r="A120" s="26" t="str">
        <x:v>utmost-batch04-20260909-J1359-6038-review</x:v>
      </x:c>
      <x:c r="B120" s="29" t="n">
        <x:v>46274.26520701389</x:v>
      </x:c>
      <x:c r="C120" s="26" t="str">
        <x:v>CANDIDATE_DEEP_REVIEW</x:v>
      </x:c>
      <x:c r="D120" s="26" t="str">
        <x:v>J1359-6038</x:v>
      </x:c>
      <x:c r="E120" s="26" t="str">
        <x:v>INCONCLUSIVE_NOISE_SENSITIVE</x:v>
      </x:c>
      <x:c r="F120" s="26" t="str">
        <x:v>The approximately 96-day signal survives individual-day and time checks but falls from Δχ² 41.76 to about 7.21 with broader red-noise coverage. TPA has 91.2% conditional detection power but does not corroborate the waveform (fixed-period Δχ² 1.903; coefficient-contrast p 0.00568). This is informative non-corroboration, not a conclusive exclusion.</x:v>
      </x:c>
      <x:c r="G120" s="26" t="str">
        <x:v>Four bounded steps; 512 nulls and 256 injections; existing TPA fixed-period comparison. Original search preserved.</x:v>
      </x:c>
      <x:c r="H120" s="26" t="str">
        <x:v>./docs/UTMOST_BATCH04_CANDIDATE_REVIEWS_2026-09-09.md</x:v>
      </x:c>
      <x:c r="I120" s="26" t="str">
        <x:v>0b461b3100c76127d2951a06261cd425bd322f4952c97c50331bdb726ce469c6</x:v>
      </x:c>
    </x:row>
    <x:row r="121" ht="66" hidden="0" customHeight="1">
      <x:c r="A121" s="26" t="str">
        <x:v>utmost-batch04-20260909-J0908-4913-review</x:v>
      </x:c>
      <x:c r="B121" s="29" t="n">
        <x:v>46274.26520701389</x:v>
      </x:c>
      <x:c r="C121" s="26" t="str">
        <x:v>CANDIDATE_DEEP_REVIEW</x:v>
      </x:c>
      <x:c r="D121" s="26" t="str">
        <x:v>J0908-4913</x:v>
      </x:c>
      <x:c r="E121" s="26" t="str">
        <x:v>INCONCLUSIVE_NOISE_SENSITIVE</x:v>
      </x:c>
      <x:c r="F121" s="26" t="str">
        <x:v>The approximately 93-day signal weakens from Δχ² 28.29 to about 6.43 with broader red-noise coverage. Early and late coefficients also differ (conditional p 0.000885); one observing-day deletion lowers Δχ² to 20.92. TPA has 79.4% conditional detection power but does not corroborate the waveform (fixed-period Δχ² 2.318; coefficient-contrast p 0.000526). Extrapolation and noise uncertainty limit exclusion.</x:v>
      </x:c>
      <x:c r="G121" s="26" t="str">
        <x:v>Four bounded steps; 512 nulls and 256 injections; existing TPA fixed-period comparison. Original search preserved.</x:v>
      </x:c>
      <x:c r="H121" s="26" t="str">
        <x:v>./docs/UTMOST_BATCH04_CANDIDATE_REVIEWS_2026-09-09.md</x:v>
      </x:c>
      <x:c r="I121" s="26" t="str">
        <x:v>0b461b3100c76127d2951a06261cd425bd322f4952c97c50331bdb726ce469c6</x:v>
      </x:c>
    </x:row>
    <x:row r="122" ht="52.79999923706055" hidden="0" customHeight="1">
      <x:c r="A122" s="26" t="str">
        <x:v>utmost-batch04-20260909-J1048-5832-review</x:v>
      </x:c>
      <x:c r="B122" s="29" t="n">
        <x:v>46274.26520701389</x:v>
      </x:c>
      <x:c r="C122" s="26" t="str">
        <x:v>CANDIDATE_DEEP_REVIEW</x:v>
      </x:c>
      <x:c r="D122" s="26" t="str">
        <x:v>J1048-5832</x:v>
      </x:c>
      <x:c r="E122" s="26" t="str">
        <x:v>INCONCLUSIVE_NOISE_SENSITIVE</x:v>
      </x:c>
      <x:c r="F122" s="26" t="str">
        <x:v>The approximately 105-day signal collapses from Δχ² 36.74 to about 1.52 with broader red-noise coverage. No simulated global maximum falls below its candidate comparison statistic. TPA has only 2.8% conditional detection power. Its weak fixed-period response cannot confirm or meaningfully rule out this waveform.</x:v>
      </x:c>
      <x:c r="G122" s="26" t="str">
        <x:v>Four bounded steps; 512 nulls and 256 injections; existing TPA fixed-period comparison. Original search preserved.</x:v>
      </x:c>
      <x:c r="H122" s="26" t="str">
        <x:v>./docs/UTMOST_BATCH04_CANDIDATE_REVIEWS_2026-09-09.md</x:v>
      </x:c>
      <x:c r="I122" s="26" t="str">
        <x:v>0b461b3100c76127d2951a06261cd425bd322f4952c97c50331bdb726ce469c6</x:v>
      </x:c>
    </x:row>
    <x:row r="123" ht="26.399999618530273" hidden="0" customHeight="1">
      <x:c r="A123" s="26" t="str">
        <x:v>utmost-batch04-20260909-J1048-5832-pulse-repair</x:v>
      </x:c>
      <x:c r="B123" s="29" t="n">
        <x:v>46274.26520701389</x:v>
      </x:c>
      <x:c r="C123" s="26" t="str">
        <x:v>PREPARATION_REPAIR</x:v>
      </x:c>
      <x:c r="D123" s="26" t="str">
        <x:v>J1048-5832</x:v>
      </x:c>
      <x:c r="E123" s="26" t="str">
        <x:v>REPAIRED_BEFORE_CALIBRATION</x:v>
      </x:c>
      <x:c r="F123" s="26" t="str">
        <x:v>Preserved failed supplied pulse-count spread check; repaired full integer pulse tracking. Independent PINT agreement 1.71e-11 cycles.</x:v>
      </x:c>
      <x:c r="G123" s="26" t="str">
        <x:v>Adapter-only development repair; shared solver unchanged; observed run executed once after calibration.</x:v>
      </x:c>
      <x:c r="H123" s="26" t="str">
        <x:v>./results/research/utmost-batch04-20260909/independent-pulse-check.json</x:v>
      </x:c>
      <x:c r="I123" s="26" t="str">
        <x:v>6da7d5f9695e63068403218ad0849578fe9c3752d4e135cc7228b5606522e3a5</x:v>
      </x:c>
    </x:row>
    <x:row r="124" ht="92.4000015258789" hidden="0" customHeight="1">
      <x:c r="A124" s="26" t="str">
        <x:v>utmost-batch04-20260909-J1752-2806-review</x:v>
      </x:c>
      <x:c r="B124" s="29" t="n">
        <x:v>46274.26520701389</x:v>
      </x:c>
      <x:c r="C124" s="26" t="str">
        <x:v>CANDIDATE_DEEP_REVIEW</x:v>
      </x:c>
      <x:c r="D124" s="26" t="str">
        <x:v>J1752-2806</x:v>
      </x:c>
      <x:c r="E124" s="26" t="str">
        <x:v>INCONCLUSIVE_NOISE_SENSITIVE</x:v>
      </x:c>
      <x:c r="F124" s="26" t="str">
        <x:v>The approximately 81.75-day signal survives every day deletion and has compatible early/late coefficients. However, its Δχ² falls from 57.67 to 1.81–2.28 under 32/64-mode red noise. The model-selected comparison retains statistic 25.91, with 0/512 null exceedances, because the preferred signal model returns to the released covariance while the preferred null uses steeper 64-mode noise. This model dependence warrants NOISE_SENSITIVE despite the interesting conditional tail. TPA has only 29.0% conditional detection power and no fixed-period support. That non-detection is underpowered and does not settle the candidate.</x:v>
      </x:c>
      <x:c r="G124" s="26" t="str">
        <x:v>Four bounded steps; 512 nulls and 256 injections; existing TPA fixed-period comparison. Original search preserved.</x:v>
      </x:c>
      <x:c r="H124" s="26" t="str">
        <x:v>./docs/UTMOST_BATCH04_CANDIDATE_REVIEWS_2026-09-09.md</x:v>
      </x:c>
      <x:c r="I124" s="26" t="str">
        <x:v>0b461b3100c76127d2951a06261cd425bd322f4952c97c50331bdb726ce469c6</x:v>
      </x:c>
    </x:row>
    <x:row r="125" ht="15" hidden="0" customHeight="1">
      <x:c r="A125" t="str">
        <x:v>candidate-grading-utmost-batch04-20260909-GRADING</x:v>
      </x:c>
      <x:c r="B125" s="22" t="n">
        <x:v>46274.26520701389</x:v>
      </x:c>
      <x:c r="C125" t="str">
        <x:v>Candidate evidence grading</x:v>
      </x:c>
      <x:c r="D125" t="str">
        <x:v>4 candidates</x:v>
      </x:c>
      <x:c r="E125" t="str">
        <x:v>COMPLETE</x:v>
      </x:c>
      <x:c r="F125" t="str">
        <x:v>Three separate measures: significance, robustness and independent confirmation. Global FAP remains unestablished.</x:v>
      </x:c>
      <x:c r="G125" t="str">
        <x:v>Saved evidence only; original results and review dispositions retained.</x:v>
      </x:c>
      <x:c r="H125" t="str">
        <x:v>./results/research/candidate-grading-utmost-batch04-20260909/assessments.json</x:v>
      </x:c>
      <x:c r="I125" t="str">
        <x:v>0dc5260410b64d9a5da42d33ab717f9d7d97c88e64a37548c3e2c7d7480e3261</x:v>
      </x:c>
    </x:row>
    <x:row r="126" ht="39.599998474121094" hidden="0" customHeight="1">
      <x:c r="A126" s="26" t="str">
        <x:v>j1752-focused-review-20260909-numerical</x:v>
      </x:c>
      <x:c r="B126" s="29" t="n">
        <x:v>46274.286070069444</x:v>
      </x:c>
      <x:c r="C126" s="26" t="str">
        <x:v>CANDIDATE_FOCUSED_REVIEW</x:v>
      </x:c>
      <x:c r="D126" s="26" t="str">
        <x:v>J1752-2806</x:v>
      </x:c>
      <x:c r="E126" s="26" t="str">
        <x:v>NUMERICAL_REVIEW_COMPLETE</x:v>
      </x:c>
      <x:c r="F126" s="26" t="str">
        <x:v>Joint noise/signal fits: statistic 58.42 (12 modes), 9.89 (32), 12.56 (64). Three additional generators each 0/512 exceedances of FIRST review statistic; previous 512 reused. TPA uncertainty propagation median power 22-31%.</x:v>
      </x:c>
      <x:c r="G126" s="26" t="str">
        <x:v>Joint fits; 1536 new nulls; 6144 local parameter draws. No blind observed search. Global significance not established.</x:v>
      </x:c>
      <x:c r="H126" s="26" t="str">
        <x:v>./results/research/j1752-focused-review-20260909/joint.json</x:v>
      </x:c>
      <x:c r="I126" s="26" t="str">
        <x:v>574831c78b0d64318943ead95645ac2ed15184c679f15a557cc517578cfd7c7a</x:v>
      </x:c>
    </x:row>
    <x:row r="127" ht="26.399999618530273" hidden="0" customHeight="1">
      <x:c r="A127" s="26" t="str">
        <x:v>j1752-focused-review-20260909-report</x:v>
      </x:c>
      <x:c r="B127" s="29" t="n">
        <x:v>46274.28980107639</x:v>
      </x:c>
      <x:c r="C127" s="26" t="str">
        <x:v>SCIENTIFIC_REPORT</x:v>
      </x:c>
      <x:c r="D127" s="26" t="str">
        <x:v>J1752-2806</x:v>
      </x:c>
      <x:c r="E127" s="26" t="str">
        <x:v>INCONCLUSIVE_NOISE_SENSITIVE</x:v>
      </x:c>
      <x:c r="F127" s="26" t="str">
        <x:v>Six-page dedicated PDF: joint noise/signal fits, four conditional null generators, period/phase propagation and provenance. No discovery established.</x:v>
      </x:c>
      <x:c r="G127" s="26" t="str">
        <x:v>Authorized focused review complete; original search and first review preserved. No additional blind search.</x:v>
      </x:c>
      <x:c r="H127" s="26" t="str">
        <x:v>./output/pdf/J1752-2806_Candidate_Report.pdf</x:v>
      </x:c>
      <x:c r="I127" s="26" t="str">
        <x:v>c52cd9891db6610f309d8734d1dcd0f73ea96d4ee72745932e286450f47035f1</x:v>
      </x:c>
    </x:row>
    <x:row r="128" ht="15" hidden="0" customHeight="1">
      <x:c r="A128" t="str">
        <x:v>j1752-focused-review-20260909-GRADING</x:v>
      </x:c>
      <x:c r="B128" s="22" t="n">
        <x:v>46274.28980107639</x:v>
      </x:c>
      <x:c r="C128" t="str">
        <x:v>Candidate evidence grading</x:v>
      </x:c>
      <x:c r="D128" t="str">
        <x:v>1 candidates</x:v>
      </x:c>
      <x:c r="E128" t="str">
        <x:v>COMPLETE</x:v>
      </x:c>
      <x:c r="F128" t="str">
        <x:v>Three separate measures: significance, robustness and independent confirmation. Global FAP remains unestablished.</x:v>
      </x:c>
      <x:c r="G128" t="str">
        <x:v>Saved evidence only; original results and review dispositions retained.</x:v>
      </x:c>
      <x:c r="H128" t="str">
        <x:v>./results/research/j1752-focused-review-20260909/assessments.json</x:v>
      </x:c>
      <x:c r="I128" t="str">
        <x:v>7ea7b856648ce417d451851037d19521aee90fe74ea4a4ae3875aea96a9d350e</x:v>
      </x:c>
    </x:row>
    <x:row r="129" ht="26.399999618530273" hidden="0" customHeight="1">
      <x:c r="A129" s="26" t="str">
        <x:v>utmost-batch05-20260909-J1825-0935-preparation-gap</x:v>
      </x:c>
      <x:c r="B129" s="29" t="n">
        <x:v>46274.297203043985</x:v>
      </x:c>
      <x:c r="C129" s="26" t="str">
        <x:v>PREPARATION_FAILURE_AND_MODEL_GAP</x:v>
      </x:c>
      <x:c r="D129" s="26" t="str">
        <x:v>J1825-0935</x:v>
      </x:c>
      <x:c r="E129" s="26" t="str">
        <x:v>DEFERRED_UNSUPPORTED_TIMING_CONVENTIONS</x:v>
      </x:c>
      <x:c r="F129" s="26" t="str">
        <x:v>Failed UTMOST preparation preserved. DE405 plus T2CMETHOD TEMPO; pinned PINT coerces frame convention to IAU2000B. No observed UTMOST search executed.</x:v>
      </x:c>
      <x:c r="G129" s="26" t="str">
        <x:v>Original seven-target selection retained; revised six-target policy calibrated before launch. One explicit compatibility gap, not NO_TRIGGER.</x:v>
      </x:c>
      <x:c r="H129" s="26" t="str">
        <x:v>./results/research/utmost-batch05-20260909/preparation-deferrals/J1825-0935-diagnosis.json</x:v>
      </x:c>
      <x:c r="I129" s="26" t="str">
        <x:v>dfe4636bc1b5b5a2ba726dcfcfd5ee8a13a37fc651b3ca79542b795bd1e3554a</x:v>
      </x:c>
    </x:row>
    <x:row r="130" ht="15" hidden="0" customHeight="1">
      <x:c r="A130" t="str">
        <x:v>utmost-batch05-20260909-FREEZE</x:v>
      </x:c>
      <x:c r="B130" s="22" t="n">
        <x:v>46274.29691700231</x:v>
      </x:c>
      <x:c r="C130" t="str">
        <x:v>Batch preparation</x:v>
      </x:c>
      <x:c r="D130" t="str">
        <x:v>6 UTMOST original-search targets</x:v>
      </x:c>
      <x:c r="E130" t="str">
        <x:v>PREPARED</x:v>
      </x:c>
      <x:c r="F130" t="str">
        <x:v>6 profiles and calibrations frozen; no observed scan during preparation</x:v>
      </x:c>
      <x:c r="G130" t="str">
        <x:v>Launch is a separate operator instruction</x:v>
      </x:c>
      <x:c r="H130" t="str">
        <x:v>../Project Recherche Data/utmost-batch05-20260909/execution-freeze.json</x:v>
      </x:c>
      <x:c r="I130" t="str">
        <x:v>8af21b72e19d3856446123d5e2cfa5e3e1f2860b9458cccb828e2bdc07d6e57b</x:v>
      </x:c>
    </x:row>
    <x:row r="131" ht="15" hidden="0" customHeight="1">
      <x:c r="A131" t="str">
        <x:v>utmost-batch05-20260909-CLOSEOUT</x:v>
      </x:c>
      <x:c r="B131" s="22" t="n">
        <x:v>46274.297641377314</x:v>
      </x:c>
      <x:c r="C131" t="str">
        <x:v>Observed campaign</x:v>
      </x:c>
      <x:c r="D131" t="str">
        <x:v>6 UTMOST original-search targets</x:v>
      </x:c>
      <x:c r="E131" t="str">
        <x:v>COMPLETE</x:v>
      </x:c>
      <x:c r="F131" t="str">
        <x:v>6 terminal results; 0 incomplete attempts</x:v>
      </x:c>
      <x:c r="G131" t="str">
        <x:v>All run01 destinations consumed; preserve evidence</x:v>
      </x:c>
      <x:c r="H131" t="str">
        <x:v>../Project Recherche Data/utmost-batch05-20260909/execution-freeze.json</x:v>
      </x:c>
      <x:c r="I131" t="str">
        <x:v>8af21b72e19d3856446123d5e2cfa5e3e1f2860b9458cccb828e2bdc07d6e57b</x:v>
      </x:c>
    </x:row>
    <x:row r="132" ht="100" customHeight="1">
      <x:c r="A132" s="26" t="str">
        <x:v>UTMOST-NS-20260909-INVENTORY</x:v>
      </x:c>
      <x:c r="B132" s="29" t="n">
        <x:v>46274</x:v>
      </x:c>
      <x:c r="C132" s="26" t="str">
        <x:v>Source inventory</x:v>
      </x:c>
      <x:c r="D132" s="26" t="str">
        <x:v>174 portal targets</x:v>
      </x:c>
      <x:c r="E132" s="26" t="str">
        <x:v>METADATA INVENTORIED</x:v>
      </x:c>
      <x:c r="F132" s="26" t="str">
        <x:v>33,361 observations; 173 resolved identities; 11 new master identities. J1357-62 unresolved.</x:v>
      </x:c>
      <x:c r="G132" s="26" t="str">
        <x:v>Counts are portal observations, not verified TOAs. Preserve source snapshot.</x:v>
      </x:c>
      <x:c r="H132" s="26" t="str">
        <x:v>./results/research/utmost-ns-inventory-20260909/inventory.json</x:v>
      </x:c>
      <x:c r="I132" s="26" t="str">
        <x:v>50d520839b0bc15d2179c674301f734b12a6a8484dc552d90841e8084ecd65eb</x:v>
      </x:c>
    </x:row>
    <x:row r="133" ht="100" customHeight="1">
      <x:c r="A133" s="26" t="str">
        <x:v>UTMOST-NS-20260909-COVERAGE</x:v>
      </x:c>
      <x:c r="B133" s="29" t="n">
        <x:v>46274</x:v>
      </x:c>
      <x:c r="C133" s="26" t="str">
        <x:v>Coverage assessment</x:v>
      </x:c>
      <x:c r="D133" s="26" t="str">
        <x:v>174 portal targets</x:v>
      </x:c>
      <x:c r="E133" s="26" t="str">
        <x:v>NO STANDALONE ELIGIBLE DATASETS</x:v>
      </x:c>
      <x:c r="F133" s="26" t="str">
        <x:v>Spans 99-819 days; all below 1,200 days. 104 previously searched targets; 146 overlap EW DR1.</x:v>
      </x:c>
      <x:c r="G133" s="26" t="str">
        <x:v>Combined EW+NS eligibility awaits complete timing inputs. Binary support deferred.</x:v>
      </x:c>
      <x:c r="H133" s="26" t="str">
        <x:v>./results/research/utmost-ns-inventory-20260909/inventory.json</x:v>
      </x:c>
      <x:c r="I133" s="26" t="str">
        <x:v>50d520839b0bc15d2179c674301f734b12a6a8484dc552d90841e8084ecd65eb</x:v>
      </x:c>
    </x:row>
    <x:row r="134" ht="100" customHeight="1">
      <x:c r="A134" s="26" t="str">
        <x:v>UTMOST-NS-20260909-ACCESS</x:v>
      </x:c>
      <x:c r="B134" s="29" t="n">
        <x:v>46274</x:v>
      </x:c>
      <x:c r="C134" s="26" t="str">
        <x:v>Input acquisition</x:v>
      </x:c>
      <x:c r="D134" s="26" t="str">
        <x:v>UTMOST-NS timing package</x:v>
      </x:c>
      <x:c r="E134" s="26" t="str">
        <x:v>AWAITING PORTAL LOGIN</x:v>
      </x:c>
      <x:c r="F134" s="26" t="str">
        <x:v>Anonymous raw-TOA API denied access. Official NS clock acquired; combined PAR/TIM/noise package unverified.</x:v>
      </x:c>
      <x:c r="G134" s="26" t="str">
        <x:v>Use authenticated portal access or obtain publication timing products from authors.</x:v>
      </x:c>
      <x:c r="H134" s="26" t="str">
        <x:v>./docs/UTMOST_NS_INTAKE_2026-09-09.md</x:v>
      </x:c>
      <x:c r="I134" s="26" t="str">
        <x:v>29b4649ab0c47ff161cb0230a3c837fa086707fd3e24a9b2628b28f4f082f3fd</x:v>
      </x:c>
    </x:row>
    <x:row r="135" ht="100" customHeight="1">
      <x:c r="A135" s="26" t="str">
        <x:v>UTMOST-NS-20260909-SCOPE</x:v>
      </x:c>
      <x:c r="B135" s="29" t="n">
        <x:v>46274</x:v>
      </x:c>
      <x:c r="C135" s="26" t="str">
        <x:v>Campaign state</x:v>
      </x:c>
      <x:c r="D135" s="26" t="str">
        <x:v>UTMOST-NS four-step route</x:v>
      </x:c>
      <x:c r="E135" s="26" t="str">
        <x:v>AUTHORIZED; NOT LAUNCHED</x:v>
      </x:c>
      <x:c r="F135" s="26" t="str">
        <x:v>No calibration, observed search or candidate follow-up performed. Existing scientific records preserved.</x:v>
      </x:c>
      <x:c r="G135" s="26" t="str">
        <x:v>Resume preparation when inputs meet scope. J1752 follow-up deferred until first observed run completes.</x:v>
      </x:c>
      <x:c r="H135" s="26" t="str">
        <x:v>./docs/UTMOST_NS_INTAKE_2026-09-09.md</x:v>
      </x:c>
      <x:c r="I135" s="26" t="str">
        <x:v>29b4649ab0c47ff161cb0230a3c837fa086707fd3e24a9b2628b28f4f082f3fd</x:v>
      </x:c>
    </x:row>
    <x:row r="136" ht="100" customHeight="1">
      <x:c r="A136" s="26" t="str">
        <x:v>UTMOST-NS-20260909-AUTH-ACQUIRED</x:v>
      </x:c>
      <x:c r="B136" s="29" t="n">
        <x:v>46274</x:v>
      </x:c>
      <x:c r="C136" s="26" t="str">
        <x:v>Input acquisition</x:v>
      </x:c>
      <x:c r="D136" s="26" t="str">
        <x:v>MONSPSR_TIMING one-channel TOAs</x:v>
      </x:c>
      <x:c r="E136" s="26" t="str">
        <x:v>ACQUIRED</x:v>
      </x:c>
      <x:c r="F136" s="26" t="str">
        <x:v>28,305 raw TOAs from 173 targets; 173 linked models. All 174 target queries closed.</x:v>
      </x:c>
      <x:c r="G136" s="26" t="str">
        <x:v>Full-precision arrival times saved outside Git; partial broad-query attempt retained. Temporary API token revoked.</x:v>
      </x:c>
      <x:c r="H136" s="26" t="str">
        <x:v>./results/research/utmost-ns-authenticated-20260909/reconciliation.json</x:v>
      </x:c>
      <x:c r="I136" s="26" t="str">
        <x:v>38e13adfeb5bc6c4faf6f40a96e436eb23f0dc629130d8f01303bfaf86d58e58</x:v>
      </x:c>
    </x:row>
    <x:row r="137" ht="100" customHeight="1">
      <x:c r="A137" s="26" t="str">
        <x:v>UTMOST-NS-20260909-AUTH-RECONCILED</x:v>
      </x:c>
      <x:c r="B137" s="29" t="n">
        <x:v>46274</x:v>
      </x:c>
      <x:c r="C137" s="26" t="str">
        <x:v>Coverage assessment</x:v>
      </x:c>
      <x:c r="D137" s="26" t="str">
        <x:v>UTMOST-NS and retained EW DR1</x:v>
      </x:c>
      <x:c r="E137" s="26" t="str">
        <x:v>NO STANDALONE ELIGIBLE DATASETS</x:v>
      </x:c>
      <x:c r="F137" s="26" t="str">
        <x:v>146 EW overlaps; 146 raw unions reach 1,200 days. None has a verified complete combined timing package.</x:v>
      </x:c>
      <x:c r="G137" s="26" t="str">
        <x:v>Shared EW data are previously used measurements, not independent confirmation. Raw S/N cuts do not reproduce the published manual exclusions.</x:v>
      </x:c>
      <x:c r="H137" s="26" t="str">
        <x:v>./results/research/utmost-ns-authenticated-20260909/reconciliation.json</x:v>
      </x:c>
      <x:c r="I137" s="26" t="str">
        <x:v>38e13adfeb5bc6c4faf6f40a96e436eb23f0dc629130d8f01303bfaf86d58e58</x:v>
      </x:c>
    </x:row>
    <x:row r="138" ht="100" customHeight="1">
      <x:c r="A138" s="26" t="str">
        <x:v>UTMOST-NS-20260909-AUTH-INPUT-GAP</x:v>
      </x:c>
      <x:c r="B138" s="29" t="n">
        <x:v>46274</x:v>
      </x:c>
      <x:c r="C138" s="26" t="str">
        <x:v>Preparation assessment</x:v>
      </x:c>
      <x:c r="D138" s="26" t="str">
        <x:v>Representative isolated-pulsar models</x:v>
      </x:c>
      <x:c r="E138" s="26" t="str">
        <x:v>COMBINED TIMING INPUTS REQUIRED</x:v>
      </x:c>
      <x:c r="F138" s="26" t="str">
        <x:v>No isolated linked model has a nonplaceholder validity window covering its full EW+NS union; publication pulse-count, fit and instrument-noise bindings remain unverified.</x:v>
      </x:c>
      <x:c r="G138" s="26" t="str">
        <x:v>Portal file index denied access. Obtain analysis-ready combined PAR/TIM/noise and exclusion products; request draft saved but not sent.</x:v>
      </x:c>
      <x:c r="H138" s="26" t="str">
        <x:v>./docs/UTMOST_NS_AUTHENTICATED_INTAKE_2026-09-09.md</x:v>
      </x:c>
      <x:c r="I138" s="26" t="str">
        <x:v>ff6a9b31469df21b8e52fcbbb140888f9e414e14535810374a04c0ebd11356fe</x:v>
      </x:c>
    </x:row>
    <x:row r="139" ht="100" customHeight="1">
      <x:c r="A139" s="26" t="str">
        <x:v>UTMOST-NS-20260909-AUTH-SCOPE</x:v>
      </x:c>
      <x:c r="B139" s="29" t="n">
        <x:v>46274</x:v>
      </x:c>
      <x:c r="C139" s="26" t="str">
        <x:v>Campaign state</x:v>
      </x:c>
      <x:c r="D139" s="26" t="str">
        <x:v>UTMOST-NS four-step route</x:v>
      </x:c>
      <x:c r="E139" s="26" t="str">
        <x:v>AUTHORIZED; NOT LAUNCHED</x:v>
      </x:c>
      <x:c r="F139" s="26" t="str">
        <x:v>Acquisition and raw-data reconciliation complete. No calibration, observed search or J1752 candidate-specific follow-up performed.</x:v>
      </x:c>
      <x:c r="G139" s="26" t="str">
        <x:v>Resume with the missing combined inputs. Preserve period range, duration criterion and deferred binary support.</x:v>
      </x:c>
      <x:c r="H139" s="26" t="str">
        <x:v>./docs/UTMOST_NS_AUTHENTICATED_INTAKE_2026-09-09.md</x:v>
      </x:c>
      <x:c r="I139" s="26" t="str">
        <x:v>ff6a9b31469df21b8e52fcbbb140888f9e414e14535810374a04c0ebd11356fe</x:v>
      </x:c>
    </x:row>
    <x:row r="140" ht="100" customHeight="1">
      <x:c r="A140" s="26" t="str">
        <x:v>IPTA-DR2-20260909-INVENTORY</x:v>
      </x:c>
      <x:c r="B140" s="29" t="n">
        <x:v>46274</x:v>
      </x:c>
      <x:c r="C140" s="26" t="str">
        <x:v>Source inventory</x:v>
      </x:c>
      <x:c r="D140" s="26" t="str">
        <x:v>IPTA DR2 Version B; 65 targets</x:v>
      </x:c>
      <x:c r="E140" s="26" t="str">
        <x:v>REVIEW COMPLETE</x:v>
      </x:c>
      <x:c r="F140" s="26" t="str">
        <x:v>44 binary models; one wide companion; 20 isolated targets already searched in other releases.</x:v>
      </x:c>
      <x:c r="G140" s="26" t="str">
        <x:v>Pinned public release; zero new isolated identities.</x:v>
      </x:c>
      <x:c r="H140" s="26" t="str">
        <x:v>./results/research/ipta-dr2-review-20260909/inventory.json</x:v>
      </x:c>
      <x:c r="I140" s="26" t="str">
        <x:v>e504614ed6411282acec58ca003957d16dbf11f4bfddc26b7360f7185b0660c1</x:v>
      </x:c>
    </x:row>
    <x:row r="141" ht="100" customHeight="1">
      <x:c r="A141" s="26" t="str">
        <x:v>IPTA-DR2-20260909-COVERAGE</x:v>
      </x:c>
      <x:c r="B141" s="29" t="n">
        <x:v>46274</x:v>
      </x:c>
      <x:c r="C141" s="26" t="str">
        <x:v>Coverage assessment</x:v>
      </x:c>
      <x:c r="D141" s="26" t="str">
        <x:v>20 isolated IPTA datasets</x:v>
      </x:c>
      <x:c r="E141" s="26" t="str">
        <x:v>14 COVERAGE CANDIDATES</x:v>
      </x:c>
      <x:c r="F141" s="26" t="str">
        <x:v>14 meet duration/day criteria, with 40,088 TOAs. Six are too short. All 14 add unmatched site-days.</x:v>
      </x:c>
      <x:c r="G141" s="26" t="str">
        <x:v>Overlap uses physical site and +/-1 observing day; unmatched rows do not alone prove independence.</x:v>
      </x:c>
      <x:c r="H141" s="26" t="str">
        <x:v>./results/research/ipta-dr2-review-20260909/inventory.json</x:v>
      </x:c>
      <x:c r="I141" s="26" t="str">
        <x:v>e504614ed6411282acec58ca003957d16dbf11f4bfddc26b7360f7185b0660c1</x:v>
      </x:c>
    </x:row>
    <x:row r="142" ht="100" customHeight="1">
      <x:c r="A142" s="26" t="str">
        <x:v>IPTA-DR2-20260909-MODEL</x:v>
      </x:c>
      <x:c r="B142" s="29" t="n">
        <x:v>46274</x:v>
      </x:c>
      <x:c r="C142" s="26" t="str">
        <x:v>Compatibility assessment</x:v>
      </x:c>
      <x:c r="D142" s="26" t="str">
        <x:v>Legacy T2CMETHOD TEMPO</x:v>
      </x:c>
      <x:c r="E142" s="26" t="str">
        <x:v>ADAPTER REQUIRED</x:v>
      </x:c>
      <x:c r="F142" s="26" t="str">
        <x:v>All three model imports changed the timing convention. DE436, BIPM2015, clocks and noise bindings need preparation.</x:v>
      </x:c>
      <x:c r="G142" s="26" t="str">
        <x:v>No fits, calibration or searches. Keep the qualified search solver unchanged.</x:v>
      </x:c>
      <x:c r="H142" s="26" t="str">
        <x:v>./results/research/ipta-dr2-review-20260909/inventory.json</x:v>
      </x:c>
      <x:c r="I142" s="26" t="str">
        <x:v>e504614ed6411282acec58ca003957d16dbf11f4bfddc26b7360f7185b0660c1</x:v>
      </x:c>
    </x:row>
    <x:row r="143" ht="100" customHeight="1">
      <x:c r="A143" s="26" t="str">
        <x:v>IPTA-DR2-20260909-NEXT</x:v>
      </x:c>
      <x:c r="B143" s="29" t="n">
        <x:v>46274</x:v>
      </x:c>
      <x:c r="C143" s="26" t="str">
        <x:v>Preparation recommendation</x:v>
      </x:c>
      <x:c r="D143" s="26" t="str">
        <x:v>J1721-2457</x:v>
      </x:c>
      <x:c r="E143" s="26" t="str">
        <x:v>NOT PREPARED OR LAUNCHED</x:v>
      </x:c>
      <x:c r="F143" s="26" t="str">
        <x:v>Preferred bounded adapter target: 150 Nancay/Westerbork days over 12.76 years; prior search used MeerKAT.</x:v>
      </x:c>
      <x:c r="G143" s="26" t="str">
        <x:v>J2010-1323 next; J1939+2134 separate follow-up. Binary support and J1752 NS follow-up deferred.</x:v>
      </x:c>
      <x:c r="H143" s="26" t="str">
        <x:v>./results/research/ipta-dr2-review-20260909/inventory.json</x:v>
      </x:c>
      <x:c r="I143" s="26" t="str">
        <x:v>e504614ed6411282acec58ca003957d16dbf11f4bfddc26b7360f7185b0660c1</x:v>
      </x:c>
    </x:row>
    <x:row r="144" ht="100" customHeight="1">
      <x:c r="A144" s="26" t="str">
        <x:v>IPTA-ADAPTER-20260909-REPAIRS</x:v>
      </x:c>
      <x:c r="B144" s="29" t="n">
        <x:v>46274</x:v>
      </x:c>
      <x:c r="C144" s="26" t="str">
        <x:v>Adapter development</x:v>
      </x:c>
      <x:c r="D144" s="26" t="str">
        <x:v>J1721-2457; IPTA DR2 Version B</x:v>
      </x:c>
      <x:c r="E144" s="26" t="str">
        <x:v>LOCALIZED REPAIRS COMPLETE</x:v>
      </x:c>
      <x:c r="F144" s="26" t="str">
        <x:v>Isolated Intel TEMPO2 runtime; space-free ephemeris path; explicit historical DM polynomial convention.</x:v>
      </x:c>
      <x:c r="G144" s="26" t="str">
        <x:v>Original inputs and qualified Recherche source preserved. No binary support.</x:v>
      </x:c>
      <x:c r="H144" s="26" t="str">
        <x:v>./results/research/ipta-adapter01-20260909/closeout.json</x:v>
      </x:c>
      <x:c r="I144" s="26" t="str">
        <x:v>6710b5526cf6659e6b492dd9683c327f4e1fd9cc7db572d82ddc99dddcd623d5</x:v>
      </x:c>
    </x:row>
    <x:row r="145" ht="100" customHeight="1">
      <x:c r="A145" s="26" t="str">
        <x:v>IPTA-ADAPTER-20260909-ATTEMPT02</x:v>
      </x:c>
      <x:c r="B145" s="29" t="n">
        <x:v>46274</x:v>
      </x:c>
      <x:c r="C145" s="26" t="str">
        <x:v>Preparation attempt</x:v>
      </x:c>
      <x:c r="D145" s="26" t="str">
        <x:v>J1721-2457; attempt02</x:v>
      </x:c>
      <x:c r="E145" s="26" t="str">
        <x:v>FAILED; REPAIRED IN ATTEMPT03</x:v>
      </x:c>
      <x:c r="F145" s="26" t="str">
        <x:v>Restricted clock package omitted legacy UT1 and date-dependent alternate GPS routes.</x:v>
      </x:c>
      <x:c r="G145" s="26" t="str">
        <x:v>Failed evidence retained. Restored complete pinned clock resources and release overrides. No search launched.</x:v>
      </x:c>
      <x:c r="H145" s="26" t="str">
        <x:v>./results/research/ipta-adapter01-20260909/closeout.json</x:v>
      </x:c>
      <x:c r="I145" s="26" t="str">
        <x:v>6710b5526cf6659e6b492dd9683c327f4e1fd9cc7db572d82ddc99dddcd623d5</x:v>
      </x:c>
    </x:row>
    <x:row r="146" ht="100" customHeight="1">
      <x:c r="A146" s="26" t="str">
        <x:v>IPTA-ADAPTER-20260909-ATTEMPT03</x:v>
      </x:c>
      <x:c r="B146" s="29" t="n">
        <x:v>46274</x:v>
      </x:c>
      <x:c r="C146" s="26" t="str">
        <x:v>Timing/noise compatibility</x:v>
      </x:c>
      <x:c r="D146" s="26" t="str">
        <x:v>J1721-2457; 150 TOAs</x:v>
      </x:c>
      <x:c r="E146" s="26" t="str">
        <x:v>TIMING_NOISE_COMPATIBLE</x:v>
      </x:c>
      <x:c r="F146" s="26" t="str">
        <x:v>Weighted RMS 17.7433 us; reduced chi-square 0.982058. Timing exports agree; covariance differences about 1e-15.</x:v>
      </x:c>
      <x:c r="G146" s="26" t="str">
        <x:v>13 timing columns full rank; four finite-difference checks pass. Fixed released noise, not a planet result.</x:v>
      </x:c>
      <x:c r="H146" s="26" t="str">
        <x:v>./results/research/ipta-adapter01-20260909/closeout.json</x:v>
      </x:c>
      <x:c r="I146" s="26" t="str">
        <x:v>6710b5526cf6659e6b492dd9683c327f4e1fd9cc7db572d82ddc99dddcd623d5</x:v>
      </x:c>
    </x:row>
    <x:row r="147" ht="100" customHeight="1">
      <x:c r="A147" s="26" t="str">
        <x:v>IPTA-ADAPTER-20260909-NEXT</x:v>
      </x:c>
      <x:c r="B147" s="29" t="n">
        <x:v>46274</x:v>
      </x:c>
      <x:c r="C147" s="26" t="str">
        <x:v>Preparation closeout</x:v>
      </x:c>
      <x:c r="D147" s="26" t="str">
        <x:v>J1721-2457</x:v>
      </x:c>
      <x:c r="E147" s="26" t="str">
        <x:v>READY FOR CALIBRATION</x:v>
      </x:c>
      <x:c r="F147" s="26" t="str">
        <x:v>Prepared timing, nuisance-design and covariance arrays; no threshold or sensitivity calibration yet.</x:v>
      </x:c>
      <x:c r="G147" s="26" t="str">
        <x:v>Calibrate this target next. No period range frozen, search launched or J2010 expansion performed.</x:v>
      </x:c>
      <x:c r="H147" s="26" t="str">
        <x:v>./results/research/ipta-adapter01-20260909/closeout.json</x:v>
      </x:c>
      <x:c r="I147" s="26" t="str">
        <x:v>6710b5526cf6659e6b492dd9683c327f4e1fd9cc7db572d82ddc99dddcd623d5</x:v>
      </x:c>
    </x:row>
    <x:row r="148" ht="100" customHeight="1">
      <x:c r="A148" s="26" t="str">
        <x:v>IPTA-CAL-20260909-THRESHOLD</x:v>
      </x:c>
      <x:c r="B148" s="29" t="n">
        <x:v>46274</x:v>
      </x:c>
      <x:c r="C148" s="26" t="str">
        <x:v>Target calibration</x:v>
      </x:c>
      <x:c r="D148" s="26" t="str">
        <x:v>J1721-2457; IPTA DR2 Version B</x:v>
      </x:c>
      <x:c r="E148" s="26" t="str">
        <x:v>CALIBRATED_CONDITIONAL</x:v>
      </x:c>
      <x:c r="F148" s="26" t="str">
        <x:v>Threshold delta chi-square 22.495314; 4,096 fixed-noise nulls; single-target 1% allowance.</x:v>
      </x:c>
      <x:c r="G148" s="26" t="str">
        <x:v>30-2,000 days, 767 frequency cells. Conservative analytical bound exceeds empirical 99th percentile.</x:v>
      </x:c>
      <x:c r="H148" s="26" t="str">
        <x:v>./results/research/ipta-calibration01-20260909/closeout.json</x:v>
      </x:c>
      <x:c r="I148" s="26" t="str">
        <x:v>83a41b55f261c2e62361e94d96c37ef39e1822451fa231f3e9f0ee12ee413cdd</x:v>
      </x:c>
    </x:row>
    <x:row r="149" ht="100" customHeight="1">
      <x:c r="A149" s="26" t="str">
        <x:v>IPTA-CAL-20260909-MASK</x:v>
      </x:c>
      <x:c r="B149" s="29" t="n">
        <x:v>46274</x:v>
      </x:c>
      <x:c r="C149" s="26" t="str">
        <x:v>Timing identifiability</x:v>
      </x:c>
      <x:c r="D149" s="26" t="str">
        <x:v>J1721-2457 annual mask</x:v>
      </x:c>
      <x:c r="E149" s="26" t="str">
        <x:v>760 ELIGIBLE; 7 MASKED</x:v>
      </x:c>
      <x:c r="F149" s="26" t="str">
        <x:v>Seven excluded grid periods span 349.659-384.249 days; annual timing fit absorbs the signal.</x:v>
      </x:c>
      <x:c r="G149" s="26" t="str">
        <x:v>Exclude at least 80% additional power loss or ill-conditioned templates. No finite sensitivity assigned to masked cells.</x:v>
      </x:c>
      <x:c r="H149" s="26" t="str">
        <x:v>./results/research/ipta-calibration01-20260909/closeout.json</x:v>
      </x:c>
      <x:c r="I149" s="26" t="str">
        <x:v>83a41b55f261c2e62361e94d96c37ef39e1822451fa231f3e9f0ee12ee413cdd</x:v>
      </x:c>
    </x:row>
    <x:row r="150" ht="100" customHeight="1">
      <x:c r="A150" s="26" t="str">
        <x:v>IPTA-CAL-20260909-SENSITIVITY</x:v>
      </x:c>
      <x:c r="B150" s="29" t="n">
        <x:v>46274</x:v>
      </x:c>
      <x:c r="C150" s="26" t="str">
        <x:v>Circular-signal sensitivity</x:v>
      </x:c>
      <x:c r="D150" s="26" t="str">
        <x:v>J1721-2457; 95% detection probability</x:v>
      </x:c>
      <x:c r="E150" s="26" t="str">
        <x:v>SENSITIVITY SAVED</x:v>
      </x:c>
      <x:c r="F150" s="26" t="str">
        <x:v>Median worst-phase amplitude 14.9265 us over eligible grid; about 28.70 us near 985 days and 46.69 us at 2,000 days.</x:v>
      </x:c>
      <x:c r="G150" s="26" t="str">
        <x:v>Analytical on-grid sensitivity conditional on fixed noise. One noiseless integration check recovered 100 us.</x:v>
      </x:c>
      <x:c r="H150" s="26" t="str">
        <x:v>./results/research/ipta-calibration01-20260909/closeout.json</x:v>
      </x:c>
      <x:c r="I150" s="26" t="str">
        <x:v>83a41b55f261c2e62361e94d96c37ef39e1822451fa231f3e9f0ee12ee413cdd</x:v>
      </x:c>
    </x:row>
    <x:row r="151" ht="100" customHeight="1">
      <x:c r="A151" s="26" t="str">
        <x:v>IPTA-CAL-20260909-CLOSEOUT</x:v>
      </x:c>
      <x:c r="B151" s="29" t="n">
        <x:v>46274</x:v>
      </x:c>
      <x:c r="C151" s="26" t="str">
        <x:v>Calibration closeout</x:v>
      </x:c>
      <x:c r="D151" s="26" t="str">
        <x:v>J1721-2457; no observed search</x:v>
      </x:c>
      <x:c r="E151" s="26" t="str">
        <x:v>READY TO FREEZE SEARCH PACKAGE</x:v>
      </x:c>
      <x:c r="F151" s="26" t="str">
        <x:v>Profile, threshold, annual mask and full sensitivity table saved with input/code hashes.</x:v>
      </x:c>
      <x:c r="G151" s="26" t="str">
        <x:v>No observed residual scan, execution freeze or launch. Preserve earlier preparation and MPTA results.</x:v>
      </x:c>
      <x:c r="H151" s="26" t="str">
        <x:v>./results/research/ipta-calibration01-20260909/closeout.json</x:v>
      </x:c>
      <x:c r="I151" s="26" t="str">
        <x:v>83a41b55f261c2e62361e94d96c37ef39e1822451fa231f3e9f0ee12ee413cdd</x:v>
      </x:c>
    </x:row>
    <x:row r="152" ht="15" hidden="0" customHeight="1">
      <x:c r="A152" t="str">
        <x:v>ipta-batch01-20260909-FREEZE</x:v>
      </x:c>
      <x:c r="B152" s="22" t="n">
        <x:v>46274.39725136574</x:v>
      </x:c>
      <x:c r="C152" t="str">
        <x:v>Batch preparation</x:v>
      </x:c>
      <x:c r="D152" t="str">
        <x:v>1 IPTA original-search targets</x:v>
      </x:c>
      <x:c r="E152" t="str">
        <x:v>PREPARED</x:v>
      </x:c>
      <x:c r="F152" t="str">
        <x:v>1 profiles and calibrations frozen; no observed scan during preparation</x:v>
      </x:c>
      <x:c r="G152" t="str">
        <x:v>Launch is a separate operator instruction</x:v>
      </x:c>
      <x:c r="H152" t="str">
        <x:v>../Project Recherche Data/ipta-batch01-20260909/execution-freeze.json</x:v>
      </x:c>
      <x:c r="I152" t="str">
        <x:v>8d133064687e033ca35b1b7979c53637470299def8b898588d31d27c0b27ae7e</x:v>
      </x:c>
    </x:row>
    <x:row r="153" ht="15" hidden="0" customHeight="1">
      <x:c r="A153" t="str">
        <x:v>ipta-batch01-20260909-CLOSEOUT</x:v>
      </x:c>
      <x:c r="B153" s="22" t="n">
        <x:v>46274.39809628472</x:v>
      </x:c>
      <x:c r="C153" t="str">
        <x:v>Observed campaign</x:v>
      </x:c>
      <x:c r="D153" t="str">
        <x:v>1 IPTA original-search targets</x:v>
      </x:c>
      <x:c r="E153" t="str">
        <x:v>COMPLETE</x:v>
      </x:c>
      <x:c r="F153" t="str">
        <x:v>1 terminal results; 0 incomplete attempts</x:v>
      </x:c>
      <x:c r="G153" t="str">
        <x:v>All run01 destinations consumed; preserve evidence</x:v>
      </x:c>
      <x:c r="H153" t="str">
        <x:v>../Project Recherche Data/ipta-batch01-20260909/execution-freeze.json</x:v>
      </x:c>
      <x:c r="I153" t="str">
        <x:v>8d133064687e033ca35b1b7979c53637470299def8b898588d31d27c0b27ae7e</x:v>
      </x:c>
    </x:row>
    <x:row r="154" ht="100" customHeight="1">
      <x:c r="A154" s="26" t="str">
        <x:v>attempt-J1801-1417-attempt01</x:v>
      </x:c>
      <x:c r="B154" s="29" t="n">
        <x:v>46274</x:v>
      </x:c>
      <x:c r="C154" s="26" t="str">
        <x:v>IPTA preparation attempt</x:v>
      </x:c>
      <x:c r="D154" s="26" t="str">
        <x:v>J1801-1417</x:v>
      </x:c>
      <x:c r="E154" s="26" t="str">
        <x:v>PREPARATION_FAILED</x:v>
      </x:c>
      <x:c r="F154" s="26" t="str">
        <x:v>Compatibility mismatch: published RMS rounding, published chi-square rounding</x:v>
      </x:c>
      <x:c r="G154" s="26" t="str">
        <x:v>Attempt retained; diagnose adapter or input mismatch. Not an observed nondetection.</x:v>
      </x:c>
      <x:c r="H154" s="26" t="str">
        <x:v>./results/observed/ipta-batch02-20260909/attempt-J1801-1417-attempt01/failure.json</x:v>
      </x:c>
      <x:c r="I154" s="26" t="str">
        <x:v>04f43bc9669f9074892ca7346d893856b3496d47c1b7c50c423cf3e3e6ad9a6b</x:v>
      </x:c>
    </x:row>
    <x:row r="155" ht="15" hidden="0" customHeight="1">
      <x:c r="A155" t="str">
        <x:v>ipta-batch02-20260909-J1801-1417-FREEZE</x:v>
      </x:c>
      <x:c r="B155" s="22" t="n">
        <x:v>46274.40892300926</x:v>
      </x:c>
      <x:c r="C155" t="str">
        <x:v>Batch preparation</x:v>
      </x:c>
      <x:c r="D155" t="str">
        <x:v>1 IPTA original-search targets</x:v>
      </x:c>
      <x:c r="E155" t="str">
        <x:v>PREPARED</x:v>
      </x:c>
      <x:c r="F155" t="str">
        <x:v>1 profiles and calibrations frozen; no observed scan during preparation</x:v>
      </x:c>
      <x:c r="G155" t="str">
        <x:v>Launch is a separate operator instruction</x:v>
      </x:c>
      <x:c r="H155" t="str">
        <x:v>../Project Recherche Data/ipta-batch02-20260909/executions/ipta-batch02-20260909-J1801-1417/execution-freeze.json</x:v>
      </x:c>
      <x:c r="I155" t="str">
        <x:v>0172ae8e02aa76650bf0898c7219166ab6d20411fc25b308b518e43ffaaeb229</x:v>
      </x:c>
    </x:row>
    <x:row r="156" ht="15" hidden="0" customHeight="1">
      <x:c r="A156" t="str">
        <x:v>ipta-batch02-20260909-J1801-1417-CLOSEOUT</x:v>
      </x:c>
      <x:c r="B156" s="22" t="n">
        <x:v>46274.408975185186</x:v>
      </x:c>
      <x:c r="C156" t="str">
        <x:v>Observed campaign</x:v>
      </x:c>
      <x:c r="D156" t="str">
        <x:v>1 IPTA original-search targets</x:v>
      </x:c>
      <x:c r="E156" t="str">
        <x:v>COMPLETE</x:v>
      </x:c>
      <x:c r="F156" t="str">
        <x:v>1 terminal results; 0 incomplete attempts</x:v>
      </x:c>
      <x:c r="G156" t="str">
        <x:v>All run01 destinations consumed; preserve evidence</x:v>
      </x:c>
      <x:c r="H156" t="str">
        <x:v>../Project Recherche Data/ipta-batch02-20260909/executions/ipta-batch02-20260909-J1801-1417/execution-freeze.json</x:v>
      </x:c>
      <x:c r="I156" t="str">
        <x:v>0172ae8e02aa76650bf0898c7219166ab6d20411fc25b308b518e43ffaaeb229</x:v>
      </x:c>
    </x:row>
    <x:row r="157" ht="100" customHeight="1">
      <x:c r="A157" s="26" t="str">
        <x:v>attempt-J1911+1347-attempt01</x:v>
      </x:c>
      <x:c r="B157" s="29" t="n">
        <x:v>46274</x:v>
      </x:c>
      <x:c r="C157" s="26" t="str">
        <x:v>IPTA preparation attempt</x:v>
      </x:c>
      <x:c r="D157" s="26" t="str">
        <x:v>J1911+1347</x:v>
      </x:c>
      <x:c r="E157" s="26" t="str">
        <x:v>PREPARATION_FAILED</x:v>
      </x:c>
      <x:c r="F157" s="26" t="str">
        <x:v>Compatibility mismatch: weighted_rms_us published summary mismatch, reduced_chi_square published summary mismatch</x:v>
      </x:c>
      <x:c r="G157" s="26" t="str">
        <x:v>Attempt retained; diagnose adapter or input mismatch. Not an observed nondetection.</x:v>
      </x:c>
      <x:c r="H157" s="26" t="str">
        <x:v>./results/observed/ipta-batch02-20260909/attempt-J1911+1347-attempt01/failure.json</x:v>
      </x:c>
      <x:c r="I157" s="26" t="str">
        <x:v>e003765efd49744a51395630bfa3f2444a30d78dffd2ae2191344a27b54a1318</x:v>
      </x:c>
    </x:row>
    <x:row r="158" ht="100" customHeight="1">
      <x:c r="A158" s="26" t="str">
        <x:v>attempt-J1843-1113-attempt01</x:v>
      </x:c>
      <x:c r="B158" s="29" t="n">
        <x:v>46274</x:v>
      </x:c>
      <x:c r="C158" s="26" t="str">
        <x:v>IPTA preparation attempt</x:v>
      </x:c>
      <x:c r="D158" s="26" t="str">
        <x:v>J1843-1113</x:v>
      </x:c>
      <x:c r="E158" s="26" t="str">
        <x:v>PREPARATION_FAILED</x:v>
      </x:c>
      <x:c r="F158" s="26" t="str">
        <x:v>Compatibility mismatch: reduced_chi_square published summary mismatch</x:v>
      </x:c>
      <x:c r="G158" s="26" t="str">
        <x:v>Attempt retained; diagnose adapter or input mismatch. Not an observed nondetection.</x:v>
      </x:c>
      <x:c r="H158" s="26" t="str">
        <x:v>./results/observed/ipta-batch02-20260909/attempt-J1843-1113-attempt01/failure.json</x:v>
      </x:c>
      <x:c r="I158" s="26" t="str">
        <x:v>16c9ec4cf19907e6517c0db16f8dbd9b7f3fbe60cde51dead333d5199b80f1fd</x:v>
      </x:c>
    </x:row>
    <x:row r="159" ht="15" hidden="0" customHeight="1">
      <x:c r="A159" t="str">
        <x:v>ipta-batch02-20260909-J2322+2057-FREEZE</x:v>
      </x:c>
      <x:c r="B159" s="22" t="n">
        <x:v>46274.40931175926</x:v>
      </x:c>
      <x:c r="C159" t="str">
        <x:v>Batch preparation</x:v>
      </x:c>
      <x:c r="D159" t="str">
        <x:v>1 IPTA original-search targets</x:v>
      </x:c>
      <x:c r="E159" t="str">
        <x:v>PREPARED</x:v>
      </x:c>
      <x:c r="F159" t="str">
        <x:v>1 profiles and calibrations frozen; no observed scan during preparation</x:v>
      </x:c>
      <x:c r="G159" t="str">
        <x:v>Launch is a separate operator instruction</x:v>
      </x:c>
      <x:c r="H159" t="str">
        <x:v>../Project Recherche Data/ipta-batch02-20260909/executions/ipta-batch02-20260909-J2322+2057/execution-freeze.json</x:v>
      </x:c>
      <x:c r="I159" t="str">
        <x:v>fc21178995c6c330cd38a47856ee8711719b46c0cccebd6faf753e29ca21e005</x:v>
      </x:c>
    </x:row>
    <x:row r="160" ht="15" hidden="0" customHeight="1">
      <x:c r="A160" t="str">
        <x:v>ipta-batch02-20260909-J2322+2057-CLOSEOUT</x:v>
      </x:c>
      <x:c r="B160" s="22" t="n">
        <x:v>46274.40935951389</x:v>
      </x:c>
      <x:c r="C160" t="str">
        <x:v>Observed campaign</x:v>
      </x:c>
      <x:c r="D160" t="str">
        <x:v>1 IPTA original-search targets</x:v>
      </x:c>
      <x:c r="E160" t="str">
        <x:v>COMPLETE</x:v>
      </x:c>
      <x:c r="F160" t="str">
        <x:v>1 terminal results; 0 incomplete attempts</x:v>
      </x:c>
      <x:c r="G160" t="str">
        <x:v>All run01 destinations consumed; preserve evidence</x:v>
      </x:c>
      <x:c r="H160" t="str">
        <x:v>../Project Recherche Data/ipta-batch02-20260909/executions/ipta-batch02-20260909-J2322+2057/execution-freeze.json</x:v>
      </x:c>
      <x:c r="I160" t="str">
        <x:v>fc21178995c6c330cd38a47856ee8711719b46c0cccebd6faf753e29ca21e005</x:v>
      </x:c>
    </x:row>
    <x:row r="161" ht="15" hidden="0" customHeight="1">
      <x:c r="A161" t="str">
        <x:v>ipta-batch02-20260909-J1824-2452A-FREEZE</x:v>
      </x:c>
      <x:c r="B161" s="22" t="n">
        <x:v>46274.409503703704</x:v>
      </x:c>
      <x:c r="C161" t="str">
        <x:v>Batch preparation</x:v>
      </x:c>
      <x:c r="D161" t="str">
        <x:v>1 IPTA original-search targets</x:v>
      </x:c>
      <x:c r="E161" t="str">
        <x:v>PREPARED</x:v>
      </x:c>
      <x:c r="F161" t="str">
        <x:v>1 profiles and calibrations frozen; no observed scan during preparation</x:v>
      </x:c>
      <x:c r="G161" t="str">
        <x:v>Launch is a separate operator instruction</x:v>
      </x:c>
      <x:c r="H161" t="str">
        <x:v>../Project Recherche Data/ipta-batch02-20260909/executions/ipta-batch02-20260909-J1824-2452A/execution-freeze.json</x:v>
      </x:c>
      <x:c r="I161" t="str">
        <x:v>1c44d8323e7cd30b4e862e8af3d615b1cb50406241e6c5f32785f780d5cca0b3</x:v>
      </x:c>
    </x:row>
    <x:row r="162" ht="15" hidden="0" customHeight="1">
      <x:c r="A162" t="str">
        <x:v>ipta-batch02-20260909-J1824-2452A-CLOSEOUT</x:v>
      </x:c>
      <x:c r="B162" s="22" t="n">
        <x:v>46274.40956175926</x:v>
      </x:c>
      <x:c r="C162" t="str">
        <x:v>Observed campaign</x:v>
      </x:c>
      <x:c r="D162" t="str">
        <x:v>1 IPTA original-search targets</x:v>
      </x:c>
      <x:c r="E162" t="str">
        <x:v>COMPLETE</x:v>
      </x:c>
      <x:c r="F162" t="str">
        <x:v>1 terminal results; 0 incomplete attempts</x:v>
      </x:c>
      <x:c r="G162" t="str">
        <x:v>All run01 destinations consumed; preserve evidence</x:v>
      </x:c>
      <x:c r="H162" t="str">
        <x:v>../Project Recherche Data/ipta-batch02-20260909/executions/ipta-batch02-20260909-J1824-2452A/execution-freeze.json</x:v>
      </x:c>
      <x:c r="I162" t="str">
        <x:v>1c44d8323e7cd30b4e862e8af3d615b1cb50406241e6c5f32785f780d5cca0b3</x:v>
      </x:c>
    </x:row>
    <x:row r="163" ht="100" customHeight="1">
      <x:c r="A163" s="26" t="str">
        <x:v>attempt-J0711-6830-attempt01</x:v>
      </x:c>
      <x:c r="B163" s="29" t="n">
        <x:v>46274</x:v>
      </x:c>
      <x:c r="C163" s="26" t="str">
        <x:v>IPTA preparation attempt</x:v>
      </x:c>
      <x:c r="D163" s="26" t="str">
        <x:v>J0711-6830</x:v>
      </x:c>
      <x:c r="E163" s="26" t="str">
        <x:v>PREPARATION_FAILED</x:v>
      </x:c>
      <x:c r="F163" s="26" t="str">
        <x:v>Compatibility mismatch: weighted_rms_us published summary mismatch, reduced_chi_square published summary mismatch</x:v>
      </x:c>
      <x:c r="G163" s="26" t="str">
        <x:v>Attempt retained; diagnose adapter or input mismatch. Not an observed nondetection.</x:v>
      </x:c>
      <x:c r="H163" s="26" t="str">
        <x:v>./results/observed/ipta-batch02-20260909/attempt-J0711-6830-attempt01/failure.json</x:v>
      </x:c>
      <x:c r="I163" s="26" t="str">
        <x:v>6bc6afbcf3557dd1357280c9900201564c04e09c249f7e17ec863ba0f53484b9</x:v>
      </x:c>
    </x:row>
    <x:row r="164" ht="100" customHeight="1">
      <x:c r="A164" s="26" t="str">
        <x:v>attempt-J1730-2304-attempt01</x:v>
      </x:c>
      <x:c r="B164" s="29" t="n">
        <x:v>46274</x:v>
      </x:c>
      <x:c r="C164" s="26" t="str">
        <x:v>IPTA preparation attempt</x:v>
      </x:c>
      <x:c r="D164" s="26" t="str">
        <x:v>J1730-2304</x:v>
      </x:c>
      <x:c r="E164" s="26" t="str">
        <x:v>PREPARATION_FAILED</x:v>
      </x:c>
      <x:c r="F164" s="26" t="str">
        <x:v>Compatibility mismatch: weighted_rms_us published summary mismatch, reduced_chi_square published summary mismatch</x:v>
      </x:c>
      <x:c r="G164" s="26" t="str">
        <x:v>Attempt retained; diagnose adapter or input mismatch. Not an observed nondetection.</x:v>
      </x:c>
      <x:c r="H164" s="26" t="str">
        <x:v>./results/observed/ipta-batch02-20260909/attempt-J1730-2304-attempt01/failure.json</x:v>
      </x:c>
      <x:c r="I164" s="26" t="str">
        <x:v>7d954e64947e675e482378447096ddec7bef8156ba9146e2b9ec1590c53689a7</x:v>
      </x:c>
    </x:row>
    <x:row r="165" ht="100" customHeight="1">
      <x:c r="A165" s="26" t="str">
        <x:v>attempt-J2124-3358-attempt01</x:v>
      </x:c>
      <x:c r="B165" s="29" t="n">
        <x:v>46274</x:v>
      </x:c>
      <x:c r="C165" s="26" t="str">
        <x:v>IPTA preparation attempt</x:v>
      </x:c>
      <x:c r="D165" s="26" t="str">
        <x:v>J2124-3358</x:v>
      </x:c>
      <x:c r="E165" s="26" t="str">
        <x:v>PREPARATION_FAILED</x:v>
      </x:c>
      <x:c r="F165" s="26" t="str">
        <x:v>Compatibility mismatch: weighted_rms_us published summary mismatch, reduced_chi_square published summary mismatch</x:v>
      </x:c>
      <x:c r="G165" s="26" t="str">
        <x:v>Attempt retained; diagnose adapter or input mismatch. Not an observed nondetection.</x:v>
      </x:c>
      <x:c r="H165" s="26" t="str">
        <x:v>./results/observed/ipta-batch02-20260909/attempt-J2124-3358-attempt01/failure.json</x:v>
      </x:c>
      <x:c r="I165" s="26" t="str">
        <x:v>671fc0989f5fde5c98c76f09400013af9b08d6de2515dd1f8a67f2ecb2be7ba7</x:v>
      </x:c>
    </x:row>
    <x:row r="166" ht="15" hidden="0" customHeight="1">
      <x:c r="A166" t="str">
        <x:v>ipta-batch02-20260909-J1944+0907-FREEZE</x:v>
      </x:c>
      <x:c r="B166" s="22" t="n">
        <x:v>46274.41023101852</x:v>
      </x:c>
      <x:c r="C166" t="str">
        <x:v>Batch preparation</x:v>
      </x:c>
      <x:c r="D166" t="str">
        <x:v>1 IPTA original-search targets</x:v>
      </x:c>
      <x:c r="E166" t="str">
        <x:v>PREPARED</x:v>
      </x:c>
      <x:c r="F166" t="str">
        <x:v>1 profiles and calibrations frozen; no observed scan during preparation</x:v>
      </x:c>
      <x:c r="G166" t="str">
        <x:v>Launch is a separate operator instruction</x:v>
      </x:c>
      <x:c r="H166" t="str">
        <x:v>../Project Recherche Data/ipta-batch02-20260909/executions/ipta-batch02-20260909-J1944+0907/execution-freeze.json</x:v>
      </x:c>
      <x:c r="I166" t="str">
        <x:v>63d97d2c07641f9c10a106dc84647c1ae60742ff221df458725e8eca609b8105</x:v>
      </x:c>
    </x:row>
    <x:row r="167" ht="15" hidden="0" customHeight="1">
      <x:c r="A167" t="str">
        <x:v>ipta-batch02-20260909-J1944+0907-CLOSEOUT</x:v>
      </x:c>
      <x:c r="B167" s="22" t="n">
        <x:v>46274.41030038195</x:v>
      </x:c>
      <x:c r="C167" t="str">
        <x:v>Observed campaign</x:v>
      </x:c>
      <x:c r="D167" t="str">
        <x:v>1 IPTA original-search targets</x:v>
      </x:c>
      <x:c r="E167" t="str">
        <x:v>COMPLETE</x:v>
      </x:c>
      <x:c r="F167" t="str">
        <x:v>1 terminal results; 0 incomplete attempts</x:v>
      </x:c>
      <x:c r="G167" t="str">
        <x:v>All run01 destinations consumed; preserve evidence</x:v>
      </x:c>
      <x:c r="H167" t="str">
        <x:v>../Project Recherche Data/ipta-batch02-20260909/executions/ipta-batch02-20260909-J1944+0907/execution-freeze.json</x:v>
      </x:c>
      <x:c r="I167" t="str">
        <x:v>63d97d2c07641f9c10a106dc84647c1ae60742ff221df458725e8eca609b8105</x:v>
      </x:c>
    </x:row>
    <x:row r="168" ht="15" hidden="0" customHeight="1">
      <x:c r="A168" t="str">
        <x:v>ipta-batch02-20260909-J0030+0451-FREEZE</x:v>
      </x:c>
      <x:c r="B168" s="22" t="n">
        <x:v>46274.410759583334</x:v>
      </x:c>
      <x:c r="C168" t="str">
        <x:v>Batch preparation</x:v>
      </x:c>
      <x:c r="D168" t="str">
        <x:v>1 IPTA original-search targets</x:v>
      </x:c>
      <x:c r="E168" t="str">
        <x:v>PREPARED</x:v>
      </x:c>
      <x:c r="F168" t="str">
        <x:v>1 profiles and calibrations frozen; no observed scan during preparation</x:v>
      </x:c>
      <x:c r="G168" t="str">
        <x:v>Launch is a separate operator instruction</x:v>
      </x:c>
      <x:c r="H168" t="str">
        <x:v>../Project Recherche Data/ipta-batch02-20260909/executions/ipta-batch02-20260909-J0030+0451/execution-freeze.json</x:v>
      </x:c>
      <x:c r="I168" t="str">
        <x:v>b12bbfaf008f61e81041cc81315a2960f62747420048f63cbac5d60a20439f7d</x:v>
      </x:c>
    </x:row>
    <x:row r="169" ht="15" hidden="0" customHeight="1">
      <x:c r="A169" t="str">
        <x:v>ipta-batch02-20260909-J0030+0451-CLOSEOUT</x:v>
      </x:c>
      <x:c r="B169" s="22" t="n">
        <x:v>46274.41084280093</x:v>
      </x:c>
      <x:c r="C169" t="str">
        <x:v>Observed campaign</x:v>
      </x:c>
      <x:c r="D169" t="str">
        <x:v>1 IPTA original-search targets</x:v>
      </x:c>
      <x:c r="E169" t="str">
        <x:v>COMPLETE</x:v>
      </x:c>
      <x:c r="F169" t="str">
        <x:v>1 terminal results; 0 incomplete attempts</x:v>
      </x:c>
      <x:c r="G169" t="str">
        <x:v>All run01 destinations consumed; preserve evidence</x:v>
      </x:c>
      <x:c r="H169" t="str">
        <x:v>../Project Recherche Data/ipta-batch02-20260909/executions/ipta-batch02-20260909-J0030+0451/execution-freeze.json</x:v>
      </x:c>
      <x:c r="I169" t="str">
        <x:v>b12bbfaf008f61e81041cc81315a2960f62747420048f63cbac5d60a20439f7d</x:v>
      </x:c>
    </x:row>
    <x:row r="170" ht="15" hidden="0" customHeight="1">
      <x:c r="A170" t="str">
        <x:v>ipta-batch02-20260909-J2010-1323-FREEZE</x:v>
      </x:c>
      <x:c r="B170" s="22" t="n">
        <x:v>46274.41249324074</x:v>
      </x:c>
      <x:c r="C170" t="str">
        <x:v>Batch preparation</x:v>
      </x:c>
      <x:c r="D170" t="str">
        <x:v>1 IPTA original-search targets</x:v>
      </x:c>
      <x:c r="E170" t="str">
        <x:v>PREPARED</x:v>
      </x:c>
      <x:c r="F170" t="str">
        <x:v>1 profiles and calibrations frozen; no observed scan during preparation</x:v>
      </x:c>
      <x:c r="G170" t="str">
        <x:v>Launch is a separate operator instruction</x:v>
      </x:c>
      <x:c r="H170" t="str">
        <x:v>../Project Recherche Data/ipta-batch02-20260909/executions/ipta-batch02-20260909-J2010-1323/execution-freeze.json</x:v>
      </x:c>
      <x:c r="I170" t="str">
        <x:v>703bbedb9dab138615f3c70c6e9526a5b4aa0406696d57a62076d8cc1fc62233</x:v>
      </x:c>
    </x:row>
    <x:row r="171" ht="15" hidden="0" customHeight="1">
      <x:c r="A171" t="str">
        <x:v>ipta-batch02-20260909-J2010-1323-CLOSEOUT</x:v>
      </x:c>
      <x:c r="B171" s="22" t="n">
        <x:v>46274.41770914352</x:v>
      </x:c>
      <x:c r="C171" t="str">
        <x:v>Observed campaign</x:v>
      </x:c>
      <x:c r="D171" t="str">
        <x:v>1 IPTA original-search targets</x:v>
      </x:c>
      <x:c r="E171" t="str">
        <x:v>COMPLETE</x:v>
      </x:c>
      <x:c r="F171" t="str">
        <x:v>1 terminal results; 0 incomplete attempts</x:v>
      </x:c>
      <x:c r="G171" t="str">
        <x:v>All run01 destinations consumed; preserve evidence</x:v>
      </x:c>
      <x:c r="H171" t="str">
        <x:v>../Project Recherche Data/ipta-batch02-20260909/executions/ipta-batch02-20260909-J2010-1323/execution-freeze.json</x:v>
      </x:c>
      <x:c r="I171" t="str">
        <x:v>703bbedb9dab138615f3c70c6e9526a5b4aa0406696d57a62076d8cc1fc62233</x:v>
      </x:c>
    </x:row>
    <x:row r="172" ht="100" customHeight="1">
      <x:c r="A172" s="26" t="str">
        <x:v>attempt-J1744-1134-attempt01</x:v>
      </x:c>
      <x:c r="B172" s="29" t="n">
        <x:v>46274</x:v>
      </x:c>
      <x:c r="C172" s="26" t="str">
        <x:v>IPTA preparation attempt</x:v>
      </x:c>
      <x:c r="D172" s="26" t="str">
        <x:v>J1744-1134</x:v>
      </x:c>
      <x:c r="E172" s="26" t="str">
        <x:v>PREPARATION_FAILED</x:v>
      </x:c>
      <x:c r="F172" s="26" t="str">
        <x:v>Compatibility mismatch: weighted_rms_us published summary mismatch, reduced_chi_square published summary mismatch</x:v>
      </x:c>
      <x:c r="G172" s="26" t="str">
        <x:v>Attempt retained; diagnose adapter or input mismatch. Not an observed nondetection.</x:v>
      </x:c>
      <x:c r="H172" s="26" t="str">
        <x:v>./results/observed/ipta-batch02-20260909/attempt-J1744-1134-attempt01/failure.json</x:v>
      </x:c>
      <x:c r="I172" s="26" t="str">
        <x:v>9011879c081534ad17512f65a625c86577a8ca63896db2dbf1e409f5afd61a69</x:v>
      </x:c>
    </x:row>
    <x:row r="173" ht="100" customHeight="1">
      <x:c r="A173" s="26" t="str">
        <x:v>attempt-J1939+2134-attempt01</x:v>
      </x:c>
      <x:c r="B173" s="29" t="n">
        <x:v>46274</x:v>
      </x:c>
      <x:c r="C173" s="26" t="str">
        <x:v>IPTA preparation attempt</x:v>
      </x:c>
      <x:c r="D173" s="26" t="str">
        <x:v>J1939+2134</x:v>
      </x:c>
      <x:c r="E173" s="26" t="str">
        <x:v>PREPARATION_FAILED</x:v>
      </x:c>
      <x:c r="F173" s="26" t="str">
        <x:v>Compatibility mismatch: reduced_chi_square published summary mismatch</x:v>
      </x:c>
      <x:c r="G173" s="26" t="str">
        <x:v>Attempt retained; diagnose adapter or input mismatch. Not an observed nondetection.</x:v>
      </x:c>
      <x:c r="H173" s="26" t="str">
        <x:v>./results/observed/ipta-batch02-20260909/attempt-J1939+2134-attempt01/failure.json</x:v>
      </x:c>
      <x:c r="I173" s="26" t="str">
        <x:v>d3fd89f2f0553d4d3e425c00157a77ab9527518937e85f1267cd93225bd596fa</x:v>
      </x:c>
    </x:row>
    <x:row r="174" ht="100" customHeight="1">
      <x:c r="A174" s="26" t="str">
        <x:v>IPTA-BATCH02-20260909-COMPLETE</x:v>
      </x:c>
      <x:c r="B174" s="29" t="n">
        <x:v>46274</x:v>
      </x:c>
      <x:c r="C174" s="26" t="str">
        <x:v>Observed campaign closeout</x:v>
      </x:c>
      <x:c r="D174" s="26" t="str">
        <x:v>13 IPTA DR2 datasets</x:v>
      </x:c>
      <x:c r="E174" s="26" t="str">
        <x:v>COMPLETE WITH MODEL REPLAY GAPS</x:v>
      </x:c>
      <x:c r="F174" s="26" t="str">
        <x:v>Six NO_TRIGGER observed searches; seven held preparation cases; zero candidates or observed execution failures</x:v>
      </x:c>
      <x:c r="G174" s="26" t="str">
        <x:v>Preserve all six consumed grids and the prior J1721 search</x:v>
      </x:c>
      <x:c r="H174" s="26" t="str">
        <x:v>./results/observed/ipta-batch02-20260909/closeout.json</x:v>
      </x:c>
      <x:c r="I174" s="26" t="str">
        <x:v>352d4c0e1a55ab6e2f693410ecbb3a55d6cb1930d0970aaf7fa69d8eedddc62d</x:v>
      </x:c>
    </x:row>
    <x:row r="175" ht="100" customHeight="1">
      <x:c r="A175" s="26" t="str">
        <x:v>IPTA-BATCH02-20260909-CALIBRATION</x:v>
      </x:c>
      <x:c r="B175" s="29" t="n">
        <x:v>46274</x:v>
      </x:c>
      <x:c r="C175" s="26" t="str">
        <x:v>Calibration closeout</x:v>
      </x:c>
      <x:c r="D175" s="26" t="str">
        <x:v>Six compatible datasets</x:v>
      </x:c>
      <x:c r="E175" s="26" t="str">
        <x:v>CALIBRATED AND SEARCHED</x:v>
      </x:c>
      <x:c r="F175" s="26" t="str">
        <x:v>24,576 nulls; six target-specific thresholds, masks and sensitivity curves</x:v>
      </x:c>
      <x:c r="G175" s="26" t="str">
        <x:v>Shared 1% conditional allowance; search_count=13 retained despite seven gaps</x:v>
      </x:c>
      <x:c r="H175" s="26" t="str">
        <x:v>./results/observed/ipta-batch02-20260909/closeout.json</x:v>
      </x:c>
      <x:c r="I175" s="26" t="str">
        <x:v>352d4c0e1a55ab6e2f693410ecbb3a55d6cb1930d0970aaf7fa69d8eedddc62d</x:v>
      </x:c>
    </x:row>
    <x:row r="176" ht="100" customHeight="1">
      <x:c r="A176" s="26" t="str">
        <x:v>IPTA-BATCH02-20260909-REPLAY-GAPS</x:v>
      </x:c>
      <x:c r="B176" s="29" t="n">
        <x:v>46274</x:v>
      </x:c>
      <x:c r="C176" s="26" t="str">
        <x:v>Model replay diagnosis</x:v>
      </x:c>
      <x:c r="D176" s="26" t="str">
        <x:v>Seven held IPTA datasets</x:v>
      </x:c>
      <x:c r="E176" s="26" t="str">
        <x:v>UNRESOLVED PUBLICATION SUMMARY REPLAY</x:v>
      </x:c>
      <x:c r="F176" s="26" t="str">
        <x:v>Direct timing/noise exports agree; historical fit summaries differ. TCB replay and direct-fit diagnoses retained</x:v>
      </x:c>
      <x:c r="G176" s="26" t="str">
        <x:v>No observed search of these seven datasets; preserve their earlier other-source records</x:v>
      </x:c>
      <x:c r="H176" s="26" t="str">
        <x:v>./results/observed/ipta-batch02-20260909/closeout.json</x:v>
      </x:c>
      <x:c r="I176" s="26" t="str">
        <x:v>352d4c0e1a55ab6e2f693410ecbb3a55d6cb1930d0970aaf7fa69d8eedddc62d</x:v>
      </x:c>
    </x:row>
    <x:row r="177" ht="100" customHeight="1">
      <x:c r="A177" s="26" t="str">
        <x:v>IPTA-BATCH02-20260909-REGISTER</x:v>
      </x:c>
      <x:c r="B177" s="29" t="n">
        <x:v>46274</x:v>
      </x:c>
      <x:c r="C177" s="26" t="str">
        <x:v>Register closeout</x:v>
      </x:c>
      <x:c r="D177" s="26" t="str">
        <x:v>Recherche master</x:v>
      </x:c>
      <x:c r="E177" s="26" t="str">
        <x:v>UPDATED</x:v>
      </x:c>
      <x:c r="F177" s="26" t="str">
        <x:v>344 search/refinement records; 277 observed identities; seven existing candidate targets</x:v>
      </x:c>
      <x:c r="G177" s="26" t="str">
        <x:v>No new planets or candidate grades; keep private; monitoring paused</x:v>
      </x:c>
      <x:c r="H177" s="26" t="str">
        <x:v>./results/observed/ipta-batch02-20260909/closeout.json</x:v>
      </x:c>
      <x:c r="I177" s="26" t="str">
        <x:v>352d4c0e1a55ab6e2f693410ecbb3a55d6cb1930d0970aaf7fa69d8eedddc62d</x:v>
      </x:c>
    </x:row>
    <x:row r="178" ht="15" hidden="0" customHeight="1">
      <x:c r="A178" t="str">
        <x:v>ipta-hold-release-20260909-J1843-1113-FREEZE</x:v>
      </x:c>
      <x:c r="B178" s="22" t="n">
        <x:v>46274.42679387731</x:v>
      </x:c>
      <x:c r="C178" t="str">
        <x:v>Batch preparation</x:v>
      </x:c>
      <x:c r="D178" t="str">
        <x:v>1 IPTA original-search targets</x:v>
      </x:c>
      <x:c r="E178" t="str">
        <x:v>PREPARED</x:v>
      </x:c>
      <x:c r="F178" t="str">
        <x:v>1 profiles and calibrations frozen; no observed scan during preparation</x:v>
      </x:c>
      <x:c r="G178" t="str">
        <x:v>Launch is a separate operator instruction</x:v>
      </x:c>
      <x:c r="H178" t="str">
        <x:v>../Project Recherche Data/ipta-hold-release-20260909/executions/ipta-hold-release-20260909-J1843-1113/execution-freeze.json</x:v>
      </x:c>
      <x:c r="I178" t="str">
        <x:v>84c7a120a4b1125509d4261fd88548f0c44e47a4f0b134b3eccb4c7e1ae8bb03</x:v>
      </x:c>
    </x:row>
    <x:row r="179" ht="15" hidden="0" customHeight="1">
      <x:c r="A179" t="str">
        <x:v>ipta-hold-release-20260909-J1843-1113-CLOSEOUT</x:v>
      </x:c>
      <x:c r="B179" s="22" t="n">
        <x:v>46274.42690306713</x:v>
      </x:c>
      <x:c r="C179" t="str">
        <x:v>Observed campaign</x:v>
      </x:c>
      <x:c r="D179" t="str">
        <x:v>1 IPTA original-search targets</x:v>
      </x:c>
      <x:c r="E179" t="str">
        <x:v>COMPLETE</x:v>
      </x:c>
      <x:c r="F179" t="str">
        <x:v>1 terminal results; 0 incomplete attempts</x:v>
      </x:c>
      <x:c r="G179" t="str">
        <x:v>All run01 destinations consumed; preserve evidence</x:v>
      </x:c>
      <x:c r="H179" t="str">
        <x:v>../Project Recherche Data/ipta-hold-release-20260909/executions/ipta-hold-release-20260909-J1843-1113/execution-freeze.json</x:v>
      </x:c>
      <x:c r="I179" t="str">
        <x:v>84c7a120a4b1125509d4261fd88548f0c44e47a4f0b134b3eccb4c7e1ae8bb03</x:v>
      </x:c>
    </x:row>
    <x:row r="180" ht="15" hidden="0" customHeight="1">
      <x:c r="A180" t="str">
        <x:v>ipta-hold-release-20260909-J0711-6830-FREEZE</x:v>
      </x:c>
      <x:c r="B180" s="22" t="n">
        <x:v>46274.42705395833</x:v>
      </x:c>
      <x:c r="C180" t="str">
        <x:v>Batch preparation</x:v>
      </x:c>
      <x:c r="D180" t="str">
        <x:v>1 IPTA original-search targets</x:v>
      </x:c>
      <x:c r="E180" t="str">
        <x:v>PREPARED</x:v>
      </x:c>
      <x:c r="F180" t="str">
        <x:v>1 profiles and calibrations frozen; no observed scan during preparation</x:v>
      </x:c>
      <x:c r="G180" t="str">
        <x:v>Launch is a separate operator instruction</x:v>
      </x:c>
      <x:c r="H180" t="str">
        <x:v>../Project Recherche Data/ipta-hold-release-20260909/executions/ipta-hold-release-20260909-J0711-6830/execution-freeze.json</x:v>
      </x:c>
      <x:c r="I180" t="str">
        <x:v>75113e4e6d68eb0bc79dc18a3bfa9adcd16839576f2db59c7049ea22d1cd49e0</x:v>
      </x:c>
    </x:row>
    <x:row r="181" ht="15" hidden="0" customHeight="1">
      <x:c r="A181" t="str">
        <x:v>ipta-hold-release-20260909-J0711-6830-CLOSEOUT</x:v>
      </x:c>
      <x:c r="B181" s="22" t="n">
        <x:v>46274.42717347222</x:v>
      </x:c>
      <x:c r="C181" t="str">
        <x:v>Observed campaign</x:v>
      </x:c>
      <x:c r="D181" t="str">
        <x:v>1 IPTA original-search targets</x:v>
      </x:c>
      <x:c r="E181" t="str">
        <x:v>COMPLETE</x:v>
      </x:c>
      <x:c r="F181" t="str">
        <x:v>1 terminal results; 0 incomplete attempts</x:v>
      </x:c>
      <x:c r="G181" t="str">
        <x:v>All run01 destinations consumed; preserve evidence</x:v>
      </x:c>
      <x:c r="H181" t="str">
        <x:v>../Project Recherche Data/ipta-hold-release-20260909/executions/ipta-hold-release-20260909-J0711-6830/execution-freeze.json</x:v>
      </x:c>
      <x:c r="I181" t="str">
        <x:v>75113e4e6d68eb0bc79dc18a3bfa9adcd16839576f2db59c7049ea22d1cd49e0</x:v>
      </x:c>
    </x:row>
    <x:row r="182" ht="15" hidden="0" customHeight="1">
      <x:c r="A182" t="str">
        <x:v>ipta-hold-release-20260909-J1911+1347-FREEZE</x:v>
      </x:c>
      <x:c r="B182" s="22" t="n">
        <x:v>46274.4274377662</x:v>
      </x:c>
      <x:c r="C182" t="str">
        <x:v>Batch preparation</x:v>
      </x:c>
      <x:c r="D182" t="str">
        <x:v>1 IPTA original-search targets</x:v>
      </x:c>
      <x:c r="E182" t="str">
        <x:v>PREPARED</x:v>
      </x:c>
      <x:c r="F182" t="str">
        <x:v>1 profiles and calibrations frozen; no observed scan during preparation</x:v>
      </x:c>
      <x:c r="G182" t="str">
        <x:v>Launch is a separate operator instruction</x:v>
      </x:c>
      <x:c r="H182" t="str">
        <x:v>../Project Recherche Data/ipta-hold-release-20260909/executions/ipta-hold-release-20260909-J1911+1347/execution-freeze.json</x:v>
      </x:c>
      <x:c r="I182" t="str">
        <x:v>c17d806d0d712ae93441751a1d5719a1f9e76add13cd5a61543e4b4eb1f3e63a</x:v>
      </x:c>
    </x:row>
    <x:row r="183" ht="15" hidden="0" customHeight="1">
      <x:c r="A183" t="str">
        <x:v>ipta-hold-release-20260909-J1911+1347-CLOSEOUT</x:v>
      </x:c>
      <x:c r="B183" s="22" t="n">
        <x:v>46274.4275562037</x:v>
      </x:c>
      <x:c r="C183" t="str">
        <x:v>Observed campaign</x:v>
      </x:c>
      <x:c r="D183" t="str">
        <x:v>1 IPTA original-search targets</x:v>
      </x:c>
      <x:c r="E183" t="str">
        <x:v>COMPLETE</x:v>
      </x:c>
      <x:c r="F183" t="str">
        <x:v>1 terminal results; 0 incomplete attempts</x:v>
      </x:c>
      <x:c r="G183" t="str">
        <x:v>All run01 destinations consumed; preserve evidence</x:v>
      </x:c>
      <x:c r="H183" t="str">
        <x:v>../Project Recherche Data/ipta-hold-release-20260909/executions/ipta-hold-release-20260909-J1911+1347/execution-freeze.json</x:v>
      </x:c>
      <x:c r="I183" t="str">
        <x:v>c17d806d0d712ae93441751a1d5719a1f9e76add13cd5a61543e4b4eb1f3e63a</x:v>
      </x:c>
    </x:row>
    <x:row r="184" ht="15" hidden="0" customHeight="1">
      <x:c r="A184" t="str">
        <x:v>ipta-hold-release-20260909-J1730-2304-FREEZE</x:v>
      </x:c>
      <x:c r="B184" s="22" t="n">
        <x:v>46274.42797484954</x:v>
      </x:c>
      <x:c r="C184" t="str">
        <x:v>Batch preparation</x:v>
      </x:c>
      <x:c r="D184" t="str">
        <x:v>1 IPTA original-search targets</x:v>
      </x:c>
      <x:c r="E184" t="str">
        <x:v>PREPARED</x:v>
      </x:c>
      <x:c r="F184" t="str">
        <x:v>1 profiles and calibrations frozen; no observed scan during preparation</x:v>
      </x:c>
      <x:c r="G184" t="str">
        <x:v>Launch is a separate operator instruction</x:v>
      </x:c>
      <x:c r="H184" t="str">
        <x:v>../Project Recherche Data/ipta-hold-release-20260909/executions/ipta-hold-release-20260909-J1730-2304/execution-freeze.json</x:v>
      </x:c>
      <x:c r="I184" t="str">
        <x:v>7bf742d4bde41cf07c815e6b68cc8ca4fd6b7fa5e5de7a854c74243d0920e977</x:v>
      </x:c>
    </x:row>
    <x:row r="185" ht="15" hidden="0" customHeight="1">
      <x:c r="A185" t="str">
        <x:v>ipta-hold-release-20260909-J1730-2304-CLOSEOUT</x:v>
      </x:c>
      <x:c r="B185" s="22" t="n">
        <x:v>46274.42809616898</x:v>
      </x:c>
      <x:c r="C185" t="str">
        <x:v>Observed campaign</x:v>
      </x:c>
      <x:c r="D185" t="str">
        <x:v>1 IPTA original-search targets</x:v>
      </x:c>
      <x:c r="E185" t="str">
        <x:v>COMPLETE</x:v>
      </x:c>
      <x:c r="F185" t="str">
        <x:v>1 terminal results; 0 incomplete attempts</x:v>
      </x:c>
      <x:c r="G185" t="str">
        <x:v>All run01 destinations consumed; preserve evidence</x:v>
      </x:c>
      <x:c r="H185" t="str">
        <x:v>../Project Recherche Data/ipta-hold-release-20260909/executions/ipta-hold-release-20260909-J1730-2304/execution-freeze.json</x:v>
      </x:c>
      <x:c r="I185" t="str">
        <x:v>7bf742d4bde41cf07c815e6b68cc8ca4fd6b7fa5e5de7a854c74243d0920e977</x:v>
      </x:c>
    </x:row>
    <x:row r="186" ht="15" hidden="0" customHeight="1">
      <x:c r="A186" t="str">
        <x:v>ipta-hold-release-20260909-J2124-3358-FREEZE</x:v>
      </x:c>
      <x:c r="B186" s="22" t="n">
        <x:v>46274.428659930556</x:v>
      </x:c>
      <x:c r="C186" t="str">
        <x:v>Batch preparation</x:v>
      </x:c>
      <x:c r="D186" t="str">
        <x:v>1 IPTA original-search targets</x:v>
      </x:c>
      <x:c r="E186" t="str">
        <x:v>PREPARED</x:v>
      </x:c>
      <x:c r="F186" t="str">
        <x:v>1 profiles and calibrations frozen; no observed scan during preparation</x:v>
      </x:c>
      <x:c r="G186" t="str">
        <x:v>Launch is a separate operator instruction</x:v>
      </x:c>
      <x:c r="H186" t="str">
        <x:v>../Project Recherche Data/ipta-hold-release-20260909/executions/ipta-hold-release-20260909-J2124-3358/execution-freeze.json</x:v>
      </x:c>
      <x:c r="I186" t="str">
        <x:v>f345291385196eda0a00c49f1f747b55ae9c4839768ee07c91a0d856a1ba548f</x:v>
      </x:c>
    </x:row>
    <x:row r="187" ht="15" hidden="0" customHeight="1">
      <x:c r="A187" t="str">
        <x:v>ipta-hold-release-20260909-J2124-3358-CLOSEOUT</x:v>
      </x:c>
      <x:c r="B187" s="22" t="n">
        <x:v>46274.42878685185</x:v>
      </x:c>
      <x:c r="C187" t="str">
        <x:v>Observed campaign</x:v>
      </x:c>
      <x:c r="D187" t="str">
        <x:v>1 IPTA original-search targets</x:v>
      </x:c>
      <x:c r="E187" t="str">
        <x:v>COMPLETE</x:v>
      </x:c>
      <x:c r="F187" t="str">
        <x:v>1 terminal results; 0 incomplete attempts</x:v>
      </x:c>
      <x:c r="G187" t="str">
        <x:v>All run01 destinations consumed; preserve evidence</x:v>
      </x:c>
      <x:c r="H187" t="str">
        <x:v>../Project Recherche Data/ipta-hold-release-20260909/executions/ipta-hold-release-20260909-J2124-3358/execution-freeze.json</x:v>
      </x:c>
      <x:c r="I187" t="str">
        <x:v>f345291385196eda0a00c49f1f747b55ae9c4839768ee07c91a0d856a1ba548f</x:v>
      </x:c>
    </x:row>
    <x:row r="188" ht="15" hidden="0" customHeight="1">
      <x:c r="A188" t="str">
        <x:v>ipta-hold-release-20260909-J1744-1134-FREEZE</x:v>
      </x:c>
      <x:c r="B188" s="22" t="n">
        <x:v>46274.43740181713</x:v>
      </x:c>
      <x:c r="C188" t="str">
        <x:v>Batch preparation</x:v>
      </x:c>
      <x:c r="D188" t="str">
        <x:v>1 IPTA original-search targets</x:v>
      </x:c>
      <x:c r="E188" t="str">
        <x:v>PREPARED</x:v>
      </x:c>
      <x:c r="F188" t="str">
        <x:v>1 profiles and calibrations frozen; no observed scan during preparation</x:v>
      </x:c>
      <x:c r="G188" t="str">
        <x:v>Launch is a separate operator instruction</x:v>
      </x:c>
      <x:c r="H188" t="str">
        <x:v>../Project Recherche Data/ipta-hold-release-20260909/executions/ipta-hold-release-20260909-J1744-1134/execution-freeze.json</x:v>
      </x:c>
      <x:c r="I188" t="str">
        <x:v>af85b0fb94c217f94f0195f3446992cd4f4849aa773e587b0a1a885eba939f59</x:v>
      </x:c>
    </x:row>
    <x:row r="189" ht="15" hidden="0" customHeight="1">
      <x:c r="A189" t="str">
        <x:v>ipta-hold-release-20260909-J1744-1134-CLOSEOUT</x:v>
      </x:c>
      <x:c r="B189" s="22" t="n">
        <x:v>46274.439222650464</x:v>
      </x:c>
      <x:c r="C189" t="str">
        <x:v>Observed campaign</x:v>
      </x:c>
      <x:c r="D189" t="str">
        <x:v>1 IPTA original-search targets</x:v>
      </x:c>
      <x:c r="E189" t="str">
        <x:v>COMPLETE</x:v>
      </x:c>
      <x:c r="F189" t="str">
        <x:v>1 terminal results; 0 incomplete attempts</x:v>
      </x:c>
      <x:c r="G189" t="str">
        <x:v>All run01 destinations consumed; preserve evidence</x:v>
      </x:c>
      <x:c r="H189" t="str">
        <x:v>../Project Recherche Data/ipta-hold-release-20260909/executions/ipta-hold-release-20260909-J1744-1134/execution-freeze.json</x:v>
      </x:c>
      <x:c r="I189" t="str">
        <x:v>af85b0fb94c217f94f0195f3446992cd4f4849aa773e587b0a1a885eba939f59</x:v>
      </x:c>
    </x:row>
    <x:row r="190" ht="15" hidden="0" customHeight="1">
      <x:c r="A190" t="str">
        <x:v>ipta-hold-release-20260909-J1939+2134-FREEZE</x:v>
      </x:c>
      <x:c r="B190" s="22" t="n">
        <x:v>46274.44740646991</x:v>
      </x:c>
      <x:c r="C190" t="str">
        <x:v>Batch preparation</x:v>
      </x:c>
      <x:c r="D190" t="str">
        <x:v>1 IPTA original-search targets</x:v>
      </x:c>
      <x:c r="E190" t="str">
        <x:v>PREPARED</x:v>
      </x:c>
      <x:c r="F190" t="str">
        <x:v>1 profiles and calibrations frozen; no observed scan during preparation</x:v>
      </x:c>
      <x:c r="G190" t="str">
        <x:v>Launch is a separate operator instruction</x:v>
      </x:c>
      <x:c r="H190" t="str">
        <x:v>../Project Recherche Data/ipta-hold-release-20260909/executions/ipta-hold-release-20260909-J1939+2134/execution-freeze.json</x:v>
      </x:c>
      <x:c r="I190" t="str">
        <x:v>615733b7b9bf2dd9f83e598dffa2d77d27a4329f10bd9a5e9d5248354e402b67</x:v>
      </x:c>
    </x:row>
    <x:row r="191" ht="15" hidden="0" customHeight="1">
      <x:c r="A191" t="str">
        <x:v>ipta-hold-release-20260909-J1939+2134-CLOSEOUT</x:v>
      </x:c>
      <x:c r="B191" s="22" t="n">
        <x:v>46274.4491784375</x:v>
      </x:c>
      <x:c r="C191" t="str">
        <x:v>Observed campaign</x:v>
      </x:c>
      <x:c r="D191" t="str">
        <x:v>1 IPTA original-search targets</x:v>
      </x:c>
      <x:c r="E191" t="str">
        <x:v>COMPLETE</x:v>
      </x:c>
      <x:c r="F191" t="str">
        <x:v>1 terminal results; 0 incomplete attempts</x:v>
      </x:c>
      <x:c r="G191" t="str">
        <x:v>All run01 destinations consumed; preserve evidence</x:v>
      </x:c>
      <x:c r="H191" t="str">
        <x:v>../Project Recherche Data/ipta-hold-release-20260909/executions/ipta-hold-release-20260909-J1939+2134/execution-freeze.json</x:v>
      </x:c>
      <x:c r="I191" t="str">
        <x:v>615733b7b9bf2dd9f83e598dffa2d77d27a4329f10bd9a5e9d5248354e402b67</x:v>
      </x:c>
    </x:row>
    <x:row r="192" ht="100" customHeight="1">
      <x:c r="A192" s="26" t="str">
        <x:v>IPTA-HOLD-20260909-DIAGNOSIS</x:v>
      </x:c>
      <x:c r="B192" s="29" t="n">
        <x:v>46274</x:v>
      </x:c>
      <x:c r="C192" s="26" t="str">
        <x:v>Likelihood diagnosis</x:v>
      </x:c>
      <x:c r="D192" s="26" t="str">
        <x:v>Seven original IPTA preparation holds</x:v>
      </x:c>
      <x:c r="E192" s="26" t="str">
        <x:v>COMPARISON CORRECTED</x:v>
      </x:c>
      <x:c r="F192" s="26" t="str">
        <x:v>Historical PAR RMS/CHI2R was not an equivalent fixed-model acceptance test. Two independent likelihood formulations agree.</x:v>
      </x:c>
      <x:c r="G192" s="26" t="str">
        <x:v>Retain historical discrepancies and failed attempts; do not claim exact historical reproduction.</x:v>
      </x:c>
      <x:c r="H192" s="26" t="str">
        <x:v>./results/research/ipta-hold-review-20260909/closeout.json</x:v>
      </x:c>
      <x:c r="I192" s="26" t="str">
        <x:v>70d582d49f22c85954e7f764e963bd979512d0bd5380e343799ecbea1c687acd</x:v>
      </x:c>
    </x:row>
    <x:row r="193" ht="100" customHeight="1">
      <x:c r="A193" s="26" t="str">
        <x:v>IPTA-HOLD-20260909-PREPARATION</x:v>
      </x:c>
      <x:c r="B193" s="29" t="n">
        <x:v>46274</x:v>
      </x:c>
      <x:c r="C193" s="26" t="str">
        <x:v>Timing/noise compatibility</x:v>
      </x:c>
      <x:c r="D193" s="26" t="str">
        <x:v>Seven released IPTA datasets</x:v>
      </x:c>
      <x:c r="E193" s="26" t="str">
        <x:v>7/7 COMPATIBLE</x:v>
      </x:c>
      <x:c r="F193" s="26" t="str">
        <x:v>Exact fit-window inclusion, direct timing/noise checks and independent likelihood audits passed.</x:v>
      </x:c>
      <x:c r="G193" s="26" t="str">
        <x:v>No source observations or noise amplitudes changed; qualified scientific runtime preserved.</x:v>
      </x:c>
      <x:c r="H193" s="26" t="str">
        <x:v>./results/research/ipta-hold-review-20260909/closeout.json</x:v>
      </x:c>
      <x:c r="I193" s="26" t="str">
        <x:v>70d582d49f22c85954e7f764e963bd979512d0bd5380e343799ecbea1c687acd</x:v>
      </x:c>
    </x:row>
    <x:row r="194" ht="100" customHeight="1">
      <x:c r="A194" s="26" t="str">
        <x:v>IPTA-HOLD-20260909-SEARCH</x:v>
      </x:c>
      <x:c r="B194" s="29" t="n">
        <x:v>46274</x:v>
      </x:c>
      <x:c r="C194" s="26" t="str">
        <x:v>Observed continuation</x:v>
      </x:c>
      <x:c r="D194" s="26" t="str">
        <x:v>Seven previously unsearched campaign slots</x:v>
      </x:c>
      <x:c r="E194" s="26" t="str">
        <x:v>7 NO_TRIGGER</x:v>
      </x:c>
      <x:c r="F194" s="26" t="str">
        <x:v>Seven calibrations and one observed search each; zero candidates or execution failures. Original six preserved.</x:v>
      </x:c>
      <x:c r="G194" s="26" t="str">
        <x:v>Original 13-case conditional 1% allowance; 4,096 nulls per new target; masks and sensitivities retained.</x:v>
      </x:c>
      <x:c r="H194" s="26" t="str">
        <x:v>./results/research/ipta-hold-review-20260909/closeout.json</x:v>
      </x:c>
      <x:c r="I194" s="26" t="str">
        <x:v>70d582d49f22c85954e7f764e963bd979512d0bd5380e343799ecbea1c687acd</x:v>
      </x:c>
    </x:row>
    <x:row r="195" ht="100" customHeight="1">
      <x:c r="A195" s="26" t="str">
        <x:v>IPTA-HOLD-20260909-CLOSEOUT</x:v>
      </x:c>
      <x:c r="B195" s="29" t="n">
        <x:v>46274</x:v>
      </x:c>
      <x:c r="C195" s="26" t="str">
        <x:v>Source coverage</x:v>
      </x:c>
      <x:c r="D195" s="26" t="str">
        <x:v>IPTA DR2 Version B</x:v>
      </x:c>
      <x:c r="E195" s="26" t="str">
        <x:v>COMPATIBLE POOL COMPLETE</x:v>
      </x:c>
      <x:c r="F195" s="26" t="str">
        <x:v>14 IPTA datasets searched including J1721; six coverage and 45 companion exclusions retained.</x:v>
      </x:c>
      <x:c r="G195" s="26" t="str">
        <x:v>UTMOST-NS still needs combined timing inputs. No further search queued; prior candidate reviews preserved.</x:v>
      </x:c>
      <x:c r="H195" s="26" t="str">
        <x:v>./results/research/ipta-hold-review-20260909/closeout.json</x:v>
      </x:c>
      <x:c r="I195" s="26" t="str">
        <x:v>70d582d49f22c85954e7f764e963bd979512d0bd5380e343799ecbea1c687acd</x:v>
      </x:c>
    </x:row>
  </x:sheetData>
  <x:conditionalFormatting sqref="E2:E13">
    <x:cfRule type="containsText" dxfId="8" priority="1" operator="containsText" text="DATA_GAP"/>
    <x:cfRule type="containsText" dxfId="9" priority="2" operator="containsText" text="OPEN"/>
    <x:cfRule type="containsText" dxfId="10" priority="3" operator="containsText" text="FAIL_PRESERVED"/>
    <x:cfRule type="containsText" dxfId="11" priority="4" operator="containsText" text="RETAINED_FIT_BOUNDARY"/>
  </x:conditionalFormatting>
  <x:pageMargins left="0.7" right="0.7" top="0.75" bottom="0.75" header="0.3" footer="0.3"/>
  <x:tableParts count="1">
    <x:tablePart xmlns:r="http://schemas.openxmlformats.org/officeDocument/2006/relationships" r:id="R2dfee6bb5e134f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9" hidden="0" customWidth="1"/>
    <x:col min="2" max="2" width="18" hidden="0" customWidth="1"/>
    <x:col min="3" max="3" width="24" hidden="0" customWidth="1"/>
    <x:col min="4" max="4" width="23" hidden="0" customWidth="1"/>
    <x:col min="5" max="5" width="24" hidden="0" customWidth="1"/>
    <x:col min="6" max="6" width="15" hidden="0" customWidth="1"/>
    <x:col min="7" max="7" width="15" hidden="0" customWidth="1"/>
    <x:col min="8" max="8" width="18" hidden="0" customWidth="1"/>
    <x:col min="9" max="9" width="15" hidden="0" customWidth="1"/>
    <x:col min="10" max="10" width="15" hidden="0" customWidth="1"/>
    <x:col min="11" max="11" width="65" hidden="0" customWidth="1"/>
    <x:col min="12" max="12" width="65" hidden="0" customWidth="1"/>
    <x:col min="13" max="13" width="65" hidden="0" customWidth="1"/>
    <x:col min="14" max="14" width="35" hidden="0" customWidth="1"/>
    <x:col min="15" max="15" width="35" hidden="0" customWidth="1"/>
    <x:col min="16" max="16" width="65" hidden="0" customWidth="1"/>
  </x:cols>
  <x:sheetData>
    <x:row r="1" ht="42" customHeight="1">
      <x:c r="A1" s="33" t="str">
        <x:v>Search record ID</x:v>
      </x:c>
      <x:c r="B1" s="33" t="str">
        <x:v>Pulsar</x:v>
      </x:c>
      <x:c r="C1" s="33" t="str">
        <x:v>Statistical significance</x:v>
      </x:c>
      <x:c r="D1" s="33" t="str">
        <x:v>Signal robustness</x:v>
      </x:c>
      <x:c r="E1" s="33" t="str">
        <x:v>Independent confirmation</x:v>
      </x:c>
      <x:c r="F1" s="33" t="str">
        <x:v>Global FAP</x:v>
      </x:c>
      <x:c r="G1" s="33" t="str">
        <x:v>Global sigma</x:v>
      </x:c>
      <x:c r="H1" s="33" t="str">
        <x:v>Conditional review tail</x:v>
      </x:c>
      <x:c r="I1" s="33" t="str">
        <x:v>Noise exceedances</x:v>
      </x:c>
      <x:c r="J1" s="33" t="str">
        <x:v>Noise simulations</x:v>
      </x:c>
      <x:c r="K1" s="33" t="str">
        <x:v>Significance scope</x:v>
      </x:c>
      <x:c r="L1" s="33" t="str">
        <x:v>Robustness evidence</x:v>
      </x:c>
      <x:c r="M1" s="33" t="str">
        <x:v>Confirmation evidence</x:v>
      </x:c>
      <x:c r="N1" s="33" t="str">
        <x:v>Review disposition</x:v>
      </x:c>
      <x:c r="O1" s="33" t="str">
        <x:v>Assessment ID</x:v>
      </x:c>
      <x:c r="P1" s="33" t="str">
        <x:v>Evidence manifest</x:v>
      </x:c>
    </x:row>
    <x:row r="2" ht="48" hidden="0" customHeight="1">
      <x:c r="A2" s="36" t="str">
        <x:v>ng15-batch01-20260908-J1453+1902-run01</x:v>
      </x:c>
      <x:c r="B2" s="36" t="str">
        <x:v>J1453+1902</x:v>
      </x:c>
      <x:c r="C2" s="36" t="str">
        <x:v>NOT_ESTABLISHED</x:v>
      </x:c>
      <x:c r="D2" s="36" t="str">
        <x:v>NOISE_SENSITIVE</x:v>
      </x:c>
      <x:c r="E2" s="36" t="str">
        <x:v>UNAVAILABLE</x:v>
      </x:c>
      <x:c r="F2" s="37"/>
      <x:c r="G2" s="38"/>
      <x:c r="H2" s="39" t="n">
        <x:f>(I2+1)/(J2+1)</x:f>
        <x:v>0.09161793372319688</x:v>
      </x:c>
      <x:c r="I2" s="40" t="n">
        <x:v>46</x:v>
      </x:c>
      <x:c r="J2" s="40" t="n">
        <x:v>512</x:v>
      </x:c>
      <x:c r="K2" s="36" t="str">
        <x:v>No noise-robust survey-wide false-alarm calibration. Original 1% allowance is conditional and per batch. Noise-family maximum over the original eligible grid plus local refinement. Covariance reselected under both hypotheses. Conditional on the selected finite noise model; not survey-wide FAP.</x:v>
      </x:c>
      <x:c r="L2" s="36" t="str">
        <x:v>Correlated-noise alternatives weaken the signal. Its strength depends on observing days; later data and band subsets do not independently reinforce it.</x:v>
      </x:c>
      <x:c r="M2" s="36" t="str">
        <x:v>No additional independent calibrated timing series acquired. The narrowband reduction shares the discovery observations and weakly reproduces the feature.</x:v>
      </x:c>
      <x:c r="N2" s="36" t="str">
        <x:v>INCONCLUSIVE_NOISE_SENSITIVE</x:v>
      </x:c>
      <x:c r="O2" s="36" t="str">
        <x:v>candidate-grading-20260909</x:v>
      </x:c>
      <x:c r="P2" s="36" t="str">
        <x:v>results/research/candidate-grading-20260909/assessments.json</x:v>
      </x:c>
    </x:row>
    <x:row r="3" ht="48" hidden="0" customHeight="1">
      <x:c r="A3" s="36" t="str">
        <x:v>pta-campaign01-20260908-inpta-J1939+2134-run01</x:v>
      </x:c>
      <x:c r="B3" s="36" t="str">
        <x:v>J1939+2134</x:v>
      </x:c>
      <x:c r="C3" s="36" t="str">
        <x:v>NOT_ESTABLISHED</x:v>
      </x:c>
      <x:c r="D3" s="36" t="str">
        <x:v>NOISE_SENSITIVE</x:v>
      </x:c>
      <x:c r="E3" s="36" t="str">
        <x:v>NOT_CORROBORATED</x:v>
      </x:c>
      <x:c r="F3" s="37"/>
      <x:c r="G3" s="38"/>
      <x:c r="H3" s="39" t="n">
        <x:f>(I3+1)/(J3+1)</x:f>
        <x:v>0.07992202729044834</x:v>
      </x:c>
      <x:c r="I3" s="40" t="n">
        <x:v>40</x:v>
      </x:c>
      <x:c r="J3" s="40" t="n">
        <x:v>512</x:v>
      </x:c>
      <x:c r="K3" s="36" t="str">
        <x:v>No noise-robust survey-wide false-alarm calibration. Original 1% allowance is conditional and per batch. Original 567-day candidate profiled over the noise family, compared with each simulation maximum across the declared grid. Conservative candidate-specific diagnostic. Conditional on the selected finite noise model; not survey-wide FAP.</x:v>
      </x:c>
      <x:c r="L3" s="36" t="str">
        <x:v>The original 567-day signal weakens with correlated/chromatic noise and fails conditional time, receiver-band and source consistency checks. The separate 67-day feature is not this candidate.</x:v>
      </x:c>
      <x:c r="M3" s="36" t="str">
        <x:v>Overlapping PPTA observations do not corroborate a common planetary timing delay. Source errors and shared propagation limit the comparison.</x:v>
      </x:c>
      <x:c r="N3" s="36" t="str">
        <x:v>INCONCLUSIVE_NOISE_SENSITIVE</x:v>
      </x:c>
      <x:c r="O3" s="36" t="str">
        <x:v>candidate-grading-20260909</x:v>
      </x:c>
      <x:c r="P3" s="36" t="str">
        <x:v>results/research/candidate-grading-20260909/assessments.json</x:v>
      </x:c>
    </x:row>
    <x:row r="4" ht="48" hidden="0" customHeight="1">
      <x:c r="A4" s="36" t="str">
        <x:v>utmost-batch02-20260909-J1327-6222-run01</x:v>
      </x:c>
      <x:c r="B4" s="36" t="str">
        <x:v>J1327-6222</x:v>
      </x:c>
      <x:c r="C4" s="36" t="str">
        <x:v>NOT_ESTABLISHED</x:v>
      </x:c>
      <x:c r="D4" s="36" t="str">
        <x:v>NOISE_SENSITIVE</x:v>
      </x:c>
      <x:c r="E4" s="36" t="str">
        <x:v>UNDERPOWERED</x:v>
      </x:c>
      <x:c r="F4" s="37"/>
      <x:c r="G4" s="38"/>
      <x:c r="H4" s="39" t="n">
        <x:f>(I4+1)/(J4+1)</x:f>
        <x:v>0.9980506822612085</x:v>
      </x:c>
      <x:c r="I4" s="40" t="n">
        <x:v>511</x:v>
      </x:c>
      <x:c r="J4" s="40" t="n">
        <x:v>512</x:v>
      </x:c>
      <x:c r="K4" s="36" t="str">
        <x:v>No noise-robust survey-wide false-alarm calibration. Original 1% allowance is conditional and per batch. Noise-family maximum over the original eligible grid plus local refinement. Covariance reselected under both hypotheses. Conditional on the selected finite noise model; not survey-wide FAP.</x:v>
      </x:c>
      <x:c r="L4" s="36" t="str">
        <x:v>The signal survives individual-day removal but collapses when red-noise coverage extends from 10 to 32/64 Fourier modes. Strength varies with time; radio-band discrimination is unavailable.</x:v>
      </x:c>
      <x:c r="M4" s="36" t="str">
        <x:v>Independent TPA measurements do not corroborate the signal. Conditional detection power is only 11.7%, insufficient to rule it out.</x:v>
      </x:c>
      <x:c r="N4" s="36" t="str">
        <x:v>INCONCLUSIVE_NOISE_SENSITIVE</x:v>
      </x:c>
      <x:c r="O4" s="36" t="str">
        <x:v>candidate-grading-20260909</x:v>
      </x:c>
      <x:c r="P4" s="36" t="str">
        <x:v>results/research/candidate-grading-20260909/assessments.json</x:v>
      </x:c>
    </x:row>
    <x:row r="5" ht="48" hidden="0" customHeight="1">
      <x:c r="A5" s="36" t="str">
        <x:v>utmost-batch04-20260909-J1359-6038-run01</x:v>
      </x:c>
      <x:c r="B5" s="36" t="str">
        <x:v>J1359-6038</x:v>
      </x:c>
      <x:c r="C5" s="36" t="str">
        <x:v>NOT_ESTABLISHED</x:v>
      </x:c>
      <x:c r="D5" s="36" t="str">
        <x:v>NOISE_SENSITIVE</x:v>
      </x:c>
      <x:c r="E5" s="36" t="str">
        <x:v>NOT_CORROBORATED</x:v>
      </x:c>
      <x:c r="F5" s="37"/>
      <x:c r="G5" s="38"/>
      <x:c r="H5" s="39" t="n">
        <x:f>(I5+1)/(J5+1)</x:f>
        <x:v>0.9376218323586745</x:v>
      </x:c>
      <x:c r="I5" s="40" t="n">
        <x:v>480</x:v>
      </x:c>
      <x:c r="J5" s="40" t="n">
        <x:v>512</x:v>
      </x:c>
      <x:c r="K5" s="36" t="str">
        <x:v>No noise-robust survey-wide false-alarm calibration. Original 1% allowance is conditional and per batch. Refined original candidate profiled across noise models versus each noise-only global maximum across the declared period union; conditional candidate-specific diagnostic. Plug-in finite noise family, not survey-wide FAP.</x:v>
      </x:c>
      <x:c r="L5" s="36" t="str">
        <x:v>The approximately 96-day signal survives individual-day and time checks but falls from Δχ² 41.76 to about 7.21 with broader red-noise coverage.</x:v>
      </x:c>
      <x:c r="M5" s="36" t="str">
        <x:v>TPA has 91.2% conditional detection power but does not corroborate the waveform (fixed-period Δχ² 1.903; coefficient-contrast p 0.00568). This is informative non-corroboration, not a conclusive exclusion.</x:v>
      </x:c>
      <x:c r="N5" s="36" t="str">
        <x:v>INCONCLUSIVE_NOISE_SENSITIVE</x:v>
      </x:c>
      <x:c r="O5" s="36" t="str">
        <x:v>candidate-grading-utmost-batch04-20260909</x:v>
      </x:c>
      <x:c r="P5" s="36" t="str">
        <x:v>results/research/candidate-grading-utmost-batch04-20260909/assessments.json</x:v>
      </x:c>
    </x:row>
    <x:row r="6" ht="48" hidden="0" customHeight="1">
      <x:c r="A6" s="36" t="str">
        <x:v>utmost-batch04-20260909-J0908-4913-run01</x:v>
      </x:c>
      <x:c r="B6" s="36" t="str">
        <x:v>J0908-4913</x:v>
      </x:c>
      <x:c r="C6" s="36" t="str">
        <x:v>NOT_ESTABLISHED</x:v>
      </x:c>
      <x:c r="D6" s="36" t="str">
        <x:v>NOISE_SENSITIVE</x:v>
      </x:c>
      <x:c r="E6" s="36" t="str">
        <x:v>NOT_CORROBORATED</x:v>
      </x:c>
      <x:c r="F6" s="37"/>
      <x:c r="G6" s="38"/>
      <x:c r="H6" s="39" t="n">
        <x:f>(I6+1)/(J6+1)</x:f>
        <x:v>0.9668615984405458</x:v>
      </x:c>
      <x:c r="I6" s="40" t="n">
        <x:v>495</x:v>
      </x:c>
      <x:c r="J6" s="40" t="n">
        <x:v>512</x:v>
      </x:c>
      <x:c r="K6" s="36" t="str">
        <x:v>No noise-robust survey-wide false-alarm calibration. Original 1% allowance is conditional and per batch. Refined original candidate profiled across noise models versus each noise-only global maximum across the declared period union; conditional candidate-specific diagnostic. Plug-in finite noise family, not survey-wide FAP.</x:v>
      </x:c>
      <x:c r="L6" s="36" t="str">
        <x:v>The approximately 93-day signal weakens from Δχ² 28.29 to about 6.43 with broader red-noise coverage. Early and late coefficients also differ (conditional p 0.000885); one observing-day deletion lowers Δχ² to 20.92.</x:v>
      </x:c>
      <x:c r="M6" s="36" t="str">
        <x:v>TPA has 79.4% conditional detection power but does not corroborate the waveform (fixed-period Δχ² 2.318; coefficient-contrast p 0.000526). Extrapolation and noise uncertainty limit exclusion.</x:v>
      </x:c>
      <x:c r="N6" s="36" t="str">
        <x:v>INCONCLUSIVE_NOISE_SENSITIVE</x:v>
      </x:c>
      <x:c r="O6" s="36" t="str">
        <x:v>candidate-grading-utmost-batch04-20260909</x:v>
      </x:c>
      <x:c r="P6" s="36" t="str">
        <x:v>results/research/candidate-grading-utmost-batch04-20260909/assessments.json</x:v>
      </x:c>
    </x:row>
    <x:row r="7" ht="48" hidden="0" customHeight="1">
      <x:c r="A7" s="36" t="str">
        <x:v>utmost-batch04-20260909-J1048-5832-run01</x:v>
      </x:c>
      <x:c r="B7" s="36" t="str">
        <x:v>J1048-5832</x:v>
      </x:c>
      <x:c r="C7" s="36" t="str">
        <x:v>NOT_ESTABLISHED</x:v>
      </x:c>
      <x:c r="D7" s="36" t="str">
        <x:v>NOISE_SENSITIVE</x:v>
      </x:c>
      <x:c r="E7" s="36" t="str">
        <x:v>UNDERPOWERED</x:v>
      </x:c>
      <x:c r="F7" s="37"/>
      <x:c r="G7" s="38"/>
      <x:c r="H7" s="39" t="n">
        <x:f>(I7+1)/(J7+1)</x:f>
        <x:v>1</x:v>
      </x:c>
      <x:c r="I7" s="40" t="n">
        <x:v>512</x:v>
      </x:c>
      <x:c r="J7" s="40" t="n">
        <x:v>512</x:v>
      </x:c>
      <x:c r="K7" s="36" t="str">
        <x:v>No noise-robust survey-wide false-alarm calibration. Original 1% allowance is conditional and per batch. Refined original candidate profiled across noise models versus each noise-only global maximum across the declared period union; conditional candidate-specific diagnostic. Plug-in finite noise family, not survey-wide FAP.</x:v>
      </x:c>
      <x:c r="L7" s="36" t="str">
        <x:v>The approximately 105-day signal collapses from Δχ² 36.74 to about 1.52 with broader red-noise coverage. No simulated global maximum falls below its candidate comparison statistic.</x:v>
      </x:c>
      <x:c r="M7" s="36" t="str">
        <x:v>TPA has only 2.8% conditional detection power. Its weak fixed-period response cannot confirm or meaningfully rule out this waveform.</x:v>
      </x:c>
      <x:c r="N7" s="36" t="str">
        <x:v>INCONCLUSIVE_NOISE_SENSITIVE</x:v>
      </x:c>
      <x:c r="O7" s="36" t="str">
        <x:v>candidate-grading-utmost-batch04-20260909</x:v>
      </x:c>
      <x:c r="P7" s="36" t="str">
        <x:v>results/research/candidate-grading-utmost-batch04-20260909/assessments.json</x:v>
      </x:c>
    </x:row>
    <x:row r="8" ht="48" hidden="0" customHeight="1">
      <x:c r="A8" s="36" t="str">
        <x:v>utmost-batch04-20260909-J1752-2806-run01</x:v>
      </x:c>
      <x:c r="B8" s="36" t="str">
        <x:v>J1752-2806</x:v>
      </x:c>
      <x:c r="C8" s="36" t="str">
        <x:v>NOT_ESTABLISHED</x:v>
      </x:c>
      <x:c r="D8" s="36" t="str">
        <x:v>NOISE_SENSITIVE</x:v>
      </x:c>
      <x:c r="E8" s="36" t="str">
        <x:v>UNDERPOWERED</x:v>
      </x:c>
      <x:c r="F8" s="37"/>
      <x:c r="G8" s="38"/>
      <x:c r="H8" s="39" t="n">
        <x:f>(I8+1)/(J8+1)</x:f>
        <x:v>0.001949317738791423</x:v>
      </x:c>
      <x:c r="I8" s="40" t="n">
        <x:v>0</x:v>
      </x:c>
      <x:c r="J8" s="40" t="n">
        <x:v>512</x:v>
      </x:c>
      <x:c r="K8" s="36" t="str">
        <x:v>No noise-robust survey-wide false-alarm calibration. Original 1% allowance is conditional and per batch. Largest per-generator plus-one tail across four declared generators: each 0/512; one old ensemble reused and three new. Counts not pooled. FIRST review finite-family statistic only; does not calibrate the new continuous fit or survey-wide FAP.</x:v>
      </x:c>
      <x:c r="L8" s="36" t="str">
        <x:v>Local period stays near 81.7 days after continuous noise fitting, but joint improvement falls from 58.42 (12 modes) to 9.89/12.56 (32/64). Released shortest red Fourier period is 121.65 days. Original day/time consistency survives as historical evidence; noise robustness remains unestablished.</x:v>
      </x:c>
      <x:c r="M8" s="36" t="str">
        <x:v>TPA remains underpowered after approximate period/coefficient uncertainty propagation: median conditional fixed-period power 22.2-31.4% across three noise bases. Non-overlapping spans accumulate phase uncertainty; no independent corroboration established.</x:v>
      </x:c>
      <x:c r="N8" s="36" t="str">
        <x:v>INCONCLUSIVE_NOISE_SENSITIVE</x:v>
      </x:c>
      <x:c r="O8" s="36" t="str">
        <x:v>j1752-focused-review-20260909</x:v>
      </x:c>
      <x:c r="P8" s="36" t="str">
        <x:v>results/research/j1752-focused-review-20260909/assessments.json</x:v>
      </x:c>
    </x:row>
  </x:sheetData>
  <x:pageMargins left="0.7" right="0.7" top="0.75" bottom="0.75" header="0.3" footer="0.3"/>
  <x:tableParts count="1">
    <x:tablePart xmlns:r="http://schemas.openxmlformats.org/officeDocument/2006/relationships" r:id="R50d49303807c4fbe"/>
  </x:tableParts>
</x:worksheet>
</file>